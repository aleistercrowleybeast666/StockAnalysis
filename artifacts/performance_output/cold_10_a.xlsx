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'A股'!$A$4:$AD$14</definedName>
    <definedName name="_xlnm.Print_Titles" localSheetId="0">'A股'!$1:$4</definedName>
    <definedName name="_xlnm._FilterDatabase" localSheetId="1" hidden="1">'港股'!$A$4:$AD$4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1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920985</t>
        </is>
      </c>
      <c r="B5" s="13" t="inlineStr">
        <is>
          <t>海泰新能</t>
        </is>
      </c>
      <c r="C5" s="14">
        <f>IF('历史数据'!D3="","",'历史数据'!D3)</f>
        <v/>
      </c>
      <c r="D5" s="15">
        <f>IF('历史数据'!E3="","",'历史数据'!E3)</f>
        <v/>
      </c>
      <c r="E5" s="16">
        <f>IF('历史数据'!G3="","",'历史数据'!G3/100000000)</f>
        <v/>
      </c>
      <c r="F5" s="17">
        <f>IF(OR('历史数据'!G3="",'历史数据'!H3&lt;=0),"",'历史数据'!G3/'历史数据'!H3-1)</f>
        <v/>
      </c>
      <c r="G5" s="17">
        <f>IF(OR('历史数据'!G3&lt;=0,'历史数据'!I3&lt;=0),"",POWER('历史数据'!G3/'历史数据'!I3,1/3)-1)</f>
        <v/>
      </c>
      <c r="H5" s="17">
        <f>IF(OR('历史数据'!G3&lt;=0,'历史数据'!J3=""),"",('历史数据'!G3-'历史数据'!J3)/'历史数据'!G3)</f>
        <v/>
      </c>
      <c r="I5" s="18">
        <f>IF(OR(H5="",'历史数据'!H3&lt;=0,'历史数据'!K3=""),"",(H5-('历史数据'!H3-'历史数据'!K3)/'历史数据'!H3)*100)</f>
        <v/>
      </c>
      <c r="J5" s="18">
        <f>IF(OR(H5="",'历史数据'!I3&lt;=0,'历史数据'!L3=""),"",(H5-('历史数据'!I3-'历史数据'!L3)/'历史数据'!I3)*100)</f>
        <v/>
      </c>
      <c r="K5" s="16">
        <f>IF('历史数据'!M3="","",'历史数据'!M3/100000000)</f>
        <v/>
      </c>
      <c r="L5" s="17">
        <f>IF(OR('历史数据'!G3=0,'历史数据'!M3=""),"",'历史数据'!M3/'历史数据'!G3)</f>
        <v/>
      </c>
      <c r="M5" s="17">
        <f>IF(OR('历史数据'!M3="",'历史数据'!N3=0),"",('历史数据'!M3-'历史数据'!N3)/ABS('历史数据'!N3))</f>
        <v/>
      </c>
      <c r="N5" s="17">
        <f>IF(OR('历史数据'!M3&lt;=0,'历史数据'!O3&lt;=0),"",POWER('历史数据'!M3/'历史数据'!O3,1/3)-1)</f>
        <v/>
      </c>
      <c r="O5" s="16">
        <f>IF('历史数据'!P3="","",'历史数据'!P3/100000000)</f>
        <v/>
      </c>
      <c r="P5" s="19">
        <f>IF(OR('历史数据'!P3="",'历史数据'!Q3=0),"",('历史数据'!P3-'历史数据'!Q3)/ABS('历史数据'!Q3))</f>
        <v/>
      </c>
      <c r="Q5" s="19">
        <f>IF(OR('历史数据'!P3&lt;=0,'历史数据'!R3&lt;=0),"",POWER('历史数据'!P3/'历史数据'!R3,1/3)-1)</f>
        <v/>
      </c>
      <c r="R5" s="20">
        <f>IF('历史数据'!S3="","",'历史数据'!S3/100000000)</f>
        <v/>
      </c>
      <c r="S5" s="21">
        <f>IF('历史数据'!T3="","",'历史数据'!T3)</f>
        <v/>
      </c>
      <c r="T5" s="22">
        <f>IF('历史数据'!U3="","",'历史数据'!U3)</f>
        <v/>
      </c>
      <c r="U5" s="22">
        <f>IF('历史数据'!V3="","",'历史数据'!V3/100000000)</f>
        <v/>
      </c>
      <c r="V5" s="20">
        <f>IF('历史数据'!W3="","",'历史数据'!W3/100000000)</f>
        <v/>
      </c>
      <c r="W5" s="22">
        <f>IF('历史数据'!X3="","",'历史数据'!X3)</f>
        <v/>
      </c>
      <c r="X5" s="19">
        <f>IF(OR(R5="",V5&lt;=0),"",R5/V5-1)</f>
        <v/>
      </c>
      <c r="Y5" s="23">
        <f>IF('历史数据'!Y3="","",'历史数据'!Y3)</f>
        <v/>
      </c>
      <c r="Z5" s="20">
        <f>IF('历史数据'!Z3="","",'历史数据'!Z3/100000000)</f>
        <v/>
      </c>
      <c r="AA5" s="24">
        <f>IF('历史数据'!AA3="","",'历史数据'!AA3/100000000)</f>
        <v/>
      </c>
      <c r="AB5" s="24">
        <f>IF('历史数据'!AB3="","",'历史数据'!AB3/100000000)</f>
        <v/>
      </c>
      <c r="AC5" s="13" t="inlineStr">
        <is>
          <t>近五个交易日资金净额:optional_missing；近一月资金净额（最近22个交易日）:optional_missing</t>
        </is>
      </c>
      <c r="AD5" s="13" t="inlineStr">
        <is>
          <t>SUCCESS</t>
        </is>
      </c>
    </row>
    <row r="6" ht="21" customHeight="1" s="3">
      <c r="A6" s="12" t="inlineStr">
        <is>
          <t>920982</t>
        </is>
      </c>
      <c r="B6" s="13" t="inlineStr">
        <is>
          <t>锦波生物</t>
        </is>
      </c>
      <c r="C6" s="25">
        <f>IF('历史数据'!D4="","",'历史数据'!D4)</f>
        <v/>
      </c>
      <c r="D6" s="13">
        <f>IF('历史数据'!E4="","",'历史数据'!E4)</f>
        <v/>
      </c>
      <c r="E6" s="24">
        <f>IF('历史数据'!G4="","",'历史数据'!G4/100000000)</f>
        <v/>
      </c>
      <c r="F6" s="26">
        <f>IF(OR('历史数据'!G4="",'历史数据'!H4&lt;=0),"",'历史数据'!G4/'历史数据'!H4-1)</f>
        <v/>
      </c>
      <c r="G6" s="26">
        <f>IF(OR('历史数据'!G4&lt;=0,'历史数据'!I4&lt;=0),"",POWER('历史数据'!G4/'历史数据'!I4,1/3)-1)</f>
        <v/>
      </c>
      <c r="H6" s="26">
        <f>IF(OR('历史数据'!G4&lt;=0,'历史数据'!J4=""),"",('历史数据'!G4-'历史数据'!J4)/'历史数据'!G4)</f>
        <v/>
      </c>
      <c r="I6" s="27">
        <f>IF(OR(H6="",'历史数据'!H4&lt;=0,'历史数据'!K4=""),"",(H6-('历史数据'!H4-'历史数据'!K4)/'历史数据'!H4)*100)</f>
        <v/>
      </c>
      <c r="J6" s="27">
        <f>IF(OR(H6="",'历史数据'!I4&lt;=0,'历史数据'!L4=""),"",(H6-('历史数据'!I4-'历史数据'!L4)/'历史数据'!I4)*100)</f>
        <v/>
      </c>
      <c r="K6" s="24">
        <f>IF('历史数据'!M4="","",'历史数据'!M4/100000000)</f>
        <v/>
      </c>
      <c r="L6" s="26">
        <f>IF(OR('历史数据'!G4=0,'历史数据'!M4=""),"",'历史数据'!M4/'历史数据'!G4)</f>
        <v/>
      </c>
      <c r="M6" s="26">
        <f>IF(OR('历史数据'!M4="",'历史数据'!N4=0),"",('历史数据'!M4-'历史数据'!N4)/ABS('历史数据'!N4))</f>
        <v/>
      </c>
      <c r="N6" s="26">
        <f>IF(OR('历史数据'!M4&lt;=0,'历史数据'!O4&lt;=0),"",POWER('历史数据'!M4/'历史数据'!O4,1/3)-1)</f>
        <v/>
      </c>
      <c r="O6" s="24">
        <f>IF('历史数据'!P4="","",'历史数据'!P4/100000000)</f>
        <v/>
      </c>
      <c r="P6" s="26">
        <f>IF(OR('历史数据'!P4="",'历史数据'!Q4=0),"",('历史数据'!P4-'历史数据'!Q4)/ABS('历史数据'!Q4))</f>
        <v/>
      </c>
      <c r="Q6" s="26">
        <f>IF(OR('历史数据'!P4&lt;=0,'历史数据'!R4&lt;=0),"",POWER('历史数据'!P4/'历史数据'!R4,1/3)-1)</f>
        <v/>
      </c>
      <c r="R6" s="24">
        <f>IF('历史数据'!S4="","",'历史数据'!S4/100000000)</f>
        <v/>
      </c>
      <c r="S6" s="25">
        <f>IF('历史数据'!T4="","",'历史数据'!T4)</f>
        <v/>
      </c>
      <c r="T6" s="28">
        <f>IF('历史数据'!U4="","",'历史数据'!U4)</f>
        <v/>
      </c>
      <c r="U6" s="28">
        <f>IF('历史数据'!V4="","",'历史数据'!V4/100000000)</f>
        <v/>
      </c>
      <c r="V6" s="24">
        <f>IF('历史数据'!W4="","",'历史数据'!W4/100000000)</f>
        <v/>
      </c>
      <c r="W6" s="28">
        <f>IF('历史数据'!X4="","",'历史数据'!X4)</f>
        <v/>
      </c>
      <c r="X6" s="26">
        <f>IF(OR(R6="",V6&lt;=0),"",R6/V6-1)</f>
        <v/>
      </c>
      <c r="Y6" s="29">
        <f>IF('历史数据'!Y4="","",'历史数据'!Y4)</f>
        <v/>
      </c>
      <c r="Z6" s="24">
        <f>IF('历史数据'!Z4="","",'历史数据'!Z4/100000000)</f>
        <v/>
      </c>
      <c r="AA6" s="24">
        <f>IF('历史数据'!AA4="","",'历史数据'!AA4/100000000)</f>
        <v/>
      </c>
      <c r="AB6" s="24">
        <f>IF('历史数据'!AB4="","",'历史数据'!AB4/100000000)</f>
        <v/>
      </c>
      <c r="AC6" s="13" t="inlineStr">
        <is>
          <t>近五个交易日资金净额:optional_missing；近一月资金净额（最近22个交易日）:optional_missing</t>
        </is>
      </c>
      <c r="AD6" s="13" t="inlineStr">
        <is>
          <t>SUCCESS</t>
        </is>
      </c>
    </row>
    <row r="7" ht="21" customHeight="1" s="3">
      <c r="A7" s="12" t="inlineStr">
        <is>
          <t>920978</t>
        </is>
      </c>
      <c r="B7" s="13" t="inlineStr">
        <is>
          <t>开特股份</t>
        </is>
      </c>
      <c r="C7" s="25">
        <f>IF('历史数据'!D6="","",'历史数据'!D6)</f>
        <v/>
      </c>
      <c r="D7" s="13">
        <f>IF('历史数据'!E6="","",'历史数据'!E6)</f>
        <v/>
      </c>
      <c r="E7" s="24">
        <f>IF('历史数据'!G6="","",'历史数据'!G6/100000000)</f>
        <v/>
      </c>
      <c r="F7" s="26">
        <f>IF(OR('历史数据'!G6="",'历史数据'!H6&lt;=0),"",'历史数据'!G6/'历史数据'!H6-1)</f>
        <v/>
      </c>
      <c r="G7" s="26">
        <f>IF(OR('历史数据'!G6&lt;=0,'历史数据'!I6&lt;=0),"",POWER('历史数据'!G6/'历史数据'!I6,1/3)-1)</f>
        <v/>
      </c>
      <c r="H7" s="26">
        <f>IF(OR('历史数据'!G6&lt;=0,'历史数据'!J6=""),"",('历史数据'!G6-'历史数据'!J6)/'历史数据'!G6)</f>
        <v/>
      </c>
      <c r="I7" s="27">
        <f>IF(OR(H7="",'历史数据'!H6&lt;=0,'历史数据'!K6=""),"",(H7-('历史数据'!H6-'历史数据'!K6)/'历史数据'!H6)*100)</f>
        <v/>
      </c>
      <c r="J7" s="27">
        <f>IF(OR(H7="",'历史数据'!I6&lt;=0,'历史数据'!L6=""),"",(H7-('历史数据'!I6-'历史数据'!L6)/'历史数据'!I6)*100)</f>
        <v/>
      </c>
      <c r="K7" s="24">
        <f>IF('历史数据'!M6="","",'历史数据'!M6/100000000)</f>
        <v/>
      </c>
      <c r="L7" s="26">
        <f>IF(OR('历史数据'!G6=0,'历史数据'!M6=""),"",'历史数据'!M6/'历史数据'!G6)</f>
        <v/>
      </c>
      <c r="M7" s="26">
        <f>IF(OR('历史数据'!M6="",'历史数据'!N6=0),"",('历史数据'!M6-'历史数据'!N6)/ABS('历史数据'!N6))</f>
        <v/>
      </c>
      <c r="N7" s="26">
        <f>IF(OR('历史数据'!M6&lt;=0,'历史数据'!O6&lt;=0),"",POWER('历史数据'!M6/'历史数据'!O6,1/3)-1)</f>
        <v/>
      </c>
      <c r="O7" s="24">
        <f>IF('历史数据'!P6="","",'历史数据'!P6/100000000)</f>
        <v/>
      </c>
      <c r="P7" s="26">
        <f>IF(OR('历史数据'!P6="",'历史数据'!Q6=0),"",('历史数据'!P6-'历史数据'!Q6)/ABS('历史数据'!Q6))</f>
        <v/>
      </c>
      <c r="Q7" s="26">
        <f>IF(OR('历史数据'!P6&lt;=0,'历史数据'!R6&lt;=0),"",POWER('历史数据'!P6/'历史数据'!R6,1/3)-1)</f>
        <v/>
      </c>
      <c r="R7" s="24">
        <f>IF('历史数据'!S6="","",'历史数据'!S6/100000000)</f>
        <v/>
      </c>
      <c r="S7" s="25">
        <f>IF('历史数据'!T6="","",'历史数据'!T6)</f>
        <v/>
      </c>
      <c r="T7" s="28">
        <f>IF('历史数据'!U6="","",'历史数据'!U6)</f>
        <v/>
      </c>
      <c r="U7" s="28">
        <f>IF('历史数据'!V6="","",'历史数据'!V6/100000000)</f>
        <v/>
      </c>
      <c r="V7" s="24">
        <f>IF('历史数据'!W6="","",'历史数据'!W6/100000000)</f>
        <v/>
      </c>
      <c r="W7" s="28">
        <f>IF('历史数据'!X6="","",'历史数据'!X6)</f>
        <v/>
      </c>
      <c r="X7" s="26">
        <f>IF(OR(R7="",V7&lt;=0),"",R7/V7-1)</f>
        <v/>
      </c>
      <c r="Y7" s="29">
        <f>IF('历史数据'!Y6="","",'历史数据'!Y6)</f>
        <v/>
      </c>
      <c r="Z7" s="24">
        <f>IF('历史数据'!Z6="","",'历史数据'!Z6/100000000)</f>
        <v/>
      </c>
      <c r="AA7" s="24">
        <f>IF('历史数据'!AA6="","",'历史数据'!AA6/100000000)</f>
        <v/>
      </c>
      <c r="AB7" s="24">
        <f>IF('历史数据'!AB6="","",'历史数据'!AB6/100000000)</f>
        <v/>
      </c>
      <c r="AC7" s="13" t="inlineStr">
        <is>
          <t>近五个交易日资金净额:optional_missing；近一月资金净额（最近22个交易日）:optional_missing</t>
        </is>
      </c>
      <c r="AD7" s="13" t="inlineStr">
        <is>
          <t>SUCCESS</t>
        </is>
      </c>
    </row>
    <row r="8" ht="21" customHeight="1" s="3">
      <c r="A8" s="12" t="inlineStr">
        <is>
          <t>920974</t>
        </is>
      </c>
      <c r="B8" s="13" t="inlineStr">
        <is>
          <t>凯大催化</t>
        </is>
      </c>
      <c r="C8" s="25">
        <f>IF('历史数据'!D8="","",'历史数据'!D8)</f>
        <v/>
      </c>
      <c r="D8" s="13">
        <f>IF('历史数据'!E8="","",'历史数据'!E8)</f>
        <v/>
      </c>
      <c r="E8" s="24">
        <f>IF('历史数据'!G8="","",'历史数据'!G8/100000000)</f>
        <v/>
      </c>
      <c r="F8" s="26">
        <f>IF(OR('历史数据'!G8="",'历史数据'!H8&lt;=0),"",'历史数据'!G8/'历史数据'!H8-1)</f>
        <v/>
      </c>
      <c r="G8" s="26">
        <f>IF(OR('历史数据'!G8&lt;=0,'历史数据'!I8&lt;=0),"",POWER('历史数据'!G8/'历史数据'!I8,1/3)-1)</f>
        <v/>
      </c>
      <c r="H8" s="26">
        <f>IF(OR('历史数据'!G8&lt;=0,'历史数据'!J8=""),"",('历史数据'!G8-'历史数据'!J8)/'历史数据'!G8)</f>
        <v/>
      </c>
      <c r="I8" s="27">
        <f>IF(OR(H8="",'历史数据'!H8&lt;=0,'历史数据'!K8=""),"",(H8-('历史数据'!H8-'历史数据'!K8)/'历史数据'!H8)*100)</f>
        <v/>
      </c>
      <c r="J8" s="27">
        <f>IF(OR(H8="",'历史数据'!I8&lt;=0,'历史数据'!L8=""),"",(H8-('历史数据'!I8-'历史数据'!L8)/'历史数据'!I8)*100)</f>
        <v/>
      </c>
      <c r="K8" s="24">
        <f>IF('历史数据'!M8="","",'历史数据'!M8/100000000)</f>
        <v/>
      </c>
      <c r="L8" s="26">
        <f>IF(OR('历史数据'!G8=0,'历史数据'!M8=""),"",'历史数据'!M8/'历史数据'!G8)</f>
        <v/>
      </c>
      <c r="M8" s="26">
        <f>IF(OR('历史数据'!M8="",'历史数据'!N8=0),"",('历史数据'!M8-'历史数据'!N8)/ABS('历史数据'!N8))</f>
        <v/>
      </c>
      <c r="N8" s="26">
        <f>IF(OR('历史数据'!M8&lt;=0,'历史数据'!O8&lt;=0),"",POWER('历史数据'!M8/'历史数据'!O8,1/3)-1)</f>
        <v/>
      </c>
      <c r="O8" s="24">
        <f>IF('历史数据'!P8="","",'历史数据'!P8/100000000)</f>
        <v/>
      </c>
      <c r="P8" s="26">
        <f>IF(OR('历史数据'!P8="",'历史数据'!Q8=0),"",('历史数据'!P8-'历史数据'!Q8)/ABS('历史数据'!Q8))</f>
        <v/>
      </c>
      <c r="Q8" s="26">
        <f>IF(OR('历史数据'!P8&lt;=0,'历史数据'!R8&lt;=0),"",POWER('历史数据'!P8/'历史数据'!R8,1/3)-1)</f>
        <v/>
      </c>
      <c r="R8" s="24">
        <f>IF('历史数据'!S8="","",'历史数据'!S8/100000000)</f>
        <v/>
      </c>
      <c r="S8" s="25">
        <f>IF('历史数据'!T8="","",'历史数据'!T8)</f>
        <v/>
      </c>
      <c r="T8" s="28">
        <f>IF('历史数据'!U8="","",'历史数据'!U8)</f>
        <v/>
      </c>
      <c r="U8" s="28">
        <f>IF('历史数据'!V8="","",'历史数据'!V8/100000000)</f>
        <v/>
      </c>
      <c r="V8" s="24">
        <f>IF('历史数据'!W8="","",'历史数据'!W8/100000000)</f>
        <v/>
      </c>
      <c r="W8" s="28">
        <f>IF('历史数据'!X8="","",'历史数据'!X8)</f>
        <v/>
      </c>
      <c r="X8" s="26">
        <f>IF(OR(R8="",V8&lt;=0),"",R8/V8-1)</f>
        <v/>
      </c>
      <c r="Y8" s="29">
        <f>IF('历史数据'!Y8="","",'历史数据'!Y8)</f>
        <v/>
      </c>
      <c r="Z8" s="24">
        <f>IF('历史数据'!Z8="","",'历史数据'!Z8/100000000)</f>
        <v/>
      </c>
      <c r="AA8" s="24">
        <f>IF('历史数据'!AA8="","",'历史数据'!AA8/100000000)</f>
        <v/>
      </c>
      <c r="AB8" s="24">
        <f>IF('历史数据'!AB8="","",'历史数据'!AB8/100000000)</f>
        <v/>
      </c>
      <c r="AC8" s="13" t="inlineStr">
        <is>
          <t>近五个交易日资金净额:optional_missing；近一月资金净额（最近22个交易日）:optional_missing</t>
        </is>
      </c>
      <c r="AD8" s="13" t="inlineStr">
        <is>
          <t>SUCCESS</t>
        </is>
      </c>
    </row>
    <row r="9" ht="21" customHeight="1" s="3">
      <c r="A9" s="12" t="inlineStr">
        <is>
          <t>920964</t>
        </is>
      </c>
      <c r="B9" s="13" t="inlineStr">
        <is>
          <t>润农节水</t>
        </is>
      </c>
      <c r="C9" s="25">
        <f>IF('历史数据'!D11="","",'历史数据'!D11)</f>
        <v/>
      </c>
      <c r="D9" s="13">
        <f>IF('历史数据'!E11="","",'历史数据'!E11)</f>
        <v/>
      </c>
      <c r="E9" s="24">
        <f>IF('历史数据'!G11="","",'历史数据'!G11/100000000)</f>
        <v/>
      </c>
      <c r="F9" s="26">
        <f>IF(OR('历史数据'!G11="",'历史数据'!H11&lt;=0),"",'历史数据'!G11/'历史数据'!H11-1)</f>
        <v/>
      </c>
      <c r="G9" s="26">
        <f>IF(OR('历史数据'!G11&lt;=0,'历史数据'!I11&lt;=0),"",POWER('历史数据'!G11/'历史数据'!I11,1/3)-1)</f>
        <v/>
      </c>
      <c r="H9" s="26">
        <f>IF(OR('历史数据'!G11&lt;=0,'历史数据'!J11=""),"",('历史数据'!G11-'历史数据'!J11)/'历史数据'!G11)</f>
        <v/>
      </c>
      <c r="I9" s="27">
        <f>IF(OR(H9="",'历史数据'!H11&lt;=0,'历史数据'!K11=""),"",(H9-('历史数据'!H11-'历史数据'!K11)/'历史数据'!H11)*100)</f>
        <v/>
      </c>
      <c r="J9" s="27">
        <f>IF(OR(H9="",'历史数据'!I11&lt;=0,'历史数据'!L11=""),"",(H9-('历史数据'!I11-'历史数据'!L11)/'历史数据'!I11)*100)</f>
        <v/>
      </c>
      <c r="K9" s="24">
        <f>IF('历史数据'!M11="","",'历史数据'!M11/100000000)</f>
        <v/>
      </c>
      <c r="L9" s="26">
        <f>IF(OR('历史数据'!G11=0,'历史数据'!M11=""),"",'历史数据'!M11/'历史数据'!G11)</f>
        <v/>
      </c>
      <c r="M9" s="26">
        <f>IF(OR('历史数据'!M11="",'历史数据'!N11=0),"",('历史数据'!M11-'历史数据'!N11)/ABS('历史数据'!N11))</f>
        <v/>
      </c>
      <c r="N9" s="26">
        <f>IF(OR('历史数据'!M11&lt;=0,'历史数据'!O11&lt;=0),"",POWER('历史数据'!M11/'历史数据'!O11,1/3)-1)</f>
        <v/>
      </c>
      <c r="O9" s="24">
        <f>IF('历史数据'!P11="","",'历史数据'!P11/100000000)</f>
        <v/>
      </c>
      <c r="P9" s="26">
        <f>IF(OR('历史数据'!P11="",'历史数据'!Q11=0),"",('历史数据'!P11-'历史数据'!Q11)/ABS('历史数据'!Q11))</f>
        <v/>
      </c>
      <c r="Q9" s="26">
        <f>IF(OR('历史数据'!P11&lt;=0,'历史数据'!R11&lt;=0),"",POWER('历史数据'!P11/'历史数据'!R11,1/3)-1)</f>
        <v/>
      </c>
      <c r="R9" s="24">
        <f>IF('历史数据'!S11="","",'历史数据'!S11/100000000)</f>
        <v/>
      </c>
      <c r="S9" s="25">
        <f>IF('历史数据'!T11="","",'历史数据'!T11)</f>
        <v/>
      </c>
      <c r="T9" s="28">
        <f>IF('历史数据'!U11="","",'历史数据'!U11)</f>
        <v/>
      </c>
      <c r="U9" s="28">
        <f>IF('历史数据'!V11="","",'历史数据'!V11/100000000)</f>
        <v/>
      </c>
      <c r="V9" s="24">
        <f>IF('历史数据'!W11="","",'历史数据'!W11/100000000)</f>
        <v/>
      </c>
      <c r="W9" s="28">
        <f>IF('历史数据'!X11="","",'历史数据'!X11)</f>
        <v/>
      </c>
      <c r="X9" s="26">
        <f>IF(OR(R9="",V9&lt;=0),"",R9/V9-1)</f>
        <v/>
      </c>
      <c r="Y9" s="29">
        <f>IF('历史数据'!Y11="","",'历史数据'!Y11)</f>
        <v/>
      </c>
      <c r="Z9" s="24">
        <f>IF('历史数据'!Z11="","",'历史数据'!Z11/100000000)</f>
        <v/>
      </c>
      <c r="AA9" s="24">
        <f>IF('历史数据'!AA11="","",'历史数据'!AA11/100000000)</f>
        <v/>
      </c>
      <c r="AB9" s="24">
        <f>IF('历史数据'!AB11="","",'历史数据'!AB11/100000000)</f>
        <v/>
      </c>
      <c r="AC9" s="13" t="inlineStr">
        <is>
          <t>近五个交易日资金净额:optional_missing；近一月资金净额（最近22个交易日）:optional_missing</t>
        </is>
      </c>
      <c r="AD9" s="13" t="inlineStr">
        <is>
          <t>SUCCESS</t>
        </is>
      </c>
    </row>
    <row r="10" ht="21" customHeight="1" s="3">
      <c r="A10" s="12" t="inlineStr">
        <is>
          <t>920981</t>
        </is>
      </c>
      <c r="B10" s="13" t="inlineStr">
        <is>
          <t>晶赛科技</t>
        </is>
      </c>
      <c r="C10" s="25">
        <f>IF('历史数据'!D5="","",'历史数据'!D5)</f>
        <v/>
      </c>
      <c r="D10" s="13">
        <f>IF('历史数据'!E5="","",'历史数据'!E5)</f>
        <v/>
      </c>
      <c r="E10" s="24">
        <f>IF('历史数据'!G5="","",'历史数据'!G5/100000000)</f>
        <v/>
      </c>
      <c r="F10" s="26">
        <f>IF(OR('历史数据'!G5="",'历史数据'!H5&lt;=0),"",'历史数据'!G5/'历史数据'!H5-1)</f>
        <v/>
      </c>
      <c r="G10" s="26">
        <f>IF(OR('历史数据'!G5&lt;=0,'历史数据'!I5&lt;=0),"",POWER('历史数据'!G5/'历史数据'!I5,1/3)-1)</f>
        <v/>
      </c>
      <c r="H10" s="26">
        <f>IF(OR('历史数据'!G5&lt;=0,'历史数据'!J5=""),"",('历史数据'!G5-'历史数据'!J5)/'历史数据'!G5)</f>
        <v/>
      </c>
      <c r="I10" s="27">
        <f>IF(OR(H10="",'历史数据'!H5&lt;=0,'历史数据'!K5=""),"",(H10-('历史数据'!H5-'历史数据'!K5)/'历史数据'!H5)*100)</f>
        <v/>
      </c>
      <c r="J10" s="27">
        <f>IF(OR(H10="",'历史数据'!I5&lt;=0,'历史数据'!L5=""),"",(H10-('历史数据'!I5-'历史数据'!L5)/'历史数据'!I5)*100)</f>
        <v/>
      </c>
      <c r="K10" s="24">
        <f>IF('历史数据'!M5="","",'历史数据'!M5/100000000)</f>
        <v/>
      </c>
      <c r="L10" s="26">
        <f>IF(OR('历史数据'!G5=0,'历史数据'!M5=""),"",'历史数据'!M5/'历史数据'!G5)</f>
        <v/>
      </c>
      <c r="M10" s="26">
        <f>IF(OR('历史数据'!M5="",'历史数据'!N5=0),"",('历史数据'!M5-'历史数据'!N5)/ABS('历史数据'!N5))</f>
        <v/>
      </c>
      <c r="N10" s="26">
        <f>IF(OR('历史数据'!M5&lt;=0,'历史数据'!O5&lt;=0),"",POWER('历史数据'!M5/'历史数据'!O5,1/3)-1)</f>
        <v/>
      </c>
      <c r="O10" s="24">
        <f>IF('历史数据'!P5="","",'历史数据'!P5/100000000)</f>
        <v/>
      </c>
      <c r="P10" s="26">
        <f>IF(OR('历史数据'!P5="",'历史数据'!Q5=0),"",('历史数据'!P5-'历史数据'!Q5)/ABS('历史数据'!Q5))</f>
        <v/>
      </c>
      <c r="Q10" s="26">
        <f>IF(OR('历史数据'!P5&lt;=0,'历史数据'!R5&lt;=0),"",POWER('历史数据'!P5/'历史数据'!R5,1/3)-1)</f>
        <v/>
      </c>
      <c r="R10" s="24">
        <f>IF('历史数据'!S5="","",'历史数据'!S5/100000000)</f>
        <v/>
      </c>
      <c r="S10" s="25">
        <f>IF('历史数据'!T5="","",'历史数据'!T5)</f>
        <v/>
      </c>
      <c r="T10" s="28">
        <f>IF('历史数据'!U5="","",'历史数据'!U5)</f>
        <v/>
      </c>
      <c r="U10" s="28">
        <f>IF('历史数据'!V5="","",'历史数据'!V5/100000000)</f>
        <v/>
      </c>
      <c r="V10" s="24">
        <f>IF('历史数据'!W5="","",'历史数据'!W5/100000000)</f>
        <v/>
      </c>
      <c r="W10" s="28">
        <f>IF('历史数据'!X5="","",'历史数据'!X5)</f>
        <v/>
      </c>
      <c r="X10" s="26">
        <f>IF(OR(R10="",V10&lt;=0),"",R10/V10-1)</f>
        <v/>
      </c>
      <c r="Y10" s="29">
        <f>IF('历史数据'!Y5="","",'历史数据'!Y5)</f>
        <v/>
      </c>
      <c r="Z10" s="24">
        <f>IF('历史数据'!Z5="","",'历史数据'!Z5/100000000)</f>
        <v/>
      </c>
      <c r="AA10" s="24">
        <f>IF('历史数据'!AA5="","",'历史数据'!AA5/100000000)</f>
        <v/>
      </c>
      <c r="AB10" s="24">
        <f>IF('历史数据'!AB5="","",'历史数据'!AB5/100000000)</f>
        <v/>
      </c>
      <c r="AC10" s="13" t="inlineStr">
        <is>
          <t>近五个交易日资金净额:optional_missing；近一月资金净额（最近22个交易日）:optional_missing</t>
        </is>
      </c>
      <c r="AD10" s="13" t="inlineStr">
        <is>
          <t>SUCCESS</t>
        </is>
      </c>
    </row>
    <row r="11" ht="21" customHeight="1" s="3">
      <c r="A11" s="12" t="inlineStr">
        <is>
          <t>920992</t>
        </is>
      </c>
      <c r="B11" s="13" t="inlineStr">
        <is>
          <t>中科美菱</t>
        </is>
      </c>
      <c r="C11" s="25">
        <f>IF('历史数据'!D2="","",'历史数据'!D2)</f>
        <v/>
      </c>
      <c r="D11" s="13">
        <f>IF('历史数据'!E2="","",'历史数据'!E2)</f>
        <v/>
      </c>
      <c r="E11" s="24">
        <f>IF('历史数据'!G2="","",'历史数据'!G2/100000000)</f>
        <v/>
      </c>
      <c r="F11" s="26">
        <f>IF(OR('历史数据'!G2="",'历史数据'!H2&lt;=0),"",'历史数据'!G2/'历史数据'!H2-1)</f>
        <v/>
      </c>
      <c r="G11" s="26">
        <f>IF(OR('历史数据'!G2&lt;=0,'历史数据'!I2&lt;=0),"",POWER('历史数据'!G2/'历史数据'!I2,1/3)-1)</f>
        <v/>
      </c>
      <c r="H11" s="26">
        <f>IF(OR('历史数据'!G2&lt;=0,'历史数据'!J2=""),"",('历史数据'!G2-'历史数据'!J2)/'历史数据'!G2)</f>
        <v/>
      </c>
      <c r="I11" s="27">
        <f>IF(OR(H11="",'历史数据'!H2&lt;=0,'历史数据'!K2=""),"",(H11-('历史数据'!H2-'历史数据'!K2)/'历史数据'!H2)*100)</f>
        <v/>
      </c>
      <c r="J11" s="27">
        <f>IF(OR(H11="",'历史数据'!I2&lt;=0,'历史数据'!L2=""),"",(H11-('历史数据'!I2-'历史数据'!L2)/'历史数据'!I2)*100)</f>
        <v/>
      </c>
      <c r="K11" s="24">
        <f>IF('历史数据'!M2="","",'历史数据'!M2/100000000)</f>
        <v/>
      </c>
      <c r="L11" s="26">
        <f>IF(OR('历史数据'!G2=0,'历史数据'!M2=""),"",'历史数据'!M2/'历史数据'!G2)</f>
        <v/>
      </c>
      <c r="M11" s="26">
        <f>IF(OR('历史数据'!M2="",'历史数据'!N2=0),"",('历史数据'!M2-'历史数据'!N2)/ABS('历史数据'!N2))</f>
        <v/>
      </c>
      <c r="N11" s="26">
        <f>IF(OR('历史数据'!M2&lt;=0,'历史数据'!O2&lt;=0),"",POWER('历史数据'!M2/'历史数据'!O2,1/3)-1)</f>
        <v/>
      </c>
      <c r="O11" s="24">
        <f>IF('历史数据'!P2="","",'历史数据'!P2/100000000)</f>
        <v/>
      </c>
      <c r="P11" s="26">
        <f>IF(OR('历史数据'!P2="",'历史数据'!Q2=0),"",('历史数据'!P2-'历史数据'!Q2)/ABS('历史数据'!Q2))</f>
        <v/>
      </c>
      <c r="Q11" s="26">
        <f>IF(OR('历史数据'!P2&lt;=0,'历史数据'!R2&lt;=0),"",POWER('历史数据'!P2/'历史数据'!R2,1/3)-1)</f>
        <v/>
      </c>
      <c r="R11" s="24">
        <f>IF('历史数据'!S2="","",'历史数据'!S2/100000000)</f>
        <v/>
      </c>
      <c r="S11" s="25">
        <f>IF('历史数据'!T2="","",'历史数据'!T2)</f>
        <v/>
      </c>
      <c r="T11" s="28">
        <f>IF('历史数据'!U2="","",'历史数据'!U2)</f>
        <v/>
      </c>
      <c r="U11" s="28">
        <f>IF('历史数据'!V2="","",'历史数据'!V2/100000000)</f>
        <v/>
      </c>
      <c r="V11" s="24">
        <f>IF('历史数据'!W2="","",'历史数据'!W2/100000000)</f>
        <v/>
      </c>
      <c r="W11" s="28">
        <f>IF('历史数据'!X2="","",'历史数据'!X2)</f>
        <v/>
      </c>
      <c r="X11" s="26">
        <f>IF(OR(R11="",V11&lt;=0),"",R11/V11-1)</f>
        <v/>
      </c>
      <c r="Y11" s="29">
        <f>IF('历史数据'!Y2="","",'历史数据'!Y2)</f>
        <v/>
      </c>
      <c r="Z11" s="24">
        <f>IF('历史数据'!Z2="","",'历史数据'!Z2/100000000)</f>
        <v/>
      </c>
      <c r="AA11" s="24">
        <f>IF('历史数据'!AA2="","",'历史数据'!AA2/100000000)</f>
        <v/>
      </c>
      <c r="AB11" s="24">
        <f>IF('历史数据'!AB2="","",'历史数据'!AB2/100000000)</f>
        <v/>
      </c>
      <c r="AC11" s="13" t="inlineStr">
        <is>
          <t>近五个交易日资金净额:optional_missing；近一月资金净额（最近22个交易日）:optional_missing</t>
        </is>
      </c>
      <c r="AD11" s="13" t="inlineStr">
        <is>
          <t>SUCCESS</t>
        </is>
      </c>
    </row>
    <row r="12" ht="21" customHeight="1" s="3">
      <c r="A12" s="12" t="inlineStr">
        <is>
          <t>920976</t>
        </is>
      </c>
      <c r="B12" s="13" t="inlineStr">
        <is>
          <t>视声智能</t>
        </is>
      </c>
      <c r="C12" s="25">
        <f>IF('历史数据'!D7="","",'历史数据'!D7)</f>
        <v/>
      </c>
      <c r="D12" s="13">
        <f>IF('历史数据'!E7="","",'历史数据'!E7)</f>
        <v/>
      </c>
      <c r="E12" s="24">
        <f>IF('历史数据'!G7="","",'历史数据'!G7/100000000)</f>
        <v/>
      </c>
      <c r="F12" s="26">
        <f>IF(OR('历史数据'!G7="",'历史数据'!H7&lt;=0),"",'历史数据'!G7/'历史数据'!H7-1)</f>
        <v/>
      </c>
      <c r="G12" s="26">
        <f>IF(OR('历史数据'!G7&lt;=0,'历史数据'!I7&lt;=0),"",POWER('历史数据'!G7/'历史数据'!I7,1/3)-1)</f>
        <v/>
      </c>
      <c r="H12" s="26">
        <f>IF(OR('历史数据'!G7&lt;=0,'历史数据'!J7=""),"",('历史数据'!G7-'历史数据'!J7)/'历史数据'!G7)</f>
        <v/>
      </c>
      <c r="I12" s="27">
        <f>IF(OR(H12="",'历史数据'!H7&lt;=0,'历史数据'!K7=""),"",(H12-('历史数据'!H7-'历史数据'!K7)/'历史数据'!H7)*100)</f>
        <v/>
      </c>
      <c r="J12" s="27">
        <f>IF(OR(H12="",'历史数据'!I7&lt;=0,'历史数据'!L7=""),"",(H12-('历史数据'!I7-'历史数据'!L7)/'历史数据'!I7)*100)</f>
        <v/>
      </c>
      <c r="K12" s="24">
        <f>IF('历史数据'!M7="","",'历史数据'!M7/100000000)</f>
        <v/>
      </c>
      <c r="L12" s="26">
        <f>IF(OR('历史数据'!G7=0,'历史数据'!M7=""),"",'历史数据'!M7/'历史数据'!G7)</f>
        <v/>
      </c>
      <c r="M12" s="26">
        <f>IF(OR('历史数据'!M7="",'历史数据'!N7=0),"",('历史数据'!M7-'历史数据'!N7)/ABS('历史数据'!N7))</f>
        <v/>
      </c>
      <c r="N12" s="26">
        <f>IF(OR('历史数据'!M7&lt;=0,'历史数据'!O7&lt;=0),"",POWER('历史数据'!M7/'历史数据'!O7,1/3)-1)</f>
        <v/>
      </c>
      <c r="O12" s="24">
        <f>IF('历史数据'!P7="","",'历史数据'!P7/100000000)</f>
        <v/>
      </c>
      <c r="P12" s="26">
        <f>IF(OR('历史数据'!P7="",'历史数据'!Q7=0),"",('历史数据'!P7-'历史数据'!Q7)/ABS('历史数据'!Q7))</f>
        <v/>
      </c>
      <c r="Q12" s="26">
        <f>IF(OR('历史数据'!P7&lt;=0,'历史数据'!R7&lt;=0),"",POWER('历史数据'!P7/'历史数据'!R7,1/3)-1)</f>
        <v/>
      </c>
      <c r="R12" s="24">
        <f>IF('历史数据'!S7="","",'历史数据'!S7/100000000)</f>
        <v/>
      </c>
      <c r="S12" s="25">
        <f>IF('历史数据'!T7="","",'历史数据'!T7)</f>
        <v/>
      </c>
      <c r="T12" s="28">
        <f>IF('历史数据'!U7="","",'历史数据'!U7)</f>
        <v/>
      </c>
      <c r="U12" s="28">
        <f>IF('历史数据'!V7="","",'历史数据'!V7/100000000)</f>
        <v/>
      </c>
      <c r="V12" s="24">
        <f>IF('历史数据'!W7="","",'历史数据'!W7/100000000)</f>
        <v/>
      </c>
      <c r="W12" s="28">
        <f>IF('历史数据'!X7="","",'历史数据'!X7)</f>
        <v/>
      </c>
      <c r="X12" s="26">
        <f>IF(OR(R12="",V12&lt;=0),"",R12/V12-1)</f>
        <v/>
      </c>
      <c r="Y12" s="29">
        <f>IF('历史数据'!Y7="","",'历史数据'!Y7)</f>
        <v/>
      </c>
      <c r="Z12" s="24">
        <f>IF('历史数据'!Z7="","",'历史数据'!Z7/100000000)</f>
        <v/>
      </c>
      <c r="AA12" s="24">
        <f>IF('历史数据'!AA7="","",'历史数据'!AA7/100000000)</f>
        <v/>
      </c>
      <c r="AB12" s="24">
        <f>IF('历史数据'!AB7="","",'历史数据'!AB7/100000000)</f>
        <v/>
      </c>
      <c r="AC12" s="13" t="inlineStr">
        <is>
          <t>近五个交易日资金净额:optional_missing；近一月资金净额（最近22个交易日）:optional_missing</t>
        </is>
      </c>
      <c r="AD12" s="13" t="inlineStr">
        <is>
          <t>SUCCESS</t>
        </is>
      </c>
    </row>
    <row r="13" ht="21" customHeight="1" s="3">
      <c r="A13" s="12" t="inlineStr">
        <is>
          <t>920971</t>
        </is>
      </c>
      <c r="B13" s="13" t="inlineStr">
        <is>
          <t>天马新材</t>
        </is>
      </c>
      <c r="C13" s="25">
        <f>IF('历史数据'!D9="","",'历史数据'!D9)</f>
        <v/>
      </c>
      <c r="D13" s="13">
        <f>IF('历史数据'!E9="","",'历史数据'!E9)</f>
        <v/>
      </c>
      <c r="E13" s="24">
        <f>IF('历史数据'!G9="","",'历史数据'!G9/100000000)</f>
        <v/>
      </c>
      <c r="F13" s="26">
        <f>IF(OR('历史数据'!G9="",'历史数据'!H9&lt;=0),"",'历史数据'!G9/'历史数据'!H9-1)</f>
        <v/>
      </c>
      <c r="G13" s="26">
        <f>IF(OR('历史数据'!G9&lt;=0,'历史数据'!I9&lt;=0),"",POWER('历史数据'!G9/'历史数据'!I9,1/3)-1)</f>
        <v/>
      </c>
      <c r="H13" s="26">
        <f>IF(OR('历史数据'!G9&lt;=0,'历史数据'!J9=""),"",('历史数据'!G9-'历史数据'!J9)/'历史数据'!G9)</f>
        <v/>
      </c>
      <c r="I13" s="27">
        <f>IF(OR(H13="",'历史数据'!H9&lt;=0,'历史数据'!K9=""),"",(H13-('历史数据'!H9-'历史数据'!K9)/'历史数据'!H9)*100)</f>
        <v/>
      </c>
      <c r="J13" s="27">
        <f>IF(OR(H13="",'历史数据'!I9&lt;=0,'历史数据'!L9=""),"",(H13-('历史数据'!I9-'历史数据'!L9)/'历史数据'!I9)*100)</f>
        <v/>
      </c>
      <c r="K13" s="24">
        <f>IF('历史数据'!M9="","",'历史数据'!M9/100000000)</f>
        <v/>
      </c>
      <c r="L13" s="26">
        <f>IF(OR('历史数据'!G9=0,'历史数据'!M9=""),"",'历史数据'!M9/'历史数据'!G9)</f>
        <v/>
      </c>
      <c r="M13" s="26">
        <f>IF(OR('历史数据'!M9="",'历史数据'!N9=0),"",('历史数据'!M9-'历史数据'!N9)/ABS('历史数据'!N9))</f>
        <v/>
      </c>
      <c r="N13" s="26">
        <f>IF(OR('历史数据'!M9&lt;=0,'历史数据'!O9&lt;=0),"",POWER('历史数据'!M9/'历史数据'!O9,1/3)-1)</f>
        <v/>
      </c>
      <c r="O13" s="24">
        <f>IF('历史数据'!P9="","",'历史数据'!P9/100000000)</f>
        <v/>
      </c>
      <c r="P13" s="26">
        <f>IF(OR('历史数据'!P9="",'历史数据'!Q9=0),"",('历史数据'!P9-'历史数据'!Q9)/ABS('历史数据'!Q9))</f>
        <v/>
      </c>
      <c r="Q13" s="26">
        <f>IF(OR('历史数据'!P9&lt;=0,'历史数据'!R9&lt;=0),"",POWER('历史数据'!P9/'历史数据'!R9,1/3)-1)</f>
        <v/>
      </c>
      <c r="R13" s="24">
        <f>IF('历史数据'!S9="","",'历史数据'!S9/100000000)</f>
        <v/>
      </c>
      <c r="S13" s="25">
        <f>IF('历史数据'!T9="","",'历史数据'!T9)</f>
        <v/>
      </c>
      <c r="T13" s="28">
        <f>IF('历史数据'!U9="","",'历史数据'!U9)</f>
        <v/>
      </c>
      <c r="U13" s="28">
        <f>IF('历史数据'!V9="","",'历史数据'!V9/100000000)</f>
        <v/>
      </c>
      <c r="V13" s="24">
        <f>IF('历史数据'!W9="","",'历史数据'!W9/100000000)</f>
        <v/>
      </c>
      <c r="W13" s="28">
        <f>IF('历史数据'!X9="","",'历史数据'!X9)</f>
        <v/>
      </c>
      <c r="X13" s="26">
        <f>IF(OR(R13="",V13&lt;=0),"",R13/V13-1)</f>
        <v/>
      </c>
      <c r="Y13" s="29">
        <f>IF('历史数据'!Y9="","",'历史数据'!Y9)</f>
        <v/>
      </c>
      <c r="Z13" s="24">
        <f>IF('历史数据'!Z9="","",'历史数据'!Z9/100000000)</f>
        <v/>
      </c>
      <c r="AA13" s="24">
        <f>IF('历史数据'!AA9="","",'历史数据'!AA9/100000000)</f>
        <v/>
      </c>
      <c r="AB13" s="24">
        <f>IF('历史数据'!AB9="","",'历史数据'!AB9/100000000)</f>
        <v/>
      </c>
      <c r="AC13" s="13" t="inlineStr">
        <is>
          <t>近五个交易日资金净额:optional_missing；近一月资金净额（最近22个交易日）:optional_missing</t>
        </is>
      </c>
      <c r="AD13" s="13" t="inlineStr">
        <is>
          <t>SUCCESS</t>
        </is>
      </c>
    </row>
    <row r="14" ht="21" customHeight="1" s="3">
      <c r="A14" s="12" t="inlineStr">
        <is>
          <t>920970</t>
        </is>
      </c>
      <c r="B14" s="13" t="inlineStr">
        <is>
          <t>大禹生物</t>
        </is>
      </c>
      <c r="C14" s="25">
        <f>IF('历史数据'!D10="","",'历史数据'!D10)</f>
        <v/>
      </c>
      <c r="D14" s="13">
        <f>IF('历史数据'!E10="","",'历史数据'!E10)</f>
        <v/>
      </c>
      <c r="E14" s="24">
        <f>IF('历史数据'!G10="","",'历史数据'!G10/100000000)</f>
        <v/>
      </c>
      <c r="F14" s="26">
        <f>IF(OR('历史数据'!G10="",'历史数据'!H10&lt;=0),"",'历史数据'!G10/'历史数据'!H10-1)</f>
        <v/>
      </c>
      <c r="G14" s="26">
        <f>IF(OR('历史数据'!G10&lt;=0,'历史数据'!I10&lt;=0),"",POWER('历史数据'!G10/'历史数据'!I10,1/3)-1)</f>
        <v/>
      </c>
      <c r="H14" s="26">
        <f>IF(OR('历史数据'!G10&lt;=0,'历史数据'!J10=""),"",('历史数据'!G10-'历史数据'!J10)/'历史数据'!G10)</f>
        <v/>
      </c>
      <c r="I14" s="27">
        <f>IF(OR(H14="",'历史数据'!H10&lt;=0,'历史数据'!K10=""),"",(H14-('历史数据'!H10-'历史数据'!K10)/'历史数据'!H10)*100)</f>
        <v/>
      </c>
      <c r="J14" s="27">
        <f>IF(OR(H14="",'历史数据'!I10&lt;=0,'历史数据'!L10=""),"",(H14-('历史数据'!I10-'历史数据'!L10)/'历史数据'!I10)*100)</f>
        <v/>
      </c>
      <c r="K14" s="24">
        <f>IF('历史数据'!M10="","",'历史数据'!M10/100000000)</f>
        <v/>
      </c>
      <c r="L14" s="26">
        <f>IF(OR('历史数据'!G10=0,'历史数据'!M10=""),"",'历史数据'!M10/'历史数据'!G10)</f>
        <v/>
      </c>
      <c r="M14" s="26">
        <f>IF(OR('历史数据'!M10="",'历史数据'!N10=0),"",('历史数据'!M10-'历史数据'!N10)/ABS('历史数据'!N10))</f>
        <v/>
      </c>
      <c r="N14" s="26">
        <f>IF(OR('历史数据'!M10&lt;=0,'历史数据'!O10&lt;=0),"",POWER('历史数据'!M10/'历史数据'!O10,1/3)-1)</f>
        <v/>
      </c>
      <c r="O14" s="24">
        <f>IF('历史数据'!P10="","",'历史数据'!P10/100000000)</f>
        <v/>
      </c>
      <c r="P14" s="26">
        <f>IF(OR('历史数据'!P10="",'历史数据'!Q10=0),"",('历史数据'!P10-'历史数据'!Q10)/ABS('历史数据'!Q10))</f>
        <v/>
      </c>
      <c r="Q14" s="26">
        <f>IF(OR('历史数据'!P10&lt;=0,'历史数据'!R10&lt;=0),"",POWER('历史数据'!P10/'历史数据'!R10,1/3)-1)</f>
        <v/>
      </c>
      <c r="R14" s="24">
        <f>IF('历史数据'!S10="","",'历史数据'!S10/100000000)</f>
        <v/>
      </c>
      <c r="S14" s="25">
        <f>IF('历史数据'!T10="","",'历史数据'!T10)</f>
        <v/>
      </c>
      <c r="T14" s="28">
        <f>IF('历史数据'!U10="","",'历史数据'!U10)</f>
        <v/>
      </c>
      <c r="U14" s="28">
        <f>IF('历史数据'!V10="","",'历史数据'!V10/100000000)</f>
        <v/>
      </c>
      <c r="V14" s="24">
        <f>IF('历史数据'!W10="","",'历史数据'!W10/100000000)</f>
        <v/>
      </c>
      <c r="W14" s="28">
        <f>IF('历史数据'!X10="","",'历史数据'!X10)</f>
        <v/>
      </c>
      <c r="X14" s="26">
        <f>IF(OR(R14="",V14&lt;=0),"",R14/V14-1)</f>
        <v/>
      </c>
      <c r="Y14" s="29">
        <f>IF('历史数据'!Y10="","",'历史数据'!Y10)</f>
        <v/>
      </c>
      <c r="Z14" s="24">
        <f>IF('历史数据'!Z10="","",'历史数据'!Z10/100000000)</f>
        <v/>
      </c>
      <c r="AA14" s="24">
        <f>IF('历史数据'!AA10="","",'历史数据'!AA10/100000000)</f>
        <v/>
      </c>
      <c r="AB14" s="24">
        <f>IF('历史数据'!AB10="","",'历史数据'!AB10/100000000)</f>
        <v/>
      </c>
      <c r="AC14" s="13" t="inlineStr">
        <is>
          <t>近五个交易日资金净额:optional_missing；近一月资金净额（最近22个交易日）:optional_missing</t>
        </is>
      </c>
      <c r="AD14" s="13" t="inlineStr">
        <is>
          <t>SUCCESS</t>
        </is>
      </c>
    </row>
  </sheetData>
  <autoFilter ref="A4:AD1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4:AD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308544895.46</v>
      </c>
      <c r="H2" t="n">
        <v>295773281.94</v>
      </c>
      <c r="I2" t="n">
        <v>406489091.83</v>
      </c>
      <c r="J2" t="n">
        <v>197101654.9499646</v>
      </c>
      <c r="K2" t="n">
        <v>188804558.7898964</v>
      </c>
      <c r="L2" t="n">
        <v>251326304.1698501</v>
      </c>
      <c r="M2" t="n">
        <v>19107093.28</v>
      </c>
      <c r="N2" t="n">
        <v>18087029.57</v>
      </c>
      <c r="O2" t="n">
        <v>52586940.63</v>
      </c>
      <c r="P2" t="n">
        <v>29447536.67</v>
      </c>
      <c r="Q2" t="n">
        <v>25513232.8</v>
      </c>
      <c r="R2" t="n">
        <v>-38010376.2</v>
      </c>
      <c r="S2" t="n">
        <v>1103699957</v>
      </c>
      <c r="T2" s="31" t="n">
        <v>44852</v>
      </c>
      <c r="U2" t="n">
        <v>16</v>
      </c>
      <c r="V2" t="n">
        <v>24182734</v>
      </c>
      <c r="W2" t="n">
        <v>386923744</v>
      </c>
      <c r="X2" t="n">
        <v>11.41</v>
      </c>
      <c r="Y2" t="n">
        <v>0</v>
      </c>
      <c r="Z2" t="n">
        <v>0</v>
      </c>
    </row>
    <row r="3">
      <c r="A3" t="inlineStr">
        <is>
          <t>A股</t>
        </is>
      </c>
      <c r="B3" t="inlineStr">
        <is>
          <t>920985</t>
        </is>
      </c>
      <c r="C3" t="inlineStr">
        <is>
          <t>海泰新能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1650844575.4</v>
      </c>
      <c r="H3" t="n">
        <v>3717455001.53</v>
      </c>
      <c r="I3" t="n">
        <v>6387165263.14</v>
      </c>
      <c r="J3" t="n">
        <v>1734023665.210687</v>
      </c>
      <c r="K3" t="n">
        <v>2987756173.051005</v>
      </c>
      <c r="L3" t="n">
        <v>6009342496.552124</v>
      </c>
      <c r="M3" t="n">
        <v>-674594689.74</v>
      </c>
      <c r="N3" t="n">
        <v>189489752.36</v>
      </c>
      <c r="O3" t="n">
        <v>118605569.42</v>
      </c>
      <c r="P3" t="n">
        <v>-783406848.97</v>
      </c>
      <c r="Q3" t="n">
        <v>207889114.19</v>
      </c>
      <c r="R3" t="n">
        <v>70336940.15000001</v>
      </c>
      <c r="S3" t="n">
        <v>1442159092</v>
      </c>
      <c r="T3" s="31" t="n">
        <v>44781</v>
      </c>
      <c r="U3" t="n">
        <v>9.050000000000001</v>
      </c>
      <c r="V3" t="n">
        <v>53821948</v>
      </c>
      <c r="W3" t="n">
        <v>487088629.4</v>
      </c>
      <c r="X3" t="n">
        <v>4.66</v>
      </c>
      <c r="Y3" t="n">
        <v>0</v>
      </c>
      <c r="Z3" t="n">
        <v>0</v>
      </c>
    </row>
    <row r="4">
      <c r="A4" t="inlineStr">
        <is>
          <t>A股</t>
        </is>
      </c>
      <c r="B4" t="inlineStr">
        <is>
          <t>920982</t>
        </is>
      </c>
      <c r="C4" t="inlineStr">
        <is>
          <t>锦波生物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1595372919.28</v>
      </c>
      <c r="H4" t="n">
        <v>1442831399.69</v>
      </c>
      <c r="I4" t="n">
        <v>390198402.96</v>
      </c>
      <c r="J4" t="n">
        <v>172119657.7807167</v>
      </c>
      <c r="K4" t="n">
        <v>115199689.8499298</v>
      </c>
      <c r="L4" t="n">
        <v>56828644.02000917</v>
      </c>
      <c r="M4" t="n">
        <v>652128968.1</v>
      </c>
      <c r="N4" t="n">
        <v>732301620.38</v>
      </c>
      <c r="O4" t="n">
        <v>109175008.63</v>
      </c>
      <c r="P4" t="n">
        <v>630002189.99</v>
      </c>
      <c r="Q4" t="n">
        <v>767155394.37</v>
      </c>
      <c r="R4" t="n">
        <v>123891082.75</v>
      </c>
      <c r="S4" t="n">
        <v>13921755487</v>
      </c>
      <c r="T4" s="31" t="n">
        <v>45127</v>
      </c>
      <c r="U4" t="n">
        <v>49</v>
      </c>
      <c r="V4" t="n">
        <v>5000000</v>
      </c>
      <c r="W4" t="n">
        <v>245000000</v>
      </c>
      <c r="X4" t="n">
        <v>120.99</v>
      </c>
      <c r="Y4" t="n">
        <v>0</v>
      </c>
      <c r="Z4" t="n">
        <v>0</v>
      </c>
    </row>
    <row r="5">
      <c r="A5" t="inlineStr">
        <is>
          <t>A股</t>
        </is>
      </c>
      <c r="B5" t="inlineStr">
        <is>
          <t>920981</t>
        </is>
      </c>
      <c r="C5" t="inlineStr">
        <is>
          <t>晶赛科技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576870929.75</v>
      </c>
      <c r="H5" t="n">
        <v>525219301.01</v>
      </c>
      <c r="I5" t="n">
        <v>387266655.65</v>
      </c>
      <c r="J5" t="n">
        <v>506727930.3601029</v>
      </c>
      <c r="K5" t="n">
        <v>456069951.1101319</v>
      </c>
      <c r="L5" t="n">
        <v>314114644.4800917</v>
      </c>
      <c r="M5" t="n">
        <v>9683732.09</v>
      </c>
      <c r="N5" t="n">
        <v>5923743.42</v>
      </c>
      <c r="O5" t="n">
        <v>43595332.89</v>
      </c>
      <c r="P5" t="n">
        <v>81541092.59</v>
      </c>
      <c r="Q5" t="n">
        <v>12791072.2</v>
      </c>
      <c r="R5" t="n">
        <v>62891118.2</v>
      </c>
      <c r="S5" t="n">
        <v>2264982160</v>
      </c>
      <c r="T5" s="31" t="n">
        <v>44515</v>
      </c>
      <c r="U5" t="n">
        <v>18.32</v>
      </c>
      <c r="V5" t="n">
        <v>11878300</v>
      </c>
      <c r="W5" t="n">
        <v>217610456</v>
      </c>
      <c r="X5" t="n">
        <v>29.62</v>
      </c>
      <c r="Y5" t="n">
        <v>0</v>
      </c>
      <c r="Z5" t="n">
        <v>0</v>
      </c>
    </row>
    <row r="6">
      <c r="A6" t="inlineStr">
        <is>
          <t>A股</t>
        </is>
      </c>
      <c r="B6" t="inlineStr">
        <is>
          <t>920978</t>
        </is>
      </c>
      <c r="C6" t="inlineStr">
        <is>
          <t>开特股份</t>
        </is>
      </c>
      <c r="D6" s="31" t="n">
        <v>46022</v>
      </c>
      <c r="E6" t="inlineStr">
        <is>
          <t>CNY</t>
        </is>
      </c>
      <c r="F6" t="inlineStr">
        <is>
          <t>CNY</t>
        </is>
      </c>
      <c r="G6" t="n">
        <v>1129472349.35</v>
      </c>
      <c r="H6" t="n">
        <v>826362944.51</v>
      </c>
      <c r="I6" t="n">
        <v>514677663.32</v>
      </c>
      <c r="J6" t="n">
        <v>766847299.3999228</v>
      </c>
      <c r="K6" t="n">
        <v>556572425.3000026</v>
      </c>
      <c r="L6" t="n">
        <v>354934016.1601504</v>
      </c>
      <c r="M6" t="n">
        <v>173158446.27</v>
      </c>
      <c r="N6" t="n">
        <v>137845694.15</v>
      </c>
      <c r="O6" t="n">
        <v>77385535.70999999</v>
      </c>
      <c r="P6" t="n">
        <v>166904265.93</v>
      </c>
      <c r="Q6" t="n">
        <v>125744625.96</v>
      </c>
      <c r="R6" t="n">
        <v>-13887760.11</v>
      </c>
      <c r="S6" t="n">
        <v>3389936052</v>
      </c>
      <c r="T6" s="31" t="n">
        <v>45197</v>
      </c>
      <c r="U6" t="n">
        <v>7.37</v>
      </c>
      <c r="V6" t="n">
        <v>18000000</v>
      </c>
      <c r="W6" t="n">
        <v>132660000</v>
      </c>
      <c r="X6" t="n">
        <v>18.83</v>
      </c>
      <c r="Y6" t="n">
        <v>0</v>
      </c>
      <c r="Z6" t="n">
        <v>0</v>
      </c>
    </row>
    <row r="7">
      <c r="A7" t="inlineStr">
        <is>
          <t>A股</t>
        </is>
      </c>
      <c r="B7" t="inlineStr">
        <is>
          <t>920976</t>
        </is>
      </c>
      <c r="C7" t="inlineStr">
        <is>
          <t>视声智能</t>
        </is>
      </c>
      <c r="D7" s="31" t="n">
        <v>46022</v>
      </c>
      <c r="E7" t="inlineStr">
        <is>
          <t>CNY</t>
        </is>
      </c>
      <c r="F7" t="inlineStr">
        <is>
          <t>CNY</t>
        </is>
      </c>
      <c r="G7" t="n">
        <v>302235426.9</v>
      </c>
      <c r="H7" t="n">
        <v>248683232.56</v>
      </c>
      <c r="I7" t="n">
        <v>231732821.28</v>
      </c>
      <c r="J7" t="n">
        <v>134272503.5799621</v>
      </c>
      <c r="K7" t="n">
        <v>120519541.1899114</v>
      </c>
      <c r="L7" t="n">
        <v>131023624.6099797</v>
      </c>
      <c r="M7" t="n">
        <v>67325861.42</v>
      </c>
      <c r="N7" t="n">
        <v>47679450.76</v>
      </c>
      <c r="O7" t="n">
        <v>34064007.96</v>
      </c>
      <c r="P7" t="n">
        <v>63072630.06</v>
      </c>
      <c r="Q7" t="n">
        <v>51275634.59</v>
      </c>
      <c r="R7" t="n">
        <v>45506289.09</v>
      </c>
      <c r="S7" t="n">
        <v>1304123492</v>
      </c>
      <c r="T7" s="31" t="n">
        <v>45170</v>
      </c>
      <c r="U7" t="n">
        <v>10.3</v>
      </c>
      <c r="V7" t="n">
        <v>12700000</v>
      </c>
      <c r="W7" t="n">
        <v>130810000</v>
      </c>
      <c r="X7" t="n">
        <v>18.38</v>
      </c>
      <c r="Y7" t="n">
        <v>0</v>
      </c>
      <c r="Z7" t="n">
        <v>0</v>
      </c>
    </row>
    <row r="8">
      <c r="A8" t="inlineStr">
        <is>
          <t>A股</t>
        </is>
      </c>
      <c r="B8" t="inlineStr">
        <is>
          <t>920974</t>
        </is>
      </c>
      <c r="C8" t="inlineStr">
        <is>
          <t>凯大催化</t>
        </is>
      </c>
      <c r="D8" s="31" t="n">
        <v>46022</v>
      </c>
      <c r="E8" t="inlineStr">
        <is>
          <t>CNY</t>
        </is>
      </c>
      <c r="F8" t="inlineStr">
        <is>
          <t>CNY</t>
        </is>
      </c>
      <c r="G8" t="n">
        <v>1072309001.86</v>
      </c>
      <c r="H8" t="n">
        <v>1061608140.89</v>
      </c>
      <c r="I8" t="n">
        <v>1619073601.02</v>
      </c>
      <c r="J8" t="n">
        <v>1014380701.410396</v>
      </c>
      <c r="K8" t="n">
        <v>1026366094.300163</v>
      </c>
      <c r="L8" t="n">
        <v>1532139127.500056</v>
      </c>
      <c r="M8" t="n">
        <v>25496094.45</v>
      </c>
      <c r="N8" t="n">
        <v>20325941.04</v>
      </c>
      <c r="O8" t="n">
        <v>61343931.8</v>
      </c>
      <c r="P8" t="n">
        <v>-10472710.72</v>
      </c>
      <c r="Q8" t="n">
        <v>23628705.03</v>
      </c>
      <c r="R8" t="n">
        <v>14427235.81</v>
      </c>
      <c r="S8" t="n">
        <v>1033578000</v>
      </c>
      <c r="T8" s="31" t="n">
        <v>44993</v>
      </c>
      <c r="U8" t="n">
        <v>6.26</v>
      </c>
      <c r="V8" t="n">
        <v>10000000</v>
      </c>
      <c r="W8" t="n">
        <v>62600000</v>
      </c>
      <c r="X8" t="n">
        <v>6.31</v>
      </c>
      <c r="Y8" t="n">
        <v>0</v>
      </c>
      <c r="Z8" t="n">
        <v>0</v>
      </c>
    </row>
    <row r="9">
      <c r="A9" t="inlineStr">
        <is>
          <t>A股</t>
        </is>
      </c>
      <c r="B9" t="inlineStr">
        <is>
          <t>920971</t>
        </is>
      </c>
      <c r="C9" t="inlineStr">
        <is>
          <t>天马新材</t>
        </is>
      </c>
      <c r="D9" s="31" t="n">
        <v>46022</v>
      </c>
      <c r="E9" t="inlineStr">
        <is>
          <t>CNY</t>
        </is>
      </c>
      <c r="F9" t="inlineStr">
        <is>
          <t>CNY</t>
        </is>
      </c>
      <c r="G9" t="n">
        <v>273659687.28</v>
      </c>
      <c r="H9" t="n">
        <v>254849011.82</v>
      </c>
      <c r="I9" t="n">
        <v>185933216.72</v>
      </c>
      <c r="J9" t="n">
        <v>225102105.0499674</v>
      </c>
      <c r="K9" t="n">
        <v>193152767.4400639</v>
      </c>
      <c r="L9" t="n">
        <v>132021824.8699526</v>
      </c>
      <c r="M9" t="n">
        <v>38164172.88</v>
      </c>
      <c r="N9" t="n">
        <v>39379873.71</v>
      </c>
      <c r="O9" t="n">
        <v>35635027.68</v>
      </c>
      <c r="P9" t="n">
        <v>18878197.23</v>
      </c>
      <c r="Q9" t="n">
        <v>6393064.07</v>
      </c>
      <c r="R9" t="n">
        <v>-21303607.33</v>
      </c>
      <c r="S9" t="n">
        <v>2886151736</v>
      </c>
      <c r="T9" s="31" t="n">
        <v>44831</v>
      </c>
      <c r="U9" t="n">
        <v>21.38</v>
      </c>
      <c r="V9" t="n">
        <v>14406668</v>
      </c>
      <c r="W9" t="n">
        <v>308014561.84</v>
      </c>
      <c r="X9" t="n">
        <v>27.76</v>
      </c>
      <c r="Y9" t="n">
        <v>0</v>
      </c>
      <c r="Z9" t="n">
        <v>0</v>
      </c>
    </row>
    <row r="10">
      <c r="A10" t="inlineStr">
        <is>
          <t>A股</t>
        </is>
      </c>
      <c r="B10" t="inlineStr">
        <is>
          <t>920970</t>
        </is>
      </c>
      <c r="C10" t="inlineStr">
        <is>
          <t>大禹生物</t>
        </is>
      </c>
      <c r="D10" s="31" t="n">
        <v>46022</v>
      </c>
      <c r="E10" t="inlineStr">
        <is>
          <t>CNY</t>
        </is>
      </c>
      <c r="F10" t="inlineStr">
        <is>
          <t>CNY</t>
        </is>
      </c>
      <c r="G10" t="n">
        <v>167480613.05</v>
      </c>
      <c r="H10" t="n">
        <v>122511959.17</v>
      </c>
      <c r="I10" t="n">
        <v>156983059.01</v>
      </c>
      <c r="J10" t="n">
        <v>154050474.5800008</v>
      </c>
      <c r="K10" t="n">
        <v>91912539.65005566</v>
      </c>
      <c r="L10" t="n">
        <v>88219050.5200547</v>
      </c>
      <c r="M10" t="n">
        <v>-29853181.08</v>
      </c>
      <c r="N10" t="n">
        <v>-23942694.68</v>
      </c>
      <c r="O10" t="n">
        <v>18147189.57</v>
      </c>
      <c r="P10" t="n">
        <v>10181364.34</v>
      </c>
      <c r="Q10" t="n">
        <v>18393493.95</v>
      </c>
      <c r="R10" t="n">
        <v>26602938.13</v>
      </c>
      <c r="S10" t="n">
        <v>720205200</v>
      </c>
      <c r="T10" s="31" t="n">
        <v>44699</v>
      </c>
      <c r="U10" t="n">
        <v>10</v>
      </c>
      <c r="V10" t="n">
        <v>15000000</v>
      </c>
      <c r="W10" t="n">
        <v>150000000</v>
      </c>
      <c r="X10" t="n">
        <v>6.5</v>
      </c>
      <c r="Y10" t="n">
        <v>0</v>
      </c>
      <c r="Z10" t="n">
        <v>0</v>
      </c>
    </row>
    <row r="11">
      <c r="A11" t="inlineStr">
        <is>
          <t>A股</t>
        </is>
      </c>
      <c r="B11" t="inlineStr">
        <is>
          <t>920964</t>
        </is>
      </c>
      <c r="C11" t="inlineStr">
        <is>
          <t>润农节水</t>
        </is>
      </c>
      <c r="D11" s="31" t="n">
        <v>46022</v>
      </c>
      <c r="E11" t="inlineStr">
        <is>
          <t>CNY</t>
        </is>
      </c>
      <c r="F11" t="inlineStr">
        <is>
          <t>CNY</t>
        </is>
      </c>
      <c r="G11" t="n">
        <v>1030563588.49</v>
      </c>
      <c r="H11" t="n">
        <v>983575322.75</v>
      </c>
      <c r="I11" t="n">
        <v>659915579.7</v>
      </c>
      <c r="J11" t="n">
        <v>891036770.3395536</v>
      </c>
      <c r="K11" t="n">
        <v>831171063.7504094</v>
      </c>
      <c r="L11" t="n">
        <v>522146323.460274</v>
      </c>
      <c r="M11" t="n">
        <v>-16769481.7</v>
      </c>
      <c r="N11" t="n">
        <v>7948923.03</v>
      </c>
      <c r="O11" t="n">
        <v>49573272.98</v>
      </c>
      <c r="P11" t="n">
        <v>-15295209.79</v>
      </c>
      <c r="Q11" t="n">
        <v>69506556.34999999</v>
      </c>
      <c r="R11" t="n">
        <v>68747530.92</v>
      </c>
      <c r="S11" t="n">
        <v>1358281600</v>
      </c>
      <c r="T11" s="31" t="n">
        <v>44039</v>
      </c>
      <c r="U11" t="n">
        <v>4.7</v>
      </c>
      <c r="V11" t="n">
        <v>40000000</v>
      </c>
      <c r="W11" t="n">
        <v>188000000</v>
      </c>
      <c r="X11" t="n">
        <v>5.2</v>
      </c>
      <c r="Y11" t="n">
        <v>0</v>
      </c>
      <c r="Z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46263.26197438478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0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大宗交易</t>
        </is>
      </c>
      <c r="E3" t="inlineStr">
        <is>
          <t>东方财富</t>
        </is>
      </c>
      <c r="F3" t="inlineStr">
        <is>
          <t>RPT_DATA_BLOCKTRADE 2026（全市场分页后本地聚合）</t>
        </is>
      </c>
      <c r="G3" s="32" t="n">
        <v>46263.26197816261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东方财富</t>
        </is>
      </c>
      <c r="N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年度财务</t>
        </is>
      </c>
      <c r="E4" t="inlineStr">
        <is>
          <t>东方财富</t>
        </is>
      </c>
      <c r="F4" t="inlineStr">
        <is>
          <t>RPT_LICO_FN_CPD + RPT_DMSK_FN_CASHFLOW；巨潮回退原因：未配置巨潮官方 API 凭证/端点（CNINFO_ACCESS_TOKEN、CNINFO_INCOME_API_URL、CNINFO_CASHFLOW_API_URL）</t>
        </is>
      </c>
      <c r="G4" s="32" t="n">
        <v>46263.26198194376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1</v>
      </c>
      <c r="M4" t="inlineStr">
        <is>
          <t>巨潮资讯（CNINFO Data Service）</t>
        </is>
      </c>
      <c r="N4" t="b">
        <v>0</v>
      </c>
    </row>
    <row r="5">
      <c r="A5" t="inlineStr">
        <is>
          <t>A股</t>
        </is>
      </c>
      <c r="B5" t="inlineStr">
        <is>
          <t>920992</t>
        </is>
      </c>
      <c r="C5" t="inlineStr">
        <is>
          <t>中科美菱</t>
        </is>
      </c>
      <c r="D5" t="inlineStr">
        <is>
          <t>上市与发行信息</t>
        </is>
      </c>
      <c r="E5" t="inlineStr">
        <is>
          <t>东方财富</t>
        </is>
      </c>
      <c r="F5" t="inlineStr">
        <is>
          <t>RPT_PCF10_ORG_ISSUEINFO</t>
        </is>
      </c>
      <c r="G5" s="32" t="n">
        <v>46263.26199457399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0</v>
      </c>
    </row>
    <row r="6">
      <c r="A6" t="inlineStr">
        <is>
          <t>A股</t>
        </is>
      </c>
      <c r="B6" t="inlineStr">
        <is>
          <t>920992</t>
        </is>
      </c>
      <c r="C6" t="inlineStr">
        <is>
          <t>中科美菱</t>
        </is>
      </c>
      <c r="D6" t="inlineStr">
        <is>
          <t>资金流</t>
        </is>
      </c>
      <c r="E6" t="inlineStr">
        <is>
          <t>东方财富</t>
        </is>
      </c>
      <c r="F6" t="inlineStr">
        <is>
          <t>fast-mode-no-reliable-batch-endpoint</t>
        </is>
      </c>
      <c r="G6" s="32" t="n">
        <v>46263.2619987447</v>
      </c>
      <c r="I6" t="inlineStr">
        <is>
          <t>CNY</t>
        </is>
      </c>
      <c r="J6" t="inlineStr">
        <is>
          <t>optional_missing</t>
        </is>
      </c>
      <c r="K6" t="inlineStr">
        <is>
          <t>快速模式未发现可靠的批量近五个交易日同口径字段，为避免逐股慢请求，本次留空</t>
        </is>
      </c>
      <c r="L6" t="b">
        <v>0</v>
      </c>
      <c r="M6" t="inlineStr">
        <is>
          <t>东方财富</t>
        </is>
      </c>
      <c r="N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f2,f20（按指定证券分批）</t>
        </is>
      </c>
      <c r="G7" s="32" t="n">
        <v>46263.26197438478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0</v>
      </c>
    </row>
    <row r="8">
      <c r="A8" t="inlineStr">
        <is>
          <t>A股</t>
        </is>
      </c>
      <c r="B8" t="inlineStr">
        <is>
          <t>920985</t>
        </is>
      </c>
      <c r="C8" t="inlineStr">
        <is>
          <t>海泰新能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RPT_DATA_BLOCKTRADE 2026（全市场分页后本地聚合）</t>
        </is>
      </c>
      <c r="G8" s="32" t="n">
        <v>46263.26197816261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东方财富</t>
        </is>
      </c>
      <c r="N8" t="b">
        <v>0</v>
      </c>
    </row>
    <row r="9">
      <c r="A9" t="inlineStr">
        <is>
          <t>A股</t>
        </is>
      </c>
      <c r="B9" t="inlineStr">
        <is>
          <t>920985</t>
        </is>
      </c>
      <c r="C9" t="inlineStr">
        <is>
          <t>海泰新能</t>
        </is>
      </c>
      <c r="D9" t="inlineStr">
        <is>
          <t>年度财务</t>
        </is>
      </c>
      <c r="E9" t="inlineStr">
        <is>
          <t>东方财富</t>
        </is>
      </c>
      <c r="F9" t="inlineStr">
        <is>
          <t>RPT_LICO_FN_CPD + RPT_DMSK_FN_CASHFLOW；巨潮回退原因：未配置巨潮官方 API 凭证/端点（CNINFO_ACCESS_TOKEN、CNINFO_INCOME_API_URL、CNINFO_CASHFLOW_API_URL）</t>
        </is>
      </c>
      <c r="G9" s="32" t="n">
        <v>46263.26198255425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1</v>
      </c>
      <c r="M9" t="inlineStr">
        <is>
          <t>巨潮资讯（CNINFO Data Service）</t>
        </is>
      </c>
      <c r="N9" t="b">
        <v>0</v>
      </c>
    </row>
    <row r="10">
      <c r="A10" t="inlineStr">
        <is>
          <t>A股</t>
        </is>
      </c>
      <c r="B10" t="inlineStr">
        <is>
          <t>920985</t>
        </is>
      </c>
      <c r="C10" t="inlineStr">
        <is>
          <t>海泰新能</t>
        </is>
      </c>
      <c r="D10" t="inlineStr">
        <is>
          <t>上市与发行信息</t>
        </is>
      </c>
      <c r="E10" t="inlineStr">
        <is>
          <t>东方财富</t>
        </is>
      </c>
      <c r="F10" t="inlineStr">
        <is>
          <t>RPT_PCF10_ORG_ISSUEINFO</t>
        </is>
      </c>
      <c r="G10" s="32" t="n">
        <v>46263.2619933051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0</v>
      </c>
    </row>
    <row r="11">
      <c r="A11" t="inlineStr">
        <is>
          <t>A股</t>
        </is>
      </c>
      <c r="B11" t="inlineStr">
        <is>
          <t>920985</t>
        </is>
      </c>
      <c r="C11" t="inlineStr">
        <is>
          <t>海泰新能</t>
        </is>
      </c>
      <c r="D11" t="inlineStr">
        <is>
          <t>资金流</t>
        </is>
      </c>
      <c r="E11" t="inlineStr">
        <is>
          <t>东方财富</t>
        </is>
      </c>
      <c r="F11" t="inlineStr">
        <is>
          <t>fast-mode-no-reliable-batch-endpoint</t>
        </is>
      </c>
      <c r="G11" s="32" t="n">
        <v>46263.2619987447</v>
      </c>
      <c r="I11" t="inlineStr">
        <is>
          <t>CNY</t>
        </is>
      </c>
      <c r="J11" t="inlineStr">
        <is>
          <t>optional_missing</t>
        </is>
      </c>
      <c r="K11" t="inlineStr">
        <is>
          <t>快速模式未发现可靠的批量近五个交易日同口径字段，为避免逐股慢请求，本次留空</t>
        </is>
      </c>
      <c r="L11" t="b">
        <v>0</v>
      </c>
      <c r="M11" t="inlineStr">
        <is>
          <t>东方财富</t>
        </is>
      </c>
      <c r="N11" t="b">
        <v>0</v>
      </c>
    </row>
    <row r="12">
      <c r="A12" t="inlineStr">
        <is>
          <t>A股</t>
        </is>
      </c>
      <c r="B12" t="inlineStr">
        <is>
          <t>920982</t>
        </is>
      </c>
      <c r="C12" t="inlineStr">
        <is>
          <t>锦波生物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f2,f20（按指定证券分批）</t>
        </is>
      </c>
      <c r="G12" s="32" t="n">
        <v>46263.26197438478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0</v>
      </c>
    </row>
    <row r="13">
      <c r="A13" t="inlineStr">
        <is>
          <t>A股</t>
        </is>
      </c>
      <c r="B13" t="inlineStr">
        <is>
          <t>920982</t>
        </is>
      </c>
      <c r="C13" t="inlineStr">
        <is>
          <t>锦波生物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RPT_DATA_BLOCKTRADE 2026（全市场分页后本地聚合）</t>
        </is>
      </c>
      <c r="G13" s="32" t="n">
        <v>46263.26197816261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东方财富</t>
        </is>
      </c>
      <c r="N13" t="b">
        <v>0</v>
      </c>
    </row>
    <row r="14">
      <c r="A14" t="inlineStr">
        <is>
          <t>A股</t>
        </is>
      </c>
      <c r="B14" t="inlineStr">
        <is>
          <t>920982</t>
        </is>
      </c>
      <c r="C14" t="inlineStr">
        <is>
          <t>锦波生物</t>
        </is>
      </c>
      <c r="D14" t="inlineStr">
        <is>
          <t>年度财务</t>
        </is>
      </c>
      <c r="E14" t="inlineStr">
        <is>
          <t>东方财富</t>
        </is>
      </c>
      <c r="F14" t="inlineStr">
        <is>
          <t>RPT_LICO_FN_CPD + RPT_DMSK_FN_CASHFLOW；巨潮回退原因：未配置巨潮官方 API 凭证/端点（CNINFO_ACCESS_TOKEN、CNINFO_INCOME_API_URL、CNINFO_CASHFLOW_API_URL）</t>
        </is>
      </c>
      <c r="G14" s="32" t="n">
        <v>46263.26198365506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1</v>
      </c>
      <c r="M14" t="inlineStr">
        <is>
          <t>巨潮资讯（CNINFO Data Service）</t>
        </is>
      </c>
      <c r="N14" t="b">
        <v>0</v>
      </c>
    </row>
    <row r="15">
      <c r="A15" t="inlineStr">
        <is>
          <t>A股</t>
        </is>
      </c>
      <c r="B15" t="inlineStr">
        <is>
          <t>920982</t>
        </is>
      </c>
      <c r="C15" t="inlineStr">
        <is>
          <t>锦波生物</t>
        </is>
      </c>
      <c r="D15" t="inlineStr">
        <is>
          <t>上市与发行信息</t>
        </is>
      </c>
      <c r="E15" t="inlineStr">
        <is>
          <t>东方财富</t>
        </is>
      </c>
      <c r="F15" t="inlineStr">
        <is>
          <t>RPT_PCF10_ORG_ISSUEINFO</t>
        </is>
      </c>
      <c r="G15" s="32" t="n">
        <v>46263.26199382858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0</v>
      </c>
    </row>
    <row r="16">
      <c r="A16" t="inlineStr">
        <is>
          <t>A股</t>
        </is>
      </c>
      <c r="B16" t="inlineStr">
        <is>
          <t>920982</t>
        </is>
      </c>
      <c r="C16" t="inlineStr">
        <is>
          <t>锦波生物</t>
        </is>
      </c>
      <c r="D16" t="inlineStr">
        <is>
          <t>资金流</t>
        </is>
      </c>
      <c r="E16" t="inlineStr">
        <is>
          <t>东方财富</t>
        </is>
      </c>
      <c r="F16" t="inlineStr">
        <is>
          <t>fast-mode-no-reliable-batch-endpoint</t>
        </is>
      </c>
      <c r="G16" s="32" t="n">
        <v>46263.2619987447</v>
      </c>
      <c r="I16" t="inlineStr">
        <is>
          <t>CNY</t>
        </is>
      </c>
      <c r="J16" t="inlineStr">
        <is>
          <t>optional_missing</t>
        </is>
      </c>
      <c r="K16" t="inlineStr">
        <is>
          <t>快速模式未发现可靠的批量近五个交易日同口径字段，为避免逐股慢请求，本次留空</t>
        </is>
      </c>
      <c r="L16" t="b">
        <v>0</v>
      </c>
      <c r="M16" t="inlineStr">
        <is>
          <t>东方财富</t>
        </is>
      </c>
      <c r="N16" t="b">
        <v>0</v>
      </c>
    </row>
    <row r="17">
      <c r="A17" t="inlineStr">
        <is>
          <t>A股</t>
        </is>
      </c>
      <c r="B17" t="inlineStr">
        <is>
          <t>920981</t>
        </is>
      </c>
      <c r="C17" t="inlineStr">
        <is>
          <t>晶赛科技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f2,f20（按指定证券分批）</t>
        </is>
      </c>
      <c r="G17" s="32" t="n">
        <v>46263.26197438478</v>
      </c>
      <c r="H17" t="inlineStr">
        <is>
          <t>CNY</t>
        </is>
      </c>
      <c r="I17" t="inlineStr">
        <is>
          <t>CNY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b">
        <v>0</v>
      </c>
    </row>
    <row r="18">
      <c r="A18" t="inlineStr">
        <is>
          <t>A股</t>
        </is>
      </c>
      <c r="B18" t="inlineStr">
        <is>
          <t>920981</t>
        </is>
      </c>
      <c r="C18" t="inlineStr">
        <is>
          <t>晶赛科技</t>
        </is>
      </c>
      <c r="D18" t="inlineStr">
        <is>
          <t>大宗交易</t>
        </is>
      </c>
      <c r="E18" t="inlineStr">
        <is>
          <t>东方财富</t>
        </is>
      </c>
      <c r="F18" t="inlineStr">
        <is>
          <t>RPT_DATA_BLOCKTRADE 2026（全市场分页后本地聚合）</t>
        </is>
      </c>
      <c r="G18" s="32" t="n">
        <v>46263.26197816261</v>
      </c>
      <c r="H18" t="inlineStr">
        <is>
          <t>CNY</t>
        </is>
      </c>
      <c r="I18" t="inlineStr">
        <is>
          <t>CNY</t>
        </is>
      </c>
      <c r="J18" t="inlineStr">
        <is>
          <t>ok</t>
        </is>
      </c>
      <c r="L18" t="b">
        <v>0</v>
      </c>
      <c r="M18" t="inlineStr">
        <is>
          <t>东方财富</t>
        </is>
      </c>
      <c r="N18" t="b">
        <v>0</v>
      </c>
    </row>
    <row r="19">
      <c r="A19" t="inlineStr">
        <is>
          <t>A股</t>
        </is>
      </c>
      <c r="B19" t="inlineStr">
        <is>
          <t>920981</t>
        </is>
      </c>
      <c r="C19" t="inlineStr">
        <is>
          <t>晶赛科技</t>
        </is>
      </c>
      <c r="D19" t="inlineStr">
        <is>
          <t>年度财务</t>
        </is>
      </c>
      <c r="E19" t="inlineStr">
        <is>
          <t>东方财富</t>
        </is>
      </c>
      <c r="F19" t="inlineStr">
        <is>
          <t>RPT_LICO_FN_CPD + RPT_DMSK_FN_CASHFLOW；巨潮回退原因：未配置巨潮官方 API 凭证/端点（CNINFO_ACCESS_TOKEN、CNINFO_INCOME_API_URL、CNINFO_CASHFLOW_API_URL）</t>
        </is>
      </c>
      <c r="G19" s="32" t="n">
        <v>46263.26198430204</v>
      </c>
      <c r="H19" t="inlineStr">
        <is>
          <t>CNY</t>
        </is>
      </c>
      <c r="I19" t="inlineStr">
        <is>
          <t>CNY</t>
        </is>
      </c>
      <c r="J19" t="inlineStr">
        <is>
          <t>ok</t>
        </is>
      </c>
      <c r="L19" t="b">
        <v>1</v>
      </c>
      <c r="M19" t="inlineStr">
        <is>
          <t>巨潮资讯（CNINFO Data Service）</t>
        </is>
      </c>
      <c r="N19" t="b">
        <v>0</v>
      </c>
    </row>
    <row r="20">
      <c r="A20" t="inlineStr">
        <is>
          <t>A股</t>
        </is>
      </c>
      <c r="B20" t="inlineStr">
        <is>
          <t>920981</t>
        </is>
      </c>
      <c r="C20" t="inlineStr">
        <is>
          <t>晶赛科技</t>
        </is>
      </c>
      <c r="D20" t="inlineStr">
        <is>
          <t>上市与发行信息</t>
        </is>
      </c>
      <c r="E20" t="inlineStr">
        <is>
          <t>东方财富</t>
        </is>
      </c>
      <c r="F20" t="inlineStr">
        <is>
          <t>RPT_PCF10_ORG_ISSUEINFO</t>
        </is>
      </c>
      <c r="G20" s="32" t="n">
        <v>46263.26199389634</v>
      </c>
      <c r="H20" t="inlineStr">
        <is>
          <t>CNY</t>
        </is>
      </c>
      <c r="I20" t="inlineStr">
        <is>
          <t>CNY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b">
        <v>0</v>
      </c>
    </row>
    <row r="21">
      <c r="A21" t="inlineStr">
        <is>
          <t>A股</t>
        </is>
      </c>
      <c r="B21" t="inlineStr">
        <is>
          <t>920981</t>
        </is>
      </c>
      <c r="C21" t="inlineStr">
        <is>
          <t>晶赛科技</t>
        </is>
      </c>
      <c r="D21" t="inlineStr">
        <is>
          <t>资金流</t>
        </is>
      </c>
      <c r="E21" t="inlineStr">
        <is>
          <t>东方财富</t>
        </is>
      </c>
      <c r="F21" t="inlineStr">
        <is>
          <t>fast-mode-no-reliable-batch-endpoint</t>
        </is>
      </c>
      <c r="G21" s="32" t="n">
        <v>46263.2619987447</v>
      </c>
      <c r="I21" t="inlineStr">
        <is>
          <t>CNY</t>
        </is>
      </c>
      <c r="J21" t="inlineStr">
        <is>
          <t>optional_missing</t>
        </is>
      </c>
      <c r="K21" t="inlineStr">
        <is>
          <t>快速模式未发现可靠的批量近五个交易日同口径字段，为避免逐股慢请求，本次留空</t>
        </is>
      </c>
      <c r="L21" t="b">
        <v>0</v>
      </c>
      <c r="M21" t="inlineStr">
        <is>
          <t>东方财富</t>
        </is>
      </c>
      <c r="N21" t="b">
        <v>0</v>
      </c>
    </row>
    <row r="22">
      <c r="A22" t="inlineStr">
        <is>
          <t>A股</t>
        </is>
      </c>
      <c r="B22" t="inlineStr">
        <is>
          <t>920978</t>
        </is>
      </c>
      <c r="C22" t="inlineStr">
        <is>
          <t>开特股份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f2,f20（按指定证券分批）</t>
        </is>
      </c>
      <c r="G22" s="32" t="n">
        <v>46263.26197438478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b">
        <v>0</v>
      </c>
    </row>
    <row r="23">
      <c r="A23" t="inlineStr">
        <is>
          <t>A股</t>
        </is>
      </c>
      <c r="B23" t="inlineStr">
        <is>
          <t>920978</t>
        </is>
      </c>
      <c r="C23" t="inlineStr">
        <is>
          <t>开特股份</t>
        </is>
      </c>
      <c r="D23" t="inlineStr">
        <is>
          <t>大宗交易</t>
        </is>
      </c>
      <c r="E23" t="inlineStr">
        <is>
          <t>东方财富</t>
        </is>
      </c>
      <c r="F23" t="inlineStr">
        <is>
          <t>RPT_DATA_BLOCKTRADE 2026（全市场分页后本地聚合）</t>
        </is>
      </c>
      <c r="G23" s="32" t="n">
        <v>46263.26197816261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0</v>
      </c>
      <c r="M23" t="inlineStr">
        <is>
          <t>东方财富</t>
        </is>
      </c>
      <c r="N23" t="b">
        <v>0</v>
      </c>
    </row>
    <row r="24">
      <c r="A24" t="inlineStr">
        <is>
          <t>A股</t>
        </is>
      </c>
      <c r="B24" t="inlineStr">
        <is>
          <t>920978</t>
        </is>
      </c>
      <c r="C24" t="inlineStr">
        <is>
          <t>开特股份</t>
        </is>
      </c>
      <c r="D24" t="inlineStr">
        <is>
          <t>年度财务</t>
        </is>
      </c>
      <c r="E24" t="inlineStr">
        <is>
          <t>东方财富</t>
        </is>
      </c>
      <c r="F24" t="inlineStr">
        <is>
          <t>RPT_LICO_FN_CPD + RPT_DMSK_FN_CASHFLOW；巨潮回退原因：未配置巨潮官方 API 凭证/端点（CNINFO_ACCESS_TOKEN、CNINFO_INCOME_API_URL、CNINFO_CASHFLOW_API_URL）</t>
        </is>
      </c>
      <c r="G24" s="32" t="n">
        <v>46263.26198611679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1</v>
      </c>
      <c r="M24" t="inlineStr">
        <is>
          <t>巨潮资讯（CNINFO Data Service）</t>
        </is>
      </c>
      <c r="N24" t="b">
        <v>0</v>
      </c>
    </row>
    <row r="25">
      <c r="A25" t="inlineStr">
        <is>
          <t>A股</t>
        </is>
      </c>
      <c r="B25" t="inlineStr">
        <is>
          <t>920978</t>
        </is>
      </c>
      <c r="C25" t="inlineStr">
        <is>
          <t>开特股份</t>
        </is>
      </c>
      <c r="D25" t="inlineStr">
        <is>
          <t>上市与发行信息</t>
        </is>
      </c>
      <c r="E25" t="inlineStr">
        <is>
          <t>东方财富</t>
        </is>
      </c>
      <c r="F25" t="inlineStr">
        <is>
          <t>RPT_PCF10_ORG_ISSUEINFO</t>
        </is>
      </c>
      <c r="G25" s="32" t="n">
        <v>46263.26199514762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b">
        <v>0</v>
      </c>
    </row>
    <row r="26">
      <c r="A26" t="inlineStr">
        <is>
          <t>A股</t>
        </is>
      </c>
      <c r="B26" t="inlineStr">
        <is>
          <t>920978</t>
        </is>
      </c>
      <c r="C26" t="inlineStr">
        <is>
          <t>开特股份</t>
        </is>
      </c>
      <c r="D26" t="inlineStr">
        <is>
          <t>资金流</t>
        </is>
      </c>
      <c r="E26" t="inlineStr">
        <is>
          <t>东方财富</t>
        </is>
      </c>
      <c r="F26" t="inlineStr">
        <is>
          <t>fast-mode-no-reliable-batch-endpoint</t>
        </is>
      </c>
      <c r="G26" s="32" t="n">
        <v>46263.2619987447</v>
      </c>
      <c r="I26" t="inlineStr">
        <is>
          <t>CNY</t>
        </is>
      </c>
      <c r="J26" t="inlineStr">
        <is>
          <t>optional_missing</t>
        </is>
      </c>
      <c r="K26" t="inlineStr">
        <is>
          <t>快速模式未发现可靠的批量近五个交易日同口径字段，为避免逐股慢请求，本次留空</t>
        </is>
      </c>
      <c r="L26" t="b">
        <v>0</v>
      </c>
      <c r="M26" t="inlineStr">
        <is>
          <t>东方财富</t>
        </is>
      </c>
      <c r="N26" t="b">
        <v>0</v>
      </c>
    </row>
    <row r="27">
      <c r="A27" t="inlineStr">
        <is>
          <t>A股</t>
        </is>
      </c>
      <c r="B27" t="inlineStr">
        <is>
          <t>920976</t>
        </is>
      </c>
      <c r="C27" t="inlineStr">
        <is>
          <t>视声智能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f2,f20（按指定证券分批）</t>
        </is>
      </c>
      <c r="G27" s="32" t="n">
        <v>46263.26197438478</v>
      </c>
      <c r="H27" t="inlineStr">
        <is>
          <t>CNY</t>
        </is>
      </c>
      <c r="I27" t="inlineStr">
        <is>
          <t>CNY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b">
        <v>0</v>
      </c>
    </row>
    <row r="28">
      <c r="A28" t="inlineStr">
        <is>
          <t>A股</t>
        </is>
      </c>
      <c r="B28" t="inlineStr">
        <is>
          <t>920976</t>
        </is>
      </c>
      <c r="C28" t="inlineStr">
        <is>
          <t>视声智能</t>
        </is>
      </c>
      <c r="D28" t="inlineStr">
        <is>
          <t>大宗交易</t>
        </is>
      </c>
      <c r="E28" t="inlineStr">
        <is>
          <t>东方财富</t>
        </is>
      </c>
      <c r="F28" t="inlineStr">
        <is>
          <t>RPT_DATA_BLOCKTRADE 2026（全市场分页后本地聚合）</t>
        </is>
      </c>
      <c r="G28" s="32" t="n">
        <v>46263.26197816261</v>
      </c>
      <c r="H28" t="inlineStr">
        <is>
          <t>CNY</t>
        </is>
      </c>
      <c r="I28" t="inlineStr">
        <is>
          <t>CNY</t>
        </is>
      </c>
      <c r="J28" t="inlineStr">
        <is>
          <t>ok</t>
        </is>
      </c>
      <c r="L28" t="b">
        <v>0</v>
      </c>
      <c r="M28" t="inlineStr">
        <is>
          <t>东方财富</t>
        </is>
      </c>
      <c r="N28" t="b">
        <v>0</v>
      </c>
    </row>
    <row r="29">
      <c r="A29" t="inlineStr">
        <is>
          <t>A股</t>
        </is>
      </c>
      <c r="B29" t="inlineStr">
        <is>
          <t>920976</t>
        </is>
      </c>
      <c r="C29" t="inlineStr">
        <is>
          <t>视声智能</t>
        </is>
      </c>
      <c r="D29" t="inlineStr">
        <is>
          <t>年度财务</t>
        </is>
      </c>
      <c r="E29" t="inlineStr">
        <is>
          <t>东方财富</t>
        </is>
      </c>
      <c r="F29" t="inlineStr">
        <is>
          <t>RPT_LICO_FN_CPD + RPT_DMSK_FN_CASHFLOW；巨潮回退原因：未配置巨潮官方 API 凭证/端点（CNINFO_ACCESS_TOKEN、CNINFO_INCOME_API_URL、CNINFO_CASHFLOW_API_URL）</t>
        </is>
      </c>
      <c r="G29" s="32" t="n">
        <v>46263.26198902693</v>
      </c>
      <c r="H29" t="inlineStr">
        <is>
          <t>CNY</t>
        </is>
      </c>
      <c r="I29" t="inlineStr">
        <is>
          <t>CNY</t>
        </is>
      </c>
      <c r="J29" t="inlineStr">
        <is>
          <t>ok</t>
        </is>
      </c>
      <c r="L29" t="b">
        <v>1</v>
      </c>
      <c r="M29" t="inlineStr">
        <is>
          <t>巨潮资讯（CNINFO Data Service）</t>
        </is>
      </c>
      <c r="N29" t="b">
        <v>0</v>
      </c>
    </row>
    <row r="30">
      <c r="A30" t="inlineStr">
        <is>
          <t>A股</t>
        </is>
      </c>
      <c r="B30" t="inlineStr">
        <is>
          <t>920976</t>
        </is>
      </c>
      <c r="C30" t="inlineStr">
        <is>
          <t>视声智能</t>
        </is>
      </c>
      <c r="D30" t="inlineStr">
        <is>
          <t>上市与发行信息</t>
        </is>
      </c>
      <c r="E30" t="inlineStr">
        <is>
          <t>东方财富</t>
        </is>
      </c>
      <c r="F30" t="inlineStr">
        <is>
          <t>RPT_PCF10_ORG_ISSUEINFO</t>
        </is>
      </c>
      <c r="G30" s="32" t="n">
        <v>46263.26199516735</v>
      </c>
      <c r="H30" t="inlineStr">
        <is>
          <t>CNY</t>
        </is>
      </c>
      <c r="I30" t="inlineStr">
        <is>
          <t>CNY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b">
        <v>0</v>
      </c>
    </row>
    <row r="31">
      <c r="A31" t="inlineStr">
        <is>
          <t>A股</t>
        </is>
      </c>
      <c r="B31" t="inlineStr">
        <is>
          <t>920976</t>
        </is>
      </c>
      <c r="C31" t="inlineStr">
        <is>
          <t>视声智能</t>
        </is>
      </c>
      <c r="D31" t="inlineStr">
        <is>
          <t>资金流</t>
        </is>
      </c>
      <c r="E31" t="inlineStr">
        <is>
          <t>东方财富</t>
        </is>
      </c>
      <c r="F31" t="inlineStr">
        <is>
          <t>fast-mode-no-reliable-batch-endpoint</t>
        </is>
      </c>
      <c r="G31" s="32" t="n">
        <v>46263.2619987447</v>
      </c>
      <c r="I31" t="inlineStr">
        <is>
          <t>CNY</t>
        </is>
      </c>
      <c r="J31" t="inlineStr">
        <is>
          <t>optional_missing</t>
        </is>
      </c>
      <c r="K31" t="inlineStr">
        <is>
          <t>快速模式未发现可靠的批量近五个交易日同口径字段，为避免逐股慢请求，本次留空</t>
        </is>
      </c>
      <c r="L31" t="b">
        <v>0</v>
      </c>
      <c r="M31" t="inlineStr">
        <is>
          <t>东方财富</t>
        </is>
      </c>
      <c r="N31" t="b">
        <v>0</v>
      </c>
    </row>
    <row r="32">
      <c r="A32" t="inlineStr">
        <is>
          <t>A股</t>
        </is>
      </c>
      <c r="B32" t="inlineStr">
        <is>
          <t>920974</t>
        </is>
      </c>
      <c r="C32" t="inlineStr">
        <is>
          <t>凯大催化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f2,f20（按指定证券分批）</t>
        </is>
      </c>
      <c r="G32" s="32" t="n">
        <v>46263.26197438478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b">
        <v>0</v>
      </c>
    </row>
    <row r="33">
      <c r="A33" t="inlineStr">
        <is>
          <t>A股</t>
        </is>
      </c>
      <c r="B33" t="inlineStr">
        <is>
          <t>920974</t>
        </is>
      </c>
      <c r="C33" t="inlineStr">
        <is>
          <t>凯大催化</t>
        </is>
      </c>
      <c r="D33" t="inlineStr">
        <is>
          <t>大宗交易</t>
        </is>
      </c>
      <c r="E33" t="inlineStr">
        <is>
          <t>东方财富</t>
        </is>
      </c>
      <c r="F33" t="inlineStr">
        <is>
          <t>RPT_DATA_BLOCKTRADE 2026（全市场分页后本地聚合）</t>
        </is>
      </c>
      <c r="G33" s="32" t="n">
        <v>46263.26197816261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东方财富</t>
        </is>
      </c>
      <c r="N33" t="b">
        <v>0</v>
      </c>
    </row>
    <row r="34">
      <c r="A34" t="inlineStr">
        <is>
          <t>A股</t>
        </is>
      </c>
      <c r="B34" t="inlineStr">
        <is>
          <t>920974</t>
        </is>
      </c>
      <c r="C34" t="inlineStr">
        <is>
          <t>凯大催化</t>
        </is>
      </c>
      <c r="D34" t="inlineStr">
        <is>
          <t>年度财务</t>
        </is>
      </c>
      <c r="E34" t="inlineStr">
        <is>
          <t>东方财富</t>
        </is>
      </c>
      <c r="F34" t="inlineStr">
        <is>
          <t>RPT_LICO_FN_CPD + RPT_DMSK_FN_CASHFLOW；巨潮回退原因：未配置巨潮官方 API 凭证/端点（CNINFO_ACCESS_TOKEN、CNINFO_INCOME_API_URL、CNINFO_CASHFLOW_API_URL）</t>
        </is>
      </c>
      <c r="G34" s="32" t="n">
        <v>46263.26198726806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1</v>
      </c>
      <c r="M34" t="inlineStr">
        <is>
          <t>巨潮资讯（CNINFO Data Service）</t>
        </is>
      </c>
      <c r="N34" t="b">
        <v>0</v>
      </c>
    </row>
    <row r="35">
      <c r="A35" t="inlineStr">
        <is>
          <t>A股</t>
        </is>
      </c>
      <c r="B35" t="inlineStr">
        <is>
          <t>920974</t>
        </is>
      </c>
      <c r="C35" t="inlineStr">
        <is>
          <t>凯大催化</t>
        </is>
      </c>
      <c r="D35" t="inlineStr">
        <is>
          <t>上市与发行信息</t>
        </is>
      </c>
      <c r="E35" t="inlineStr">
        <is>
          <t>东方财富</t>
        </is>
      </c>
      <c r="F35" t="inlineStr">
        <is>
          <t>RPT_PCF10_ORG_ISSUEINFO</t>
        </is>
      </c>
      <c r="G35" s="32" t="n">
        <v>46263.26199552186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b">
        <v>0</v>
      </c>
    </row>
    <row r="36">
      <c r="A36" t="inlineStr">
        <is>
          <t>A股</t>
        </is>
      </c>
      <c r="B36" t="inlineStr">
        <is>
          <t>920974</t>
        </is>
      </c>
      <c r="C36" t="inlineStr">
        <is>
          <t>凯大催化</t>
        </is>
      </c>
      <c r="D36" t="inlineStr">
        <is>
          <t>资金流</t>
        </is>
      </c>
      <c r="E36" t="inlineStr">
        <is>
          <t>东方财富</t>
        </is>
      </c>
      <c r="F36" t="inlineStr">
        <is>
          <t>fast-mode-no-reliable-batch-endpoint</t>
        </is>
      </c>
      <c r="G36" s="32" t="n">
        <v>46263.2619987447</v>
      </c>
      <c r="I36" t="inlineStr">
        <is>
          <t>CNY</t>
        </is>
      </c>
      <c r="J36" t="inlineStr">
        <is>
          <t>optional_missing</t>
        </is>
      </c>
      <c r="K36" t="inlineStr">
        <is>
          <t>快速模式未发现可靠的批量近五个交易日同口径字段，为避免逐股慢请求，本次留空</t>
        </is>
      </c>
      <c r="L36" t="b">
        <v>0</v>
      </c>
      <c r="M36" t="inlineStr">
        <is>
          <t>东方财富</t>
        </is>
      </c>
      <c r="N36" t="b">
        <v>0</v>
      </c>
    </row>
    <row r="37">
      <c r="A37" t="inlineStr">
        <is>
          <t>A股</t>
        </is>
      </c>
      <c r="B37" t="inlineStr">
        <is>
          <t>920971</t>
        </is>
      </c>
      <c r="C37" t="inlineStr">
        <is>
          <t>天马新材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f2,f20（按指定证券分批）</t>
        </is>
      </c>
      <c r="G37" s="32" t="n">
        <v>46263.26197438478</v>
      </c>
      <c r="H37" t="inlineStr">
        <is>
          <t>CNY</t>
        </is>
      </c>
      <c r="I37" t="inlineStr">
        <is>
          <t>CNY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b">
        <v>0</v>
      </c>
    </row>
    <row r="38">
      <c r="A38" t="inlineStr">
        <is>
          <t>A股</t>
        </is>
      </c>
      <c r="B38" t="inlineStr">
        <is>
          <t>920971</t>
        </is>
      </c>
      <c r="C38" t="inlineStr">
        <is>
          <t>天马新材</t>
        </is>
      </c>
      <c r="D38" t="inlineStr">
        <is>
          <t>大宗交易</t>
        </is>
      </c>
      <c r="E38" t="inlineStr">
        <is>
          <t>东方财富</t>
        </is>
      </c>
      <c r="F38" t="inlineStr">
        <is>
          <t>RPT_DATA_BLOCKTRADE 2026（全市场分页后本地聚合）</t>
        </is>
      </c>
      <c r="G38" s="32" t="n">
        <v>46263.26197816915</v>
      </c>
      <c r="H38" t="inlineStr">
        <is>
          <t>CNY</t>
        </is>
      </c>
      <c r="I38" t="inlineStr">
        <is>
          <t>CNY</t>
        </is>
      </c>
      <c r="J38" t="inlineStr">
        <is>
          <t>ok</t>
        </is>
      </c>
      <c r="L38" t="b">
        <v>0</v>
      </c>
      <c r="M38" t="inlineStr">
        <is>
          <t>东方财富</t>
        </is>
      </c>
      <c r="N38" t="b">
        <v>0</v>
      </c>
    </row>
    <row r="39">
      <c r="A39" t="inlineStr">
        <is>
          <t>A股</t>
        </is>
      </c>
      <c r="B39" t="inlineStr">
        <is>
          <t>920971</t>
        </is>
      </c>
      <c r="C39" t="inlineStr">
        <is>
          <t>天马新材</t>
        </is>
      </c>
      <c r="D39" t="inlineStr">
        <is>
          <t>年度财务</t>
        </is>
      </c>
      <c r="E39" t="inlineStr">
        <is>
          <t>东方财富</t>
        </is>
      </c>
      <c r="F39" t="inlineStr">
        <is>
          <t>RPT_LICO_FN_CPD + RPT_DMSK_FN_CASHFLOW；巨潮回退原因：未配置巨潮官方 API 凭证/端点（CNINFO_ACCESS_TOKEN、CNINFO_INCOME_API_URL、CNINFO_CASHFLOW_API_URL）</t>
        </is>
      </c>
      <c r="G39" s="32" t="n">
        <v>46263.26198832566</v>
      </c>
      <c r="H39" t="inlineStr">
        <is>
          <t>CNY</t>
        </is>
      </c>
      <c r="I39" t="inlineStr">
        <is>
          <t>CNY</t>
        </is>
      </c>
      <c r="J39" t="inlineStr">
        <is>
          <t>ok</t>
        </is>
      </c>
      <c r="L39" t="b">
        <v>1</v>
      </c>
      <c r="M39" t="inlineStr">
        <is>
          <t>巨潮资讯（CNINFO Data Service）</t>
        </is>
      </c>
      <c r="N39" t="b">
        <v>0</v>
      </c>
    </row>
    <row r="40">
      <c r="A40" t="inlineStr">
        <is>
          <t>A股</t>
        </is>
      </c>
      <c r="B40" t="inlineStr">
        <is>
          <t>920971</t>
        </is>
      </c>
      <c r="C40" t="inlineStr">
        <is>
          <t>天马新材</t>
        </is>
      </c>
      <c r="D40" t="inlineStr">
        <is>
          <t>上市与发行信息</t>
        </is>
      </c>
      <c r="E40" t="inlineStr">
        <is>
          <t>东方财富</t>
        </is>
      </c>
      <c r="F40" t="inlineStr">
        <is>
          <t>RPT_PCF10_ORG_ISSUEINFO</t>
        </is>
      </c>
      <c r="G40" s="32" t="n">
        <v>46263.26199627746</v>
      </c>
      <c r="H40" t="inlineStr">
        <is>
          <t>CNY</t>
        </is>
      </c>
      <c r="I40" t="inlineStr">
        <is>
          <t>CNY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b">
        <v>0</v>
      </c>
    </row>
    <row r="41">
      <c r="A41" t="inlineStr">
        <is>
          <t>A股</t>
        </is>
      </c>
      <c r="B41" t="inlineStr">
        <is>
          <t>920971</t>
        </is>
      </c>
      <c r="C41" t="inlineStr">
        <is>
          <t>天马新材</t>
        </is>
      </c>
      <c r="D41" t="inlineStr">
        <is>
          <t>资金流</t>
        </is>
      </c>
      <c r="E41" t="inlineStr">
        <is>
          <t>东方财富</t>
        </is>
      </c>
      <c r="F41" t="inlineStr">
        <is>
          <t>fast-mode-no-reliable-batch-endpoint</t>
        </is>
      </c>
      <c r="G41" s="32" t="n">
        <v>46263.2619987447</v>
      </c>
      <c r="I41" t="inlineStr">
        <is>
          <t>CNY</t>
        </is>
      </c>
      <c r="J41" t="inlineStr">
        <is>
          <t>optional_missing</t>
        </is>
      </c>
      <c r="K41" t="inlineStr">
        <is>
          <t>快速模式未发现可靠的批量近五个交易日同口径字段，为避免逐股慢请求，本次留空</t>
        </is>
      </c>
      <c r="L41" t="b">
        <v>0</v>
      </c>
      <c r="M41" t="inlineStr">
        <is>
          <t>东方财富</t>
        </is>
      </c>
      <c r="N41" t="b">
        <v>0</v>
      </c>
    </row>
    <row r="42">
      <c r="A42" t="inlineStr">
        <is>
          <t>A股</t>
        </is>
      </c>
      <c r="B42" t="inlineStr">
        <is>
          <t>920970</t>
        </is>
      </c>
      <c r="C42" t="inlineStr">
        <is>
          <t>大禹生物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f2,f20（按指定证券分批）</t>
        </is>
      </c>
      <c r="G42" s="32" t="n">
        <v>46263.26197438478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b">
        <v>0</v>
      </c>
    </row>
    <row r="43">
      <c r="A43" t="inlineStr">
        <is>
          <t>A股</t>
        </is>
      </c>
      <c r="B43" t="inlineStr">
        <is>
          <t>920970</t>
        </is>
      </c>
      <c r="C43" t="inlineStr">
        <is>
          <t>大禹生物</t>
        </is>
      </c>
      <c r="D43" t="inlineStr">
        <is>
          <t>大宗交易</t>
        </is>
      </c>
      <c r="E43" t="inlineStr">
        <is>
          <t>东方财富</t>
        </is>
      </c>
      <c r="F43" t="inlineStr">
        <is>
          <t>RPT_DATA_BLOCKTRADE 2026（全市场分页后本地聚合）</t>
        </is>
      </c>
      <c r="G43" s="32" t="n">
        <v>46263.26197816915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0</v>
      </c>
      <c r="M43" t="inlineStr">
        <is>
          <t>东方财富</t>
        </is>
      </c>
      <c r="N43" t="b">
        <v>0</v>
      </c>
    </row>
    <row r="44">
      <c r="A44" t="inlineStr">
        <is>
          <t>A股</t>
        </is>
      </c>
      <c r="B44" t="inlineStr">
        <is>
          <t>920970</t>
        </is>
      </c>
      <c r="C44" t="inlineStr">
        <is>
          <t>大禹生物</t>
        </is>
      </c>
      <c r="D44" t="inlineStr">
        <is>
          <t>年度财务</t>
        </is>
      </c>
      <c r="E44" t="inlineStr">
        <is>
          <t>东方财富</t>
        </is>
      </c>
      <c r="F44" t="inlineStr">
        <is>
          <t>RPT_LICO_FN_CPD + RPT_DMSK_FN_CASHFLOW；巨潮回退原因：未配置巨潮官方 API 凭证/端点（CNINFO_ACCESS_TOKEN、CNINFO_INCOME_API_URL、CNINFO_CASHFLOW_API_URL）</t>
        </is>
      </c>
      <c r="G44" s="32" t="n">
        <v>46263.26199042267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1</v>
      </c>
      <c r="M44" t="inlineStr">
        <is>
          <t>巨潮资讯（CNINFO Data Service）</t>
        </is>
      </c>
      <c r="N44" t="b">
        <v>0</v>
      </c>
    </row>
    <row r="45">
      <c r="A45" t="inlineStr">
        <is>
          <t>A股</t>
        </is>
      </c>
      <c r="B45" t="inlineStr">
        <is>
          <t>920970</t>
        </is>
      </c>
      <c r="C45" t="inlineStr">
        <is>
          <t>大禹生物</t>
        </is>
      </c>
      <c r="D45" t="inlineStr">
        <is>
          <t>上市与发行信息</t>
        </is>
      </c>
      <c r="E45" t="inlineStr">
        <is>
          <t>东方财富</t>
        </is>
      </c>
      <c r="F45" t="inlineStr">
        <is>
          <t>RPT_PCF10_ORG_ISSUEINFO</t>
        </is>
      </c>
      <c r="G45" s="32" t="n">
        <v>46263.26199872155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b">
        <v>0</v>
      </c>
    </row>
    <row r="46">
      <c r="A46" t="inlineStr">
        <is>
          <t>A股</t>
        </is>
      </c>
      <c r="B46" t="inlineStr">
        <is>
          <t>920970</t>
        </is>
      </c>
      <c r="C46" t="inlineStr">
        <is>
          <t>大禹生物</t>
        </is>
      </c>
      <c r="D46" t="inlineStr">
        <is>
          <t>资金流</t>
        </is>
      </c>
      <c r="E46" t="inlineStr">
        <is>
          <t>东方财富</t>
        </is>
      </c>
      <c r="F46" t="inlineStr">
        <is>
          <t>fast-mode-no-reliable-batch-endpoint</t>
        </is>
      </c>
      <c r="G46" s="32" t="n">
        <v>46263.2619987447</v>
      </c>
      <c r="I46" t="inlineStr">
        <is>
          <t>CNY</t>
        </is>
      </c>
      <c r="J46" t="inlineStr">
        <is>
          <t>optional_missing</t>
        </is>
      </c>
      <c r="K46" t="inlineStr">
        <is>
          <t>快速模式未发现可靠的批量近五个交易日同口径字段，为避免逐股慢请求，本次留空</t>
        </is>
      </c>
      <c r="L46" t="b">
        <v>0</v>
      </c>
      <c r="M46" t="inlineStr">
        <is>
          <t>东方财富</t>
        </is>
      </c>
      <c r="N46" t="b">
        <v>0</v>
      </c>
    </row>
    <row r="47">
      <c r="A47" t="inlineStr">
        <is>
          <t>A股</t>
        </is>
      </c>
      <c r="B47" t="inlineStr">
        <is>
          <t>920964</t>
        </is>
      </c>
      <c r="C47" t="inlineStr">
        <is>
          <t>润农节水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f2,f20（按指定证券分批）</t>
        </is>
      </c>
      <c r="G47" s="32" t="n">
        <v>46263.26197438478</v>
      </c>
      <c r="H47" t="inlineStr">
        <is>
          <t>CNY</t>
        </is>
      </c>
      <c r="I47" t="inlineStr">
        <is>
          <t>CNY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b">
        <v>0</v>
      </c>
    </row>
    <row r="48">
      <c r="A48" t="inlineStr">
        <is>
          <t>A股</t>
        </is>
      </c>
      <c r="B48" t="inlineStr">
        <is>
          <t>920964</t>
        </is>
      </c>
      <c r="C48" t="inlineStr">
        <is>
          <t>润农节水</t>
        </is>
      </c>
      <c r="D48" t="inlineStr">
        <is>
          <t>大宗交易</t>
        </is>
      </c>
      <c r="E48" t="inlineStr">
        <is>
          <t>东方财富</t>
        </is>
      </c>
      <c r="F48" t="inlineStr">
        <is>
          <t>RPT_DATA_BLOCKTRADE 2026（全市场分页后本地聚合）</t>
        </is>
      </c>
      <c r="G48" s="32" t="n">
        <v>46263.26197816915</v>
      </c>
      <c r="H48" t="inlineStr">
        <is>
          <t>CNY</t>
        </is>
      </c>
      <c r="I48" t="inlineStr">
        <is>
          <t>CNY</t>
        </is>
      </c>
      <c r="J48" t="inlineStr">
        <is>
          <t>ok</t>
        </is>
      </c>
      <c r="L48" t="b">
        <v>0</v>
      </c>
      <c r="M48" t="inlineStr">
        <is>
          <t>东方财富</t>
        </is>
      </c>
      <c r="N48" t="b">
        <v>0</v>
      </c>
    </row>
    <row r="49">
      <c r="A49" t="inlineStr">
        <is>
          <t>A股</t>
        </is>
      </c>
      <c r="B49" t="inlineStr">
        <is>
          <t>920964</t>
        </is>
      </c>
      <c r="C49" t="inlineStr">
        <is>
          <t>润农节水</t>
        </is>
      </c>
      <c r="D49" t="inlineStr">
        <is>
          <t>年度财务</t>
        </is>
      </c>
      <c r="E49" t="inlineStr">
        <is>
          <t>东方财富</t>
        </is>
      </c>
      <c r="F49" t="inlineStr">
        <is>
          <t>RPT_LICO_FN_CPD + RPT_DMSK_FN_CASHFLOW；巨潮回退原因：未配置巨潮官方 API 凭证/端点（CNINFO_ACCESS_TOKEN、CNINFO_INCOME_API_URL、CNINFO_CASHFLOW_API_URL）</t>
        </is>
      </c>
      <c r="G49" s="32" t="n">
        <v>46263.26199147214</v>
      </c>
      <c r="H49" t="inlineStr">
        <is>
          <t>CNY</t>
        </is>
      </c>
      <c r="I49" t="inlineStr">
        <is>
          <t>CNY</t>
        </is>
      </c>
      <c r="J49" t="inlineStr">
        <is>
          <t>ok</t>
        </is>
      </c>
      <c r="L49" t="b">
        <v>1</v>
      </c>
      <c r="M49" t="inlineStr">
        <is>
          <t>巨潮资讯（CNINFO Data Service）</t>
        </is>
      </c>
      <c r="N49" t="b">
        <v>0</v>
      </c>
    </row>
    <row r="50">
      <c r="A50" t="inlineStr">
        <is>
          <t>A股</t>
        </is>
      </c>
      <c r="B50" t="inlineStr">
        <is>
          <t>920964</t>
        </is>
      </c>
      <c r="C50" t="inlineStr">
        <is>
          <t>润农节水</t>
        </is>
      </c>
      <c r="D50" t="inlineStr">
        <is>
          <t>上市与发行信息</t>
        </is>
      </c>
      <c r="E50" t="inlineStr">
        <is>
          <t>东方财富</t>
        </is>
      </c>
      <c r="F50" t="inlineStr">
        <is>
          <t>RPT_PCF10_ORG_ISSUEINFO</t>
        </is>
      </c>
      <c r="G50" s="32" t="n">
        <v>46263.26199729866</v>
      </c>
      <c r="H50" t="inlineStr">
        <is>
          <t>CNY</t>
        </is>
      </c>
      <c r="I50" t="inlineStr">
        <is>
          <t>CNY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b">
        <v>0</v>
      </c>
    </row>
    <row r="51">
      <c r="A51" t="inlineStr">
        <is>
          <t>A股</t>
        </is>
      </c>
      <c r="B51" t="inlineStr">
        <is>
          <t>920964</t>
        </is>
      </c>
      <c r="C51" t="inlineStr">
        <is>
          <t>润农节水</t>
        </is>
      </c>
      <c r="D51" t="inlineStr">
        <is>
          <t>资金流</t>
        </is>
      </c>
      <c r="E51" t="inlineStr">
        <is>
          <t>东方财富</t>
        </is>
      </c>
      <c r="F51" t="inlineStr">
        <is>
          <t>fast-mode-no-reliable-batch-endpoint</t>
        </is>
      </c>
      <c r="G51" s="32" t="n">
        <v>46263.2619987447</v>
      </c>
      <c r="I51" t="inlineStr">
        <is>
          <t>CNY</t>
        </is>
      </c>
      <c r="J51" t="inlineStr">
        <is>
          <t>optional_missing</t>
        </is>
      </c>
      <c r="K51" t="inlineStr">
        <is>
          <t>快速模式未发现可靠的批量近五个交易日同口径字段，为避免逐股慢请求，本次留空</t>
        </is>
      </c>
      <c r="L51" t="b">
        <v>0</v>
      </c>
      <c r="M51" t="inlineStr">
        <is>
          <t>东方财富</t>
        </is>
      </c>
      <c r="N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A股</t>
        </is>
      </c>
      <c r="B2" t="inlineStr">
        <is>
          <t>920992</t>
        </is>
      </c>
      <c r="C2" t="inlineStr">
        <is>
          <t>中科美菱</t>
        </is>
      </c>
      <c r="D2" t="inlineStr">
        <is>
          <t>资金流</t>
        </is>
      </c>
      <c r="E2" t="inlineStr">
        <is>
          <t>optional_missing</t>
        </is>
      </c>
      <c r="F2" t="inlineStr">
        <is>
          <t>快速模式未发现可靠的批量近五个交易日同口径字段，为避免逐股慢请求，本次留空</t>
        </is>
      </c>
      <c r="G2" t="b">
        <v>0</v>
      </c>
      <c r="H2" t="b">
        <v>1</v>
      </c>
      <c r="I2" t="inlineStr">
        <is>
          <t>东方财富</t>
        </is>
      </c>
      <c r="J2" t="inlineStr">
        <is>
          <t>东方财富</t>
        </is>
      </c>
      <c r="K2" t="inlineStr">
        <is>
          <t>fast-mode-no-reliable-batch-endpoint</t>
        </is>
      </c>
      <c r="L2" s="32" t="n">
        <v>46263.2619987447</v>
      </c>
      <c r="M2" t="b">
        <v>0</v>
      </c>
    </row>
    <row r="3">
      <c r="A3" t="inlineStr">
        <is>
          <t>A股</t>
        </is>
      </c>
      <c r="B3" t="inlineStr">
        <is>
          <t>920992</t>
        </is>
      </c>
      <c r="C3" t="inlineStr">
        <is>
          <t>中科美菱</t>
        </is>
      </c>
      <c r="D3" t="inlineStr">
        <is>
          <t>近五个交易日资金净额</t>
        </is>
      </c>
      <c r="E3" t="inlineStr">
        <is>
          <t>optional_missing</t>
        </is>
      </c>
      <c r="F3" t="inlineStr">
        <is>
          <t>近五个交易日资金净额：optional_missing</t>
        </is>
      </c>
      <c r="G3" t="b">
        <v>0</v>
      </c>
      <c r="H3" t="b">
        <v>1</v>
      </c>
      <c r="M3" t="b">
        <v>0</v>
      </c>
    </row>
    <row r="4">
      <c r="A4" t="inlineStr">
        <is>
          <t>A股</t>
        </is>
      </c>
      <c r="B4" t="inlineStr">
        <is>
          <t>920992</t>
        </is>
      </c>
      <c r="C4" t="inlineStr">
        <is>
          <t>中科美菱</t>
        </is>
      </c>
      <c r="D4" t="inlineStr">
        <is>
          <t>近一月资金净额（最近22个交易日）</t>
        </is>
      </c>
      <c r="E4" t="inlineStr">
        <is>
          <t>optional_missing</t>
        </is>
      </c>
      <c r="F4" t="inlineStr">
        <is>
          <t>近一月资金净额（最近22个交易日）：optional_missing</t>
        </is>
      </c>
      <c r="G4" t="b">
        <v>0</v>
      </c>
      <c r="H4" t="b">
        <v>1</v>
      </c>
      <c r="M4" t="b">
        <v>0</v>
      </c>
    </row>
    <row r="5">
      <c r="A5" t="inlineStr">
        <is>
          <t>A股</t>
        </is>
      </c>
      <c r="B5" t="inlineStr">
        <is>
          <t>920985</t>
        </is>
      </c>
      <c r="C5" t="inlineStr">
        <is>
          <t>海泰新能</t>
        </is>
      </c>
      <c r="D5" t="inlineStr">
        <is>
          <t>资金流</t>
        </is>
      </c>
      <c r="E5" t="inlineStr">
        <is>
          <t>optional_missing</t>
        </is>
      </c>
      <c r="F5" t="inlineStr">
        <is>
          <t>快速模式未发现可靠的批量近五个交易日同口径字段，为避免逐股慢请求，本次留空</t>
        </is>
      </c>
      <c r="G5" t="b">
        <v>0</v>
      </c>
      <c r="H5" t="b">
        <v>1</v>
      </c>
      <c r="I5" t="inlineStr">
        <is>
          <t>东方财富</t>
        </is>
      </c>
      <c r="J5" t="inlineStr">
        <is>
          <t>东方财富</t>
        </is>
      </c>
      <c r="K5" t="inlineStr">
        <is>
          <t>fast-mode-no-reliable-batch-endpoint</t>
        </is>
      </c>
      <c r="L5" s="32" t="n">
        <v>46263.2619987447</v>
      </c>
      <c r="M5" t="b">
        <v>0</v>
      </c>
    </row>
    <row r="6">
      <c r="A6" t="inlineStr">
        <is>
          <t>A股</t>
        </is>
      </c>
      <c r="B6" t="inlineStr">
        <is>
          <t>920985</t>
        </is>
      </c>
      <c r="C6" t="inlineStr">
        <is>
          <t>海泰新能</t>
        </is>
      </c>
      <c r="D6" t="inlineStr">
        <is>
          <t>近五个交易日资金净额</t>
        </is>
      </c>
      <c r="E6" t="inlineStr">
        <is>
          <t>optional_missing</t>
        </is>
      </c>
      <c r="F6" t="inlineStr">
        <is>
          <t>近五个交易日资金净额：optional_missing</t>
        </is>
      </c>
      <c r="G6" t="b">
        <v>0</v>
      </c>
      <c r="H6" t="b">
        <v>1</v>
      </c>
      <c r="M6" t="b">
        <v>0</v>
      </c>
    </row>
    <row r="7">
      <c r="A7" t="inlineStr">
        <is>
          <t>A股</t>
        </is>
      </c>
      <c r="B7" t="inlineStr">
        <is>
          <t>920985</t>
        </is>
      </c>
      <c r="C7" t="inlineStr">
        <is>
          <t>海泰新能</t>
        </is>
      </c>
      <c r="D7" t="inlineStr">
        <is>
          <t>近一月资金净额（最近22个交易日）</t>
        </is>
      </c>
      <c r="E7" t="inlineStr">
        <is>
          <t>optional_missing</t>
        </is>
      </c>
      <c r="F7" t="inlineStr">
        <is>
          <t>近一月资金净额（最近22个交易日）：optional_missing</t>
        </is>
      </c>
      <c r="G7" t="b">
        <v>0</v>
      </c>
      <c r="H7" t="b">
        <v>1</v>
      </c>
      <c r="M7" t="b">
        <v>0</v>
      </c>
    </row>
    <row r="8">
      <c r="A8" t="inlineStr">
        <is>
          <t>A股</t>
        </is>
      </c>
      <c r="B8" t="inlineStr">
        <is>
          <t>920982</t>
        </is>
      </c>
      <c r="C8" t="inlineStr">
        <is>
          <t>锦波生物</t>
        </is>
      </c>
      <c r="D8" t="inlineStr">
        <is>
          <t>资金流</t>
        </is>
      </c>
      <c r="E8" t="inlineStr">
        <is>
          <t>optional_missing</t>
        </is>
      </c>
      <c r="F8" t="inlineStr">
        <is>
          <t>快速模式未发现可靠的批量近五个交易日同口径字段，为避免逐股慢请求，本次留空</t>
        </is>
      </c>
      <c r="G8" t="b">
        <v>0</v>
      </c>
      <c r="H8" t="b">
        <v>1</v>
      </c>
      <c r="I8" t="inlineStr">
        <is>
          <t>东方财富</t>
        </is>
      </c>
      <c r="J8" t="inlineStr">
        <is>
          <t>东方财富</t>
        </is>
      </c>
      <c r="K8" t="inlineStr">
        <is>
          <t>fast-mode-no-reliable-batch-endpoint</t>
        </is>
      </c>
      <c r="L8" s="32" t="n">
        <v>46263.2619987447</v>
      </c>
      <c r="M8" t="b">
        <v>0</v>
      </c>
    </row>
    <row r="9">
      <c r="A9" t="inlineStr">
        <is>
          <t>A股</t>
        </is>
      </c>
      <c r="B9" t="inlineStr">
        <is>
          <t>920982</t>
        </is>
      </c>
      <c r="C9" t="inlineStr">
        <is>
          <t>锦波生物</t>
        </is>
      </c>
      <c r="D9" t="inlineStr">
        <is>
          <t>近五个交易日资金净额</t>
        </is>
      </c>
      <c r="E9" t="inlineStr">
        <is>
          <t>optional_missing</t>
        </is>
      </c>
      <c r="F9" t="inlineStr">
        <is>
          <t>近五个交易日资金净额：optional_missing</t>
        </is>
      </c>
      <c r="G9" t="b">
        <v>0</v>
      </c>
      <c r="H9" t="b">
        <v>1</v>
      </c>
      <c r="M9" t="b">
        <v>0</v>
      </c>
    </row>
    <row r="10">
      <c r="A10" t="inlineStr">
        <is>
          <t>A股</t>
        </is>
      </c>
      <c r="B10" t="inlineStr">
        <is>
          <t>920982</t>
        </is>
      </c>
      <c r="C10" t="inlineStr">
        <is>
          <t>锦波生物</t>
        </is>
      </c>
      <c r="D10" t="inlineStr">
        <is>
          <t>近一月资金净额（最近22个交易日）</t>
        </is>
      </c>
      <c r="E10" t="inlineStr">
        <is>
          <t>optional_missing</t>
        </is>
      </c>
      <c r="F10" t="inlineStr">
        <is>
          <t>近一月资金净额（最近22个交易日）：optional_missing</t>
        </is>
      </c>
      <c r="G10" t="b">
        <v>0</v>
      </c>
      <c r="H10" t="b">
        <v>1</v>
      </c>
      <c r="M10" t="b">
        <v>0</v>
      </c>
    </row>
    <row r="11">
      <c r="A11" t="inlineStr">
        <is>
          <t>A股</t>
        </is>
      </c>
      <c r="B11" t="inlineStr">
        <is>
          <t>920981</t>
        </is>
      </c>
      <c r="C11" t="inlineStr">
        <is>
          <t>晶赛科技</t>
        </is>
      </c>
      <c r="D11" t="inlineStr">
        <is>
          <t>资金流</t>
        </is>
      </c>
      <c r="E11" t="inlineStr">
        <is>
          <t>optional_missing</t>
        </is>
      </c>
      <c r="F11" t="inlineStr">
        <is>
          <t>快速模式未发现可靠的批量近五个交易日同口径字段，为避免逐股慢请求，本次留空</t>
        </is>
      </c>
      <c r="G11" t="b">
        <v>0</v>
      </c>
      <c r="H11" t="b">
        <v>1</v>
      </c>
      <c r="I11" t="inlineStr">
        <is>
          <t>东方财富</t>
        </is>
      </c>
      <c r="J11" t="inlineStr">
        <is>
          <t>东方财富</t>
        </is>
      </c>
      <c r="K11" t="inlineStr">
        <is>
          <t>fast-mode-no-reliable-batch-endpoint</t>
        </is>
      </c>
      <c r="L11" s="32" t="n">
        <v>46263.2619987447</v>
      </c>
      <c r="M11" t="b">
        <v>0</v>
      </c>
    </row>
    <row r="12">
      <c r="A12" t="inlineStr">
        <is>
          <t>A股</t>
        </is>
      </c>
      <c r="B12" t="inlineStr">
        <is>
          <t>920981</t>
        </is>
      </c>
      <c r="C12" t="inlineStr">
        <is>
          <t>晶赛科技</t>
        </is>
      </c>
      <c r="D12" t="inlineStr">
        <is>
          <t>近五个交易日资金净额</t>
        </is>
      </c>
      <c r="E12" t="inlineStr">
        <is>
          <t>optional_missing</t>
        </is>
      </c>
      <c r="F12" t="inlineStr">
        <is>
          <t>近五个交易日资金净额：optional_missing</t>
        </is>
      </c>
      <c r="G12" t="b">
        <v>0</v>
      </c>
      <c r="H12" t="b">
        <v>1</v>
      </c>
      <c r="M12" t="b">
        <v>0</v>
      </c>
    </row>
    <row r="13">
      <c r="A13" t="inlineStr">
        <is>
          <t>A股</t>
        </is>
      </c>
      <c r="B13" t="inlineStr">
        <is>
          <t>920981</t>
        </is>
      </c>
      <c r="C13" t="inlineStr">
        <is>
          <t>晶赛科技</t>
        </is>
      </c>
      <c r="D13" t="inlineStr">
        <is>
          <t>近一月资金净额（最近22个交易日）</t>
        </is>
      </c>
      <c r="E13" t="inlineStr">
        <is>
          <t>optional_missing</t>
        </is>
      </c>
      <c r="F13" t="inlineStr">
        <is>
          <t>近一月资金净额（最近22个交易日）：optional_missing</t>
        </is>
      </c>
      <c r="G13" t="b">
        <v>0</v>
      </c>
      <c r="H13" t="b">
        <v>1</v>
      </c>
      <c r="M13" t="b">
        <v>0</v>
      </c>
    </row>
    <row r="14">
      <c r="A14" t="inlineStr">
        <is>
          <t>A股</t>
        </is>
      </c>
      <c r="B14" t="inlineStr">
        <is>
          <t>920978</t>
        </is>
      </c>
      <c r="C14" t="inlineStr">
        <is>
          <t>开特股份</t>
        </is>
      </c>
      <c r="D14" t="inlineStr">
        <is>
          <t>资金流</t>
        </is>
      </c>
      <c r="E14" t="inlineStr">
        <is>
          <t>optional_missing</t>
        </is>
      </c>
      <c r="F14" t="inlineStr">
        <is>
          <t>快速模式未发现可靠的批量近五个交易日同口径字段，为避免逐股慢请求，本次留空</t>
        </is>
      </c>
      <c r="G14" t="b">
        <v>0</v>
      </c>
      <c r="H14" t="b">
        <v>1</v>
      </c>
      <c r="I14" t="inlineStr">
        <is>
          <t>东方财富</t>
        </is>
      </c>
      <c r="J14" t="inlineStr">
        <is>
          <t>东方财富</t>
        </is>
      </c>
      <c r="K14" t="inlineStr">
        <is>
          <t>fast-mode-no-reliable-batch-endpoint</t>
        </is>
      </c>
      <c r="L14" s="32" t="n">
        <v>46263.2619987447</v>
      </c>
      <c r="M14" t="b">
        <v>0</v>
      </c>
    </row>
    <row r="15">
      <c r="A15" t="inlineStr">
        <is>
          <t>A股</t>
        </is>
      </c>
      <c r="B15" t="inlineStr">
        <is>
          <t>920978</t>
        </is>
      </c>
      <c r="C15" t="inlineStr">
        <is>
          <t>开特股份</t>
        </is>
      </c>
      <c r="D15" t="inlineStr">
        <is>
          <t>近五个交易日资金净额</t>
        </is>
      </c>
      <c r="E15" t="inlineStr">
        <is>
          <t>optional_missing</t>
        </is>
      </c>
      <c r="F15" t="inlineStr">
        <is>
          <t>近五个交易日资金净额：optional_missing</t>
        </is>
      </c>
      <c r="G15" t="b">
        <v>0</v>
      </c>
      <c r="H15" t="b">
        <v>1</v>
      </c>
      <c r="M15" t="b">
        <v>0</v>
      </c>
    </row>
    <row r="16">
      <c r="A16" t="inlineStr">
        <is>
          <t>A股</t>
        </is>
      </c>
      <c r="B16" t="inlineStr">
        <is>
          <t>920978</t>
        </is>
      </c>
      <c r="C16" t="inlineStr">
        <is>
          <t>开特股份</t>
        </is>
      </c>
      <c r="D16" t="inlineStr">
        <is>
          <t>近一月资金净额（最近22个交易日）</t>
        </is>
      </c>
      <c r="E16" t="inlineStr">
        <is>
          <t>optional_missing</t>
        </is>
      </c>
      <c r="F16" t="inlineStr">
        <is>
          <t>近一月资金净额（最近22个交易日）：optional_missing</t>
        </is>
      </c>
      <c r="G16" t="b">
        <v>0</v>
      </c>
      <c r="H16" t="b">
        <v>1</v>
      </c>
      <c r="M16" t="b">
        <v>0</v>
      </c>
    </row>
    <row r="17">
      <c r="A17" t="inlineStr">
        <is>
          <t>A股</t>
        </is>
      </c>
      <c r="B17" t="inlineStr">
        <is>
          <t>920976</t>
        </is>
      </c>
      <c r="C17" t="inlineStr">
        <is>
          <t>视声智能</t>
        </is>
      </c>
      <c r="D17" t="inlineStr">
        <is>
          <t>资金流</t>
        </is>
      </c>
      <c r="E17" t="inlineStr">
        <is>
          <t>optional_missing</t>
        </is>
      </c>
      <c r="F17" t="inlineStr">
        <is>
          <t>快速模式未发现可靠的批量近五个交易日同口径字段，为避免逐股慢请求，本次留空</t>
        </is>
      </c>
      <c r="G17" t="b">
        <v>0</v>
      </c>
      <c r="H17" t="b">
        <v>1</v>
      </c>
      <c r="I17" t="inlineStr">
        <is>
          <t>东方财富</t>
        </is>
      </c>
      <c r="J17" t="inlineStr">
        <is>
          <t>东方财富</t>
        </is>
      </c>
      <c r="K17" t="inlineStr">
        <is>
          <t>fast-mode-no-reliable-batch-endpoint</t>
        </is>
      </c>
      <c r="L17" s="32" t="n">
        <v>46263.2619987447</v>
      </c>
      <c r="M17" t="b">
        <v>0</v>
      </c>
    </row>
    <row r="18">
      <c r="A18" t="inlineStr">
        <is>
          <t>A股</t>
        </is>
      </c>
      <c r="B18" t="inlineStr">
        <is>
          <t>920976</t>
        </is>
      </c>
      <c r="C18" t="inlineStr">
        <is>
          <t>视声智能</t>
        </is>
      </c>
      <c r="D18" t="inlineStr">
        <is>
          <t>近五个交易日资金净额</t>
        </is>
      </c>
      <c r="E18" t="inlineStr">
        <is>
          <t>optional_missing</t>
        </is>
      </c>
      <c r="F18" t="inlineStr">
        <is>
          <t>近五个交易日资金净额：optional_missing</t>
        </is>
      </c>
      <c r="G18" t="b">
        <v>0</v>
      </c>
      <c r="H18" t="b">
        <v>1</v>
      </c>
      <c r="M18" t="b">
        <v>0</v>
      </c>
    </row>
    <row r="19">
      <c r="A19" t="inlineStr">
        <is>
          <t>A股</t>
        </is>
      </c>
      <c r="B19" t="inlineStr">
        <is>
          <t>920976</t>
        </is>
      </c>
      <c r="C19" t="inlineStr">
        <is>
          <t>视声智能</t>
        </is>
      </c>
      <c r="D19" t="inlineStr">
        <is>
          <t>近一月资金净额（最近22个交易日）</t>
        </is>
      </c>
      <c r="E19" t="inlineStr">
        <is>
          <t>optional_missing</t>
        </is>
      </c>
      <c r="F19" t="inlineStr">
        <is>
          <t>近一月资金净额（最近22个交易日）：optional_missing</t>
        </is>
      </c>
      <c r="G19" t="b">
        <v>0</v>
      </c>
      <c r="H19" t="b">
        <v>1</v>
      </c>
      <c r="M19" t="b">
        <v>0</v>
      </c>
    </row>
    <row r="20">
      <c r="A20" t="inlineStr">
        <is>
          <t>A股</t>
        </is>
      </c>
      <c r="B20" t="inlineStr">
        <is>
          <t>920974</t>
        </is>
      </c>
      <c r="C20" t="inlineStr">
        <is>
          <t>凯大催化</t>
        </is>
      </c>
      <c r="D20" t="inlineStr">
        <is>
          <t>资金流</t>
        </is>
      </c>
      <c r="E20" t="inlineStr">
        <is>
          <t>optional_missing</t>
        </is>
      </c>
      <c r="F20" t="inlineStr">
        <is>
          <t>快速模式未发现可靠的批量近五个交易日同口径字段，为避免逐股慢请求，本次留空</t>
        </is>
      </c>
      <c r="G20" t="b">
        <v>0</v>
      </c>
      <c r="H20" t="b">
        <v>1</v>
      </c>
      <c r="I20" t="inlineStr">
        <is>
          <t>东方财富</t>
        </is>
      </c>
      <c r="J20" t="inlineStr">
        <is>
          <t>东方财富</t>
        </is>
      </c>
      <c r="K20" t="inlineStr">
        <is>
          <t>fast-mode-no-reliable-batch-endpoint</t>
        </is>
      </c>
      <c r="L20" s="32" t="n">
        <v>46263.2619987447</v>
      </c>
      <c r="M20" t="b">
        <v>0</v>
      </c>
    </row>
    <row r="21">
      <c r="A21" t="inlineStr">
        <is>
          <t>A股</t>
        </is>
      </c>
      <c r="B21" t="inlineStr">
        <is>
          <t>920974</t>
        </is>
      </c>
      <c r="C21" t="inlineStr">
        <is>
          <t>凯大催化</t>
        </is>
      </c>
      <c r="D21" t="inlineStr">
        <is>
          <t>近五个交易日资金净额</t>
        </is>
      </c>
      <c r="E21" t="inlineStr">
        <is>
          <t>optional_missing</t>
        </is>
      </c>
      <c r="F21" t="inlineStr">
        <is>
          <t>近五个交易日资金净额：optional_missing</t>
        </is>
      </c>
      <c r="G21" t="b">
        <v>0</v>
      </c>
      <c r="H21" t="b">
        <v>1</v>
      </c>
      <c r="M21" t="b">
        <v>0</v>
      </c>
    </row>
    <row r="22">
      <c r="A22" t="inlineStr">
        <is>
          <t>A股</t>
        </is>
      </c>
      <c r="B22" t="inlineStr">
        <is>
          <t>920974</t>
        </is>
      </c>
      <c r="C22" t="inlineStr">
        <is>
          <t>凯大催化</t>
        </is>
      </c>
      <c r="D22" t="inlineStr">
        <is>
          <t>近一月资金净额（最近22个交易日）</t>
        </is>
      </c>
      <c r="E22" t="inlineStr">
        <is>
          <t>optional_missing</t>
        </is>
      </c>
      <c r="F22" t="inlineStr">
        <is>
          <t>近一月资金净额（最近22个交易日）：optional_missing</t>
        </is>
      </c>
      <c r="G22" t="b">
        <v>0</v>
      </c>
      <c r="H22" t="b">
        <v>1</v>
      </c>
      <c r="M22" t="b">
        <v>0</v>
      </c>
    </row>
    <row r="23">
      <c r="A23" t="inlineStr">
        <is>
          <t>A股</t>
        </is>
      </c>
      <c r="B23" t="inlineStr">
        <is>
          <t>920971</t>
        </is>
      </c>
      <c r="C23" t="inlineStr">
        <is>
          <t>天马新材</t>
        </is>
      </c>
      <c r="D23" t="inlineStr">
        <is>
          <t>资金流</t>
        </is>
      </c>
      <c r="E23" t="inlineStr">
        <is>
          <t>optional_missing</t>
        </is>
      </c>
      <c r="F23" t="inlineStr">
        <is>
          <t>快速模式未发现可靠的批量近五个交易日同口径字段，为避免逐股慢请求，本次留空</t>
        </is>
      </c>
      <c r="G23" t="b">
        <v>0</v>
      </c>
      <c r="H23" t="b">
        <v>1</v>
      </c>
      <c r="I23" t="inlineStr">
        <is>
          <t>东方财富</t>
        </is>
      </c>
      <c r="J23" t="inlineStr">
        <is>
          <t>东方财富</t>
        </is>
      </c>
      <c r="K23" t="inlineStr">
        <is>
          <t>fast-mode-no-reliable-batch-endpoint</t>
        </is>
      </c>
      <c r="L23" s="32" t="n">
        <v>46263.2619987447</v>
      </c>
      <c r="M23" t="b">
        <v>0</v>
      </c>
    </row>
    <row r="24">
      <c r="A24" t="inlineStr">
        <is>
          <t>A股</t>
        </is>
      </c>
      <c r="B24" t="inlineStr">
        <is>
          <t>920971</t>
        </is>
      </c>
      <c r="C24" t="inlineStr">
        <is>
          <t>天马新材</t>
        </is>
      </c>
      <c r="D24" t="inlineStr">
        <is>
          <t>近五个交易日资金净额</t>
        </is>
      </c>
      <c r="E24" t="inlineStr">
        <is>
          <t>optional_missing</t>
        </is>
      </c>
      <c r="F24" t="inlineStr">
        <is>
          <t>近五个交易日资金净额：optional_missing</t>
        </is>
      </c>
      <c r="G24" t="b">
        <v>0</v>
      </c>
      <c r="H24" t="b">
        <v>1</v>
      </c>
      <c r="M24" t="b">
        <v>0</v>
      </c>
    </row>
    <row r="25">
      <c r="A25" t="inlineStr">
        <is>
          <t>A股</t>
        </is>
      </c>
      <c r="B25" t="inlineStr">
        <is>
          <t>920971</t>
        </is>
      </c>
      <c r="C25" t="inlineStr">
        <is>
          <t>天马新材</t>
        </is>
      </c>
      <c r="D25" t="inlineStr">
        <is>
          <t>近一月资金净额（最近22个交易日）</t>
        </is>
      </c>
      <c r="E25" t="inlineStr">
        <is>
          <t>optional_missing</t>
        </is>
      </c>
      <c r="F25" t="inlineStr">
        <is>
          <t>近一月资金净额（最近22个交易日）：optional_missing</t>
        </is>
      </c>
      <c r="G25" t="b">
        <v>0</v>
      </c>
      <c r="H25" t="b">
        <v>1</v>
      </c>
      <c r="M25" t="b">
        <v>0</v>
      </c>
    </row>
    <row r="26">
      <c r="A26" t="inlineStr">
        <is>
          <t>A股</t>
        </is>
      </c>
      <c r="B26" t="inlineStr">
        <is>
          <t>920970</t>
        </is>
      </c>
      <c r="C26" t="inlineStr">
        <is>
          <t>大禹生物</t>
        </is>
      </c>
      <c r="D26" t="inlineStr">
        <is>
          <t>资金流</t>
        </is>
      </c>
      <c r="E26" t="inlineStr">
        <is>
          <t>optional_missing</t>
        </is>
      </c>
      <c r="F26" t="inlineStr">
        <is>
          <t>快速模式未发现可靠的批量近五个交易日同口径字段，为避免逐股慢请求，本次留空</t>
        </is>
      </c>
      <c r="G26" t="b">
        <v>0</v>
      </c>
      <c r="H26" t="b">
        <v>1</v>
      </c>
      <c r="I26" t="inlineStr">
        <is>
          <t>东方财富</t>
        </is>
      </c>
      <c r="J26" t="inlineStr">
        <is>
          <t>东方财富</t>
        </is>
      </c>
      <c r="K26" t="inlineStr">
        <is>
          <t>fast-mode-no-reliable-batch-endpoint</t>
        </is>
      </c>
      <c r="L26" s="32" t="n">
        <v>46263.2619987447</v>
      </c>
      <c r="M26" t="b">
        <v>0</v>
      </c>
    </row>
    <row r="27">
      <c r="A27" t="inlineStr">
        <is>
          <t>A股</t>
        </is>
      </c>
      <c r="B27" t="inlineStr">
        <is>
          <t>920970</t>
        </is>
      </c>
      <c r="C27" t="inlineStr">
        <is>
          <t>大禹生物</t>
        </is>
      </c>
      <c r="D27" t="inlineStr">
        <is>
          <t>近五个交易日资金净额</t>
        </is>
      </c>
      <c r="E27" t="inlineStr">
        <is>
          <t>optional_missing</t>
        </is>
      </c>
      <c r="F27" t="inlineStr">
        <is>
          <t>近五个交易日资金净额：optional_missing</t>
        </is>
      </c>
      <c r="G27" t="b">
        <v>0</v>
      </c>
      <c r="H27" t="b">
        <v>1</v>
      </c>
      <c r="M27" t="b">
        <v>0</v>
      </c>
    </row>
    <row r="28">
      <c r="A28" t="inlineStr">
        <is>
          <t>A股</t>
        </is>
      </c>
      <c r="B28" t="inlineStr">
        <is>
          <t>920970</t>
        </is>
      </c>
      <c r="C28" t="inlineStr">
        <is>
          <t>大禹生物</t>
        </is>
      </c>
      <c r="D28" t="inlineStr">
        <is>
          <t>近一月资金净额（最近22个交易日）</t>
        </is>
      </c>
      <c r="E28" t="inlineStr">
        <is>
          <t>optional_missing</t>
        </is>
      </c>
      <c r="F28" t="inlineStr">
        <is>
          <t>近一月资金净额（最近22个交易日）：optional_missing</t>
        </is>
      </c>
      <c r="G28" t="b">
        <v>0</v>
      </c>
      <c r="H28" t="b">
        <v>1</v>
      </c>
      <c r="M28" t="b">
        <v>0</v>
      </c>
    </row>
    <row r="29">
      <c r="A29" t="inlineStr">
        <is>
          <t>A股</t>
        </is>
      </c>
      <c r="B29" t="inlineStr">
        <is>
          <t>920964</t>
        </is>
      </c>
      <c r="C29" t="inlineStr">
        <is>
          <t>润农节水</t>
        </is>
      </c>
      <c r="D29" t="inlineStr">
        <is>
          <t>资金流</t>
        </is>
      </c>
      <c r="E29" t="inlineStr">
        <is>
          <t>optional_missing</t>
        </is>
      </c>
      <c r="F29" t="inlineStr">
        <is>
          <t>快速模式未发现可靠的批量近五个交易日同口径字段，为避免逐股慢请求，本次留空</t>
        </is>
      </c>
      <c r="G29" t="b">
        <v>0</v>
      </c>
      <c r="H29" t="b">
        <v>1</v>
      </c>
      <c r="I29" t="inlineStr">
        <is>
          <t>东方财富</t>
        </is>
      </c>
      <c r="J29" t="inlineStr">
        <is>
          <t>东方财富</t>
        </is>
      </c>
      <c r="K29" t="inlineStr">
        <is>
          <t>fast-mode-no-reliable-batch-endpoint</t>
        </is>
      </c>
      <c r="L29" s="32" t="n">
        <v>46263.2619987447</v>
      </c>
      <c r="M29" t="b">
        <v>0</v>
      </c>
    </row>
    <row r="30">
      <c r="A30" t="inlineStr">
        <is>
          <t>A股</t>
        </is>
      </c>
      <c r="B30" t="inlineStr">
        <is>
          <t>920964</t>
        </is>
      </c>
      <c r="C30" t="inlineStr">
        <is>
          <t>润农节水</t>
        </is>
      </c>
      <c r="D30" t="inlineStr">
        <is>
          <t>近五个交易日资金净额</t>
        </is>
      </c>
      <c r="E30" t="inlineStr">
        <is>
          <t>optional_missing</t>
        </is>
      </c>
      <c r="F30" t="inlineStr">
        <is>
          <t>近五个交易日资金净额：optional_missing</t>
        </is>
      </c>
      <c r="G30" t="b">
        <v>0</v>
      </c>
      <c r="H30" t="b">
        <v>1</v>
      </c>
      <c r="M30" t="b">
        <v>0</v>
      </c>
    </row>
    <row r="31">
      <c r="A31" t="inlineStr">
        <is>
          <t>A股</t>
        </is>
      </c>
      <c r="B31" t="inlineStr">
        <is>
          <t>920964</t>
        </is>
      </c>
      <c r="C31" t="inlineStr">
        <is>
          <t>润农节水</t>
        </is>
      </c>
      <c r="D31" t="inlineStr">
        <is>
          <t>近一月资金净额（最近22个交易日）</t>
        </is>
      </c>
      <c r="E31" t="inlineStr">
        <is>
          <t>optional_missing</t>
        </is>
      </c>
      <c r="F31" t="inlineStr">
        <is>
          <t>近一月资金净额（最近22个交易日）：optional_missing</t>
        </is>
      </c>
      <c r="G31" t="b">
        <v>0</v>
      </c>
      <c r="H31" t="b">
        <v>1</v>
      </c>
      <c r="M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2026-08-29T06:17:16.844945+00:00</t>
        </is>
      </c>
    </row>
    <row r="8">
      <c r="A8" t="inlineStr">
        <is>
          <t>配置快照</t>
        </is>
      </c>
      <c r="B8" t="inlineStr">
        <is>
          <t>{"concurrency": 4, "financial_year": 2025, "fixture_mode": false, "flow_mode": "快速模式（默认）", "include_financial": true, "include_st": true, "markets": ["A股"], "max_a_share_companies": 10, "max_companies": 10, "max_hk_companies": 0, "network_mode": "国内数据源优先直连", "output_directory": "D:/python_software/StockAnalysis/artifacts/performance_output", "request_interval": 0.05, "test_mode": false, "trading_year": 2026, "update_mode": "强制刷新"}</t>
        </is>
      </c>
    </row>
    <row r="9">
      <c r="A9" t="inlineStr">
        <is>
          <t>成功数</t>
        </is>
      </c>
      <c r="B9" t="n">
        <v>10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"circuit_breaks": 0, "direct_requests": 33, "http_elapsed_seconds": 4.461, "http_failures": 0, "http_requests": 33, "http_successes": 33, "negative_cache_hits": 0, "proxy_requests": 0, "requests_by_domain": {"datacenter-web.eastmoney.com": 21, "datacenter.eastmoney.com": 10, "push2delay.eastmoney.com": 2}, "requests_by_endpoint": {"batch-quotes-selected": 1, "block-trade-market-a-share": 1, "financial-cashflow-a-share": 10, "financial-income-a-share": 10, "ipo-A股": 10, "security-list-A股": 1}, "retries": 0, "stage_seconds": {"上市与发行信息": 0.626, "年度全市场大宗交易": 0.326, "年度财务": 1.135, "批量行情与市值": 0.058, "标准化、计算与校验": 0.001, "证券范围": 0.227, "资金流": 0.016}, "total_seconds": 2.389}</t>
        </is>
      </c>
    </row>
    <row r="15">
      <c r="A15" t="inlineStr">
        <is>
          <t>输出路径</t>
        </is>
      </c>
      <c r="B15" t="inlineStr">
        <is>
          <t>D:\python_software\StockAnalysis\artifacts\performance_output\cold_10_a.xlsx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2026-08-29T06:17:16Z</dcterms:modified>
  <cp:lastModifiedBy>涂玉</cp:lastModifiedBy>
</cp:coreProperties>
</file>