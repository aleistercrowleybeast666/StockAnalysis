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'A股'!$A$4:$AD$104</definedName>
    <definedName name="_xlnm.Print_Titles" localSheetId="0">'A股'!$1:$4</definedName>
    <definedName name="_xlnm._FilterDatabase" localSheetId="1" hidden="1">'港股'!$A$4:$AD$4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D104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920599</t>
        </is>
      </c>
      <c r="B5" s="13" t="inlineStr">
        <is>
          <t>同力股份</t>
        </is>
      </c>
      <c r="C5" s="14">
        <f>IF('历史数据'!D99="","",'历史数据'!D99)</f>
        <v/>
      </c>
      <c r="D5" s="15">
        <f>IF('历史数据'!E99="","",'历史数据'!E99)</f>
        <v/>
      </c>
      <c r="E5" s="16">
        <f>IF('历史数据'!G99="","",'历史数据'!G99/100000000)</f>
        <v/>
      </c>
      <c r="F5" s="17">
        <f>IF(OR('历史数据'!G99="",'历史数据'!H99&lt;=0),"",'历史数据'!G99/'历史数据'!H99-1)</f>
        <v/>
      </c>
      <c r="G5" s="17">
        <f>IF(OR('历史数据'!G99&lt;=0,'历史数据'!I99&lt;=0),"",POWER('历史数据'!G99/'历史数据'!I99,1/3)-1)</f>
        <v/>
      </c>
      <c r="H5" s="17">
        <f>IF(OR('历史数据'!G99&lt;=0,'历史数据'!J99=""),"",('历史数据'!G99-'历史数据'!J99)/'历史数据'!G99)</f>
        <v/>
      </c>
      <c r="I5" s="18">
        <f>IF(OR(H5="",'历史数据'!H99&lt;=0,'历史数据'!K99=""),"",(H5-('历史数据'!H99-'历史数据'!K99)/'历史数据'!H99)*100)</f>
        <v/>
      </c>
      <c r="J5" s="18">
        <f>IF(OR(H5="",'历史数据'!I99&lt;=0,'历史数据'!L99=""),"",(H5-('历史数据'!I99-'历史数据'!L99)/'历史数据'!I99)*100)</f>
        <v/>
      </c>
      <c r="K5" s="16">
        <f>IF('历史数据'!M99="","",'历史数据'!M99/100000000)</f>
        <v/>
      </c>
      <c r="L5" s="17">
        <f>IF(OR('历史数据'!G99=0,'历史数据'!M99=""),"",'历史数据'!M99/'历史数据'!G99)</f>
        <v/>
      </c>
      <c r="M5" s="17">
        <f>IF(OR('历史数据'!M99="",'历史数据'!N99=0),"",('历史数据'!M99-'历史数据'!N99)/ABS('历史数据'!N99))</f>
        <v/>
      </c>
      <c r="N5" s="17">
        <f>IF(OR('历史数据'!M99&lt;=0,'历史数据'!O99&lt;=0),"",POWER('历史数据'!M99/'历史数据'!O99,1/3)-1)</f>
        <v/>
      </c>
      <c r="O5" s="16">
        <f>IF('历史数据'!P99="","",'历史数据'!P99/100000000)</f>
        <v/>
      </c>
      <c r="P5" s="19">
        <f>IF(OR('历史数据'!P99="",'历史数据'!Q99=0),"",('历史数据'!P99-'历史数据'!Q99)/ABS('历史数据'!Q99))</f>
        <v/>
      </c>
      <c r="Q5" s="19">
        <f>IF(OR('历史数据'!P99&lt;=0,'历史数据'!R99&lt;=0),"",POWER('历史数据'!P99/'历史数据'!R99,1/3)-1)</f>
        <v/>
      </c>
      <c r="R5" s="20">
        <f>IF('历史数据'!S99="","",'历史数据'!S99/100000000)</f>
        <v/>
      </c>
      <c r="S5" s="21">
        <f>IF('历史数据'!T99="","",'历史数据'!T99)</f>
        <v/>
      </c>
      <c r="T5" s="22">
        <f>IF('历史数据'!U99="","",'历史数据'!U99)</f>
        <v/>
      </c>
      <c r="U5" s="22">
        <f>IF('历史数据'!V99="","",'历史数据'!V99/100000000)</f>
        <v/>
      </c>
      <c r="V5" s="20">
        <f>IF('历史数据'!W99="","",'历史数据'!W99/100000000)</f>
        <v/>
      </c>
      <c r="W5" s="22">
        <f>IF('历史数据'!X99="","",'历史数据'!X99)</f>
        <v/>
      </c>
      <c r="X5" s="19">
        <f>IF(OR(R5="",V5&lt;=0),"",R5/V5-1)</f>
        <v/>
      </c>
      <c r="Y5" s="23">
        <f>IF('历史数据'!Y99="","",'历史数据'!Y99)</f>
        <v/>
      </c>
      <c r="Z5" s="20">
        <f>IF('历史数据'!Z99="","",'历史数据'!Z99/100000000)</f>
        <v/>
      </c>
      <c r="AA5" s="24">
        <f>IF('历史数据'!AA99="","",'历史数据'!AA99/100000000)</f>
        <v/>
      </c>
      <c r="AB5" s="24">
        <f>IF('历史数据'!AB99="","",'历史数据'!AB99/100000000)</f>
        <v/>
      </c>
      <c r="AC5" s="13" t="inlineStr">
        <is>
          <t>近五个交易日资金净额:optional_missing；近一月资金净额（最近22个交易日）:optional_missing</t>
        </is>
      </c>
      <c r="AD5" s="13" t="inlineStr">
        <is>
          <t>SUCCESS</t>
        </is>
      </c>
    </row>
    <row r="6" ht="21" customHeight="1" s="3">
      <c r="A6" s="12" t="inlineStr">
        <is>
          <t>920819</t>
        </is>
      </c>
      <c r="B6" s="13" t="inlineStr">
        <is>
          <t>颖泰生物</t>
        </is>
      </c>
      <c r="C6" s="25">
        <f>IF('历史数据'!D46="","",'历史数据'!D46)</f>
        <v/>
      </c>
      <c r="D6" s="13">
        <f>IF('历史数据'!E46="","",'历史数据'!E46)</f>
        <v/>
      </c>
      <c r="E6" s="24">
        <f>IF('历史数据'!G46="","",'历史数据'!G46/100000000)</f>
        <v/>
      </c>
      <c r="F6" s="26">
        <f>IF(OR('历史数据'!G46="",'历史数据'!H46&lt;=0),"",'历史数据'!G46/'历史数据'!H46-1)</f>
        <v/>
      </c>
      <c r="G6" s="26">
        <f>IF(OR('历史数据'!G46&lt;=0,'历史数据'!I46&lt;=0),"",POWER('历史数据'!G46/'历史数据'!I46,1/3)-1)</f>
        <v/>
      </c>
      <c r="H6" s="26">
        <f>IF(OR('历史数据'!G46&lt;=0,'历史数据'!J46=""),"",('历史数据'!G46-'历史数据'!J46)/'历史数据'!G46)</f>
        <v/>
      </c>
      <c r="I6" s="27">
        <f>IF(OR(H6="",'历史数据'!H46&lt;=0,'历史数据'!K46=""),"",(H6-('历史数据'!H46-'历史数据'!K46)/'历史数据'!H46)*100)</f>
        <v/>
      </c>
      <c r="J6" s="27">
        <f>IF(OR(H6="",'历史数据'!I46&lt;=0,'历史数据'!L46=""),"",(H6-('历史数据'!I46-'历史数据'!L46)/'历史数据'!I46)*100)</f>
        <v/>
      </c>
      <c r="K6" s="24">
        <f>IF('历史数据'!M46="","",'历史数据'!M46/100000000)</f>
        <v/>
      </c>
      <c r="L6" s="26">
        <f>IF(OR('历史数据'!G46=0,'历史数据'!M46=""),"",'历史数据'!M46/'历史数据'!G46)</f>
        <v/>
      </c>
      <c r="M6" s="26">
        <f>IF(OR('历史数据'!M46="",'历史数据'!N46=0),"",('历史数据'!M46-'历史数据'!N46)/ABS('历史数据'!N46))</f>
        <v/>
      </c>
      <c r="N6" s="26">
        <f>IF(OR('历史数据'!M46&lt;=0,'历史数据'!O46&lt;=0),"",POWER('历史数据'!M46/'历史数据'!O46,1/3)-1)</f>
        <v/>
      </c>
      <c r="O6" s="24">
        <f>IF('历史数据'!P46="","",'历史数据'!P46/100000000)</f>
        <v/>
      </c>
      <c r="P6" s="26">
        <f>IF(OR('历史数据'!P46="",'历史数据'!Q46=0),"",('历史数据'!P46-'历史数据'!Q46)/ABS('历史数据'!Q46))</f>
        <v/>
      </c>
      <c r="Q6" s="26">
        <f>IF(OR('历史数据'!P46&lt;=0,'历史数据'!R46&lt;=0),"",POWER('历史数据'!P46/'历史数据'!R46,1/3)-1)</f>
        <v/>
      </c>
      <c r="R6" s="24">
        <f>IF('历史数据'!S46="","",'历史数据'!S46/100000000)</f>
        <v/>
      </c>
      <c r="S6" s="25">
        <f>IF('历史数据'!T46="","",'历史数据'!T46)</f>
        <v/>
      </c>
      <c r="T6" s="28">
        <f>IF('历史数据'!U46="","",'历史数据'!U46)</f>
        <v/>
      </c>
      <c r="U6" s="28">
        <f>IF('历史数据'!V46="","",'历史数据'!V46/100000000)</f>
        <v/>
      </c>
      <c r="V6" s="24">
        <f>IF('历史数据'!W46="","",'历史数据'!W46/100000000)</f>
        <v/>
      </c>
      <c r="W6" s="28">
        <f>IF('历史数据'!X46="","",'历史数据'!X46)</f>
        <v/>
      </c>
      <c r="X6" s="26">
        <f>IF(OR(R6="",V6&lt;=0),"",R6/V6-1)</f>
        <v/>
      </c>
      <c r="Y6" s="29">
        <f>IF('历史数据'!Y46="","",'历史数据'!Y46)</f>
        <v/>
      </c>
      <c r="Z6" s="24">
        <f>IF('历史数据'!Z46="","",'历史数据'!Z46/100000000)</f>
        <v/>
      </c>
      <c r="AA6" s="24">
        <f>IF('历史数据'!AA46="","",'历史数据'!AA46/100000000)</f>
        <v/>
      </c>
      <c r="AB6" s="24">
        <f>IF('历史数据'!AB46="","",'历史数据'!AB46/100000000)</f>
        <v/>
      </c>
      <c r="AC6" s="13" t="inlineStr">
        <is>
          <t>近五个交易日资金净额:optional_missing；近一月资金净额（最近22个交易日）:optional_missing</t>
        </is>
      </c>
      <c r="AD6" s="13" t="inlineStr">
        <is>
          <t>SUCCESS</t>
        </is>
      </c>
    </row>
    <row r="7" ht="21" customHeight="1" s="3">
      <c r="A7" s="12" t="inlineStr">
        <is>
          <t>920682</t>
        </is>
      </c>
      <c r="B7" s="13" t="inlineStr">
        <is>
          <t>球冠电缆</t>
        </is>
      </c>
      <c r="C7" s="25">
        <f>IF('历史数据'!D82="","",'历史数据'!D82)</f>
        <v/>
      </c>
      <c r="D7" s="13">
        <f>IF('历史数据'!E82="","",'历史数据'!E82)</f>
        <v/>
      </c>
      <c r="E7" s="24">
        <f>IF('历史数据'!G82="","",'历史数据'!G82/100000000)</f>
        <v/>
      </c>
      <c r="F7" s="26">
        <f>IF(OR('历史数据'!G82="",'历史数据'!H82&lt;=0),"",'历史数据'!G82/'历史数据'!H82-1)</f>
        <v/>
      </c>
      <c r="G7" s="26">
        <f>IF(OR('历史数据'!G82&lt;=0,'历史数据'!I82&lt;=0),"",POWER('历史数据'!G82/'历史数据'!I82,1/3)-1)</f>
        <v/>
      </c>
      <c r="H7" s="26">
        <f>IF(OR('历史数据'!G82&lt;=0,'历史数据'!J82=""),"",('历史数据'!G82-'历史数据'!J82)/'历史数据'!G82)</f>
        <v/>
      </c>
      <c r="I7" s="27">
        <f>IF(OR(H7="",'历史数据'!H82&lt;=0,'历史数据'!K82=""),"",(H7-('历史数据'!H82-'历史数据'!K82)/'历史数据'!H82)*100)</f>
        <v/>
      </c>
      <c r="J7" s="27">
        <f>IF(OR(H7="",'历史数据'!I82&lt;=0,'历史数据'!L82=""),"",(H7-('历史数据'!I82-'历史数据'!L82)/'历史数据'!I82)*100)</f>
        <v/>
      </c>
      <c r="K7" s="24">
        <f>IF('历史数据'!M82="","",'历史数据'!M82/100000000)</f>
        <v/>
      </c>
      <c r="L7" s="26">
        <f>IF(OR('历史数据'!G82=0,'历史数据'!M82=""),"",'历史数据'!M82/'历史数据'!G82)</f>
        <v/>
      </c>
      <c r="M7" s="26">
        <f>IF(OR('历史数据'!M82="",'历史数据'!N82=0),"",('历史数据'!M82-'历史数据'!N82)/ABS('历史数据'!N82))</f>
        <v/>
      </c>
      <c r="N7" s="26">
        <f>IF(OR('历史数据'!M82&lt;=0,'历史数据'!O82&lt;=0),"",POWER('历史数据'!M82/'历史数据'!O82,1/3)-1)</f>
        <v/>
      </c>
      <c r="O7" s="24">
        <f>IF('历史数据'!P82="","",'历史数据'!P82/100000000)</f>
        <v/>
      </c>
      <c r="P7" s="26">
        <f>IF(OR('历史数据'!P82="",'历史数据'!Q82=0),"",('历史数据'!P82-'历史数据'!Q82)/ABS('历史数据'!Q82))</f>
        <v/>
      </c>
      <c r="Q7" s="26">
        <f>IF(OR('历史数据'!P82&lt;=0,'历史数据'!R82&lt;=0),"",POWER('历史数据'!P82/'历史数据'!R82,1/3)-1)</f>
        <v/>
      </c>
      <c r="R7" s="24">
        <f>IF('历史数据'!S82="","",'历史数据'!S82/100000000)</f>
        <v/>
      </c>
      <c r="S7" s="25">
        <f>IF('历史数据'!T82="","",'历史数据'!T82)</f>
        <v/>
      </c>
      <c r="T7" s="28">
        <f>IF('历史数据'!U82="","",'历史数据'!U82)</f>
        <v/>
      </c>
      <c r="U7" s="28">
        <f>IF('历史数据'!V82="","",'历史数据'!V82/100000000)</f>
        <v/>
      </c>
      <c r="V7" s="24">
        <f>IF('历史数据'!W82="","",'历史数据'!W82/100000000)</f>
        <v/>
      </c>
      <c r="W7" s="28">
        <f>IF('历史数据'!X82="","",'历史数据'!X82)</f>
        <v/>
      </c>
      <c r="X7" s="26">
        <f>IF(OR(R7="",V7&lt;=0),"",R7/V7-1)</f>
        <v/>
      </c>
      <c r="Y7" s="29">
        <f>IF('历史数据'!Y82="","",'历史数据'!Y82)</f>
        <v/>
      </c>
      <c r="Z7" s="24">
        <f>IF('历史数据'!Z82="","",'历史数据'!Z82/100000000)</f>
        <v/>
      </c>
      <c r="AA7" s="24">
        <f>IF('历史数据'!AA82="","",'历史数据'!AA82/100000000)</f>
        <v/>
      </c>
      <c r="AB7" s="24">
        <f>IF('历史数据'!AB82="","",'历史数据'!AB82/100000000)</f>
        <v/>
      </c>
      <c r="AC7" s="13" t="inlineStr">
        <is>
          <t>近五个交易日资金净额:optional_missing；近一月资金净额（最近22个交易日）:optional_missing</t>
        </is>
      </c>
      <c r="AD7" s="13" t="inlineStr">
        <is>
          <t>SUCCESS</t>
        </is>
      </c>
    </row>
    <row r="8" ht="21" customHeight="1" s="3">
      <c r="A8" s="12" t="inlineStr">
        <is>
          <t>920809</t>
        </is>
      </c>
      <c r="B8" s="13" t="inlineStr">
        <is>
          <t>安达科技</t>
        </is>
      </c>
      <c r="C8" s="25">
        <f>IF('历史数据'!D48="","",'历史数据'!D48)</f>
        <v/>
      </c>
      <c r="D8" s="13">
        <f>IF('历史数据'!E48="","",'历史数据'!E48)</f>
        <v/>
      </c>
      <c r="E8" s="24">
        <f>IF('历史数据'!G48="","",'历史数据'!G48/100000000)</f>
        <v/>
      </c>
      <c r="F8" s="26">
        <f>IF(OR('历史数据'!G48="",'历史数据'!H48&lt;=0),"",'历史数据'!G48/'历史数据'!H48-1)</f>
        <v/>
      </c>
      <c r="G8" s="26">
        <f>IF(OR('历史数据'!G48&lt;=0,'历史数据'!I48&lt;=0),"",POWER('历史数据'!G48/'历史数据'!I48,1/3)-1)</f>
        <v/>
      </c>
      <c r="H8" s="26">
        <f>IF(OR('历史数据'!G48&lt;=0,'历史数据'!J48=""),"",('历史数据'!G48-'历史数据'!J48)/'历史数据'!G48)</f>
        <v/>
      </c>
      <c r="I8" s="27">
        <f>IF(OR(H8="",'历史数据'!H48&lt;=0,'历史数据'!K48=""),"",(H8-('历史数据'!H48-'历史数据'!K48)/'历史数据'!H48)*100)</f>
        <v/>
      </c>
      <c r="J8" s="27">
        <f>IF(OR(H8="",'历史数据'!I48&lt;=0,'历史数据'!L48=""),"",(H8-('历史数据'!I48-'历史数据'!L48)/'历史数据'!I48)*100)</f>
        <v/>
      </c>
      <c r="K8" s="24">
        <f>IF('历史数据'!M48="","",'历史数据'!M48/100000000)</f>
        <v/>
      </c>
      <c r="L8" s="26">
        <f>IF(OR('历史数据'!G48=0,'历史数据'!M48=""),"",'历史数据'!M48/'历史数据'!G48)</f>
        <v/>
      </c>
      <c r="M8" s="26">
        <f>IF(OR('历史数据'!M48="",'历史数据'!N48=0),"",('历史数据'!M48-'历史数据'!N48)/ABS('历史数据'!N48))</f>
        <v/>
      </c>
      <c r="N8" s="26">
        <f>IF(OR('历史数据'!M48&lt;=0,'历史数据'!O48&lt;=0),"",POWER('历史数据'!M48/'历史数据'!O48,1/3)-1)</f>
        <v/>
      </c>
      <c r="O8" s="24">
        <f>IF('历史数据'!P48="","",'历史数据'!P48/100000000)</f>
        <v/>
      </c>
      <c r="P8" s="26">
        <f>IF(OR('历史数据'!P48="",'历史数据'!Q48=0),"",('历史数据'!P48-'历史数据'!Q48)/ABS('历史数据'!Q48))</f>
        <v/>
      </c>
      <c r="Q8" s="26">
        <f>IF(OR('历史数据'!P48&lt;=0,'历史数据'!R48&lt;=0),"",POWER('历史数据'!P48/'历史数据'!R48,1/3)-1)</f>
        <v/>
      </c>
      <c r="R8" s="24">
        <f>IF('历史数据'!S48="","",'历史数据'!S48/100000000)</f>
        <v/>
      </c>
      <c r="S8" s="25">
        <f>IF('历史数据'!T48="","",'历史数据'!T48)</f>
        <v/>
      </c>
      <c r="T8" s="28">
        <f>IF('历史数据'!U48="","",'历史数据'!U48)</f>
        <v/>
      </c>
      <c r="U8" s="28">
        <f>IF('历史数据'!V48="","",'历史数据'!V48/100000000)</f>
        <v/>
      </c>
      <c r="V8" s="24">
        <f>IF('历史数据'!W48="","",'历史数据'!W48/100000000)</f>
        <v/>
      </c>
      <c r="W8" s="28">
        <f>IF('历史数据'!X48="","",'历史数据'!X48)</f>
        <v/>
      </c>
      <c r="X8" s="26">
        <f>IF(OR(R8="",V8&lt;=0),"",R8/V8-1)</f>
        <v/>
      </c>
      <c r="Y8" s="29">
        <f>IF('历史数据'!Y48="","",'历史数据'!Y48)</f>
        <v/>
      </c>
      <c r="Z8" s="24">
        <f>IF('历史数据'!Z48="","",'历史数据'!Z48/100000000)</f>
        <v/>
      </c>
      <c r="AA8" s="24">
        <f>IF('历史数据'!AA48="","",'历史数据'!AA48/100000000)</f>
        <v/>
      </c>
      <c r="AB8" s="24">
        <f>IF('历史数据'!AB48="","",'历史数据'!AB48/100000000)</f>
        <v/>
      </c>
      <c r="AC8" s="13" t="inlineStr">
        <is>
          <t>近五个交易日资金净额:optional_missing；近一月资金净额（最近22个交易日）:optional_missing</t>
        </is>
      </c>
      <c r="AD8" s="13" t="inlineStr">
        <is>
          <t>SUCCESS</t>
        </is>
      </c>
    </row>
    <row r="9" ht="21" customHeight="1" s="3">
      <c r="A9" s="12" t="inlineStr">
        <is>
          <t>920639</t>
        </is>
      </c>
      <c r="B9" s="13" t="inlineStr">
        <is>
          <t>晨光电缆</t>
        </is>
      </c>
      <c r="C9" s="25">
        <f>IF('历史数据'!D95="","",'历史数据'!D95)</f>
        <v/>
      </c>
      <c r="D9" s="13">
        <f>IF('历史数据'!E95="","",'历史数据'!E95)</f>
        <v/>
      </c>
      <c r="E9" s="24">
        <f>IF('历史数据'!G95="","",'历史数据'!G95/100000000)</f>
        <v/>
      </c>
      <c r="F9" s="26">
        <f>IF(OR('历史数据'!G95="",'历史数据'!H95&lt;=0),"",'历史数据'!G95/'历史数据'!H95-1)</f>
        <v/>
      </c>
      <c r="G9" s="26">
        <f>IF(OR('历史数据'!G95&lt;=0,'历史数据'!I95&lt;=0),"",POWER('历史数据'!G95/'历史数据'!I95,1/3)-1)</f>
        <v/>
      </c>
      <c r="H9" s="26">
        <f>IF(OR('历史数据'!G95&lt;=0,'历史数据'!J95=""),"",('历史数据'!G95-'历史数据'!J95)/'历史数据'!G95)</f>
        <v/>
      </c>
      <c r="I9" s="27">
        <f>IF(OR(H9="",'历史数据'!H95&lt;=0,'历史数据'!K95=""),"",(H9-('历史数据'!H95-'历史数据'!K95)/'历史数据'!H95)*100)</f>
        <v/>
      </c>
      <c r="J9" s="27">
        <f>IF(OR(H9="",'历史数据'!I95&lt;=0,'历史数据'!L95=""),"",(H9-('历史数据'!I95-'历史数据'!L95)/'历史数据'!I95)*100)</f>
        <v/>
      </c>
      <c r="K9" s="24">
        <f>IF('历史数据'!M95="","",'历史数据'!M95/100000000)</f>
        <v/>
      </c>
      <c r="L9" s="26">
        <f>IF(OR('历史数据'!G95=0,'历史数据'!M95=""),"",'历史数据'!M95/'历史数据'!G95)</f>
        <v/>
      </c>
      <c r="M9" s="26">
        <f>IF(OR('历史数据'!M95="",'历史数据'!N95=0),"",('历史数据'!M95-'历史数据'!N95)/ABS('历史数据'!N95))</f>
        <v/>
      </c>
      <c r="N9" s="26">
        <f>IF(OR('历史数据'!M95&lt;=0,'历史数据'!O95&lt;=0),"",POWER('历史数据'!M95/'历史数据'!O95,1/3)-1)</f>
        <v/>
      </c>
      <c r="O9" s="24">
        <f>IF('历史数据'!P95="","",'历史数据'!P95/100000000)</f>
        <v/>
      </c>
      <c r="P9" s="26">
        <f>IF(OR('历史数据'!P95="",'历史数据'!Q95=0),"",('历史数据'!P95-'历史数据'!Q95)/ABS('历史数据'!Q95))</f>
        <v/>
      </c>
      <c r="Q9" s="26">
        <f>IF(OR('历史数据'!P95&lt;=0,'历史数据'!R95&lt;=0),"",POWER('历史数据'!P95/'历史数据'!R95,1/3)-1)</f>
        <v/>
      </c>
      <c r="R9" s="24">
        <f>IF('历史数据'!S95="","",'历史数据'!S95/100000000)</f>
        <v/>
      </c>
      <c r="S9" s="25">
        <f>IF('历史数据'!T95="","",'历史数据'!T95)</f>
        <v/>
      </c>
      <c r="T9" s="28">
        <f>IF('历史数据'!U95="","",'历史数据'!U95)</f>
        <v/>
      </c>
      <c r="U9" s="28">
        <f>IF('历史数据'!V95="","",'历史数据'!V95/100000000)</f>
        <v/>
      </c>
      <c r="V9" s="24">
        <f>IF('历史数据'!W95="","",'历史数据'!W95/100000000)</f>
        <v/>
      </c>
      <c r="W9" s="28">
        <f>IF('历史数据'!X95="","",'历史数据'!X95)</f>
        <v/>
      </c>
      <c r="X9" s="26">
        <f>IF(OR(R9="",V9&lt;=0),"",R9/V9-1)</f>
        <v/>
      </c>
      <c r="Y9" s="29">
        <f>IF('历史数据'!Y95="","",'历史数据'!Y95)</f>
        <v/>
      </c>
      <c r="Z9" s="24">
        <f>IF('历史数据'!Z95="","",'历史数据'!Z95/100000000)</f>
        <v/>
      </c>
      <c r="AA9" s="24">
        <f>IF('历史数据'!AA95="","",'历史数据'!AA95/100000000)</f>
        <v/>
      </c>
      <c r="AB9" s="24">
        <f>IF('历史数据'!AB95="","",'历史数据'!AB95/100000000)</f>
        <v/>
      </c>
      <c r="AC9" s="13" t="inlineStr">
        <is>
          <t>近五个交易日资金净额:optional_missing；近一月资金净额（最近22个交易日）:optional_missing</t>
        </is>
      </c>
      <c r="AD9" s="13" t="inlineStr">
        <is>
          <t>SUCCESS</t>
        </is>
      </c>
    </row>
    <row r="10" ht="21" customHeight="1" s="3">
      <c r="A10" s="12" t="inlineStr">
        <is>
          <t>920768</t>
        </is>
      </c>
      <c r="B10" s="13" t="inlineStr">
        <is>
          <t>拾比佰</t>
        </is>
      </c>
      <c r="C10" s="25">
        <f>IF('历史数据'!D60="","",'历史数据'!D60)</f>
        <v/>
      </c>
      <c r="D10" s="13">
        <f>IF('历史数据'!E60="","",'历史数据'!E60)</f>
        <v/>
      </c>
      <c r="E10" s="24">
        <f>IF('历史数据'!G60="","",'历史数据'!G60/100000000)</f>
        <v/>
      </c>
      <c r="F10" s="26">
        <f>IF(OR('历史数据'!G60="",'历史数据'!H60&lt;=0),"",'历史数据'!G60/'历史数据'!H60-1)</f>
        <v/>
      </c>
      <c r="G10" s="26">
        <f>IF(OR('历史数据'!G60&lt;=0,'历史数据'!I60&lt;=0),"",POWER('历史数据'!G60/'历史数据'!I60,1/3)-1)</f>
        <v/>
      </c>
      <c r="H10" s="26">
        <f>IF(OR('历史数据'!G60&lt;=0,'历史数据'!J60=""),"",('历史数据'!G60-'历史数据'!J60)/'历史数据'!G60)</f>
        <v/>
      </c>
      <c r="I10" s="27">
        <f>IF(OR(H10="",'历史数据'!H60&lt;=0,'历史数据'!K60=""),"",(H10-('历史数据'!H60-'历史数据'!K60)/'历史数据'!H60)*100)</f>
        <v/>
      </c>
      <c r="J10" s="27">
        <f>IF(OR(H10="",'历史数据'!I60&lt;=0,'历史数据'!L60=""),"",(H10-('历史数据'!I60-'历史数据'!L60)/'历史数据'!I60)*100)</f>
        <v/>
      </c>
      <c r="K10" s="24">
        <f>IF('历史数据'!M60="","",'历史数据'!M60/100000000)</f>
        <v/>
      </c>
      <c r="L10" s="26">
        <f>IF(OR('历史数据'!G60=0,'历史数据'!M60=""),"",'历史数据'!M60/'历史数据'!G60)</f>
        <v/>
      </c>
      <c r="M10" s="26">
        <f>IF(OR('历史数据'!M60="",'历史数据'!N60=0),"",('历史数据'!M60-'历史数据'!N60)/ABS('历史数据'!N60))</f>
        <v/>
      </c>
      <c r="N10" s="26">
        <f>IF(OR('历史数据'!M60&lt;=0,'历史数据'!O60&lt;=0),"",POWER('历史数据'!M60/'历史数据'!O60,1/3)-1)</f>
        <v/>
      </c>
      <c r="O10" s="24">
        <f>IF('历史数据'!P60="","",'历史数据'!P60/100000000)</f>
        <v/>
      </c>
      <c r="P10" s="26">
        <f>IF(OR('历史数据'!P60="",'历史数据'!Q60=0),"",('历史数据'!P60-'历史数据'!Q60)/ABS('历史数据'!Q60))</f>
        <v/>
      </c>
      <c r="Q10" s="26">
        <f>IF(OR('历史数据'!P60&lt;=0,'历史数据'!R60&lt;=0),"",POWER('历史数据'!P60/'历史数据'!R60,1/3)-1)</f>
        <v/>
      </c>
      <c r="R10" s="24">
        <f>IF('历史数据'!S60="","",'历史数据'!S60/100000000)</f>
        <v/>
      </c>
      <c r="S10" s="25">
        <f>IF('历史数据'!T60="","",'历史数据'!T60)</f>
        <v/>
      </c>
      <c r="T10" s="28">
        <f>IF('历史数据'!U60="","",'历史数据'!U60)</f>
        <v/>
      </c>
      <c r="U10" s="28">
        <f>IF('历史数据'!V60="","",'历史数据'!V60/100000000)</f>
        <v/>
      </c>
      <c r="V10" s="24">
        <f>IF('历史数据'!W60="","",'历史数据'!W60/100000000)</f>
        <v/>
      </c>
      <c r="W10" s="28">
        <f>IF('历史数据'!X60="","",'历史数据'!X60)</f>
        <v/>
      </c>
      <c r="X10" s="26">
        <f>IF(OR(R10="",V10&lt;=0),"",R10/V10-1)</f>
        <v/>
      </c>
      <c r="Y10" s="29">
        <f>IF('历史数据'!Y60="","",'历史数据'!Y60)</f>
        <v/>
      </c>
      <c r="Z10" s="24">
        <f>IF('历史数据'!Z60="","",'历史数据'!Z60/100000000)</f>
        <v/>
      </c>
      <c r="AA10" s="24">
        <f>IF('历史数据'!AA60="","",'历史数据'!AA60/100000000)</f>
        <v/>
      </c>
      <c r="AB10" s="24">
        <f>IF('历史数据'!AB60="","",'历史数据'!AB60/100000000)</f>
        <v/>
      </c>
      <c r="AC10" s="13" t="inlineStr">
        <is>
          <t>近五个交易日资金净额:optional_missing；近一月资金净额（最近22个交易日）:optional_missing</t>
        </is>
      </c>
      <c r="AD10" s="13" t="inlineStr">
        <is>
          <t>SUCCESS</t>
        </is>
      </c>
    </row>
    <row r="11" ht="21" customHeight="1" s="3">
      <c r="A11" s="12" t="inlineStr">
        <is>
          <t>920985</t>
        </is>
      </c>
      <c r="B11" s="13" t="inlineStr">
        <is>
          <t>海泰新能</t>
        </is>
      </c>
      <c r="C11" s="25">
        <f>IF('历史数据'!D3="","",'历史数据'!D3)</f>
        <v/>
      </c>
      <c r="D11" s="13">
        <f>IF('历史数据'!E3="","",'历史数据'!E3)</f>
        <v/>
      </c>
      <c r="E11" s="24">
        <f>IF('历史数据'!G3="","",'历史数据'!G3/100000000)</f>
        <v/>
      </c>
      <c r="F11" s="26">
        <f>IF(OR('历史数据'!G3="",'历史数据'!H3&lt;=0),"",'历史数据'!G3/'历史数据'!H3-1)</f>
        <v/>
      </c>
      <c r="G11" s="26">
        <f>IF(OR('历史数据'!G3&lt;=0,'历史数据'!I3&lt;=0),"",POWER('历史数据'!G3/'历史数据'!I3,1/3)-1)</f>
        <v/>
      </c>
      <c r="H11" s="26">
        <f>IF(OR('历史数据'!G3&lt;=0,'历史数据'!J3=""),"",('历史数据'!G3-'历史数据'!J3)/'历史数据'!G3)</f>
        <v/>
      </c>
      <c r="I11" s="27">
        <f>IF(OR(H11="",'历史数据'!H3&lt;=0,'历史数据'!K3=""),"",(H11-('历史数据'!H3-'历史数据'!K3)/'历史数据'!H3)*100)</f>
        <v/>
      </c>
      <c r="J11" s="27">
        <f>IF(OR(H11="",'历史数据'!I3&lt;=0,'历史数据'!L3=""),"",(H11-('历史数据'!I3-'历史数据'!L3)/'历史数据'!I3)*100)</f>
        <v/>
      </c>
      <c r="K11" s="24">
        <f>IF('历史数据'!M3="","",'历史数据'!M3/100000000)</f>
        <v/>
      </c>
      <c r="L11" s="26">
        <f>IF(OR('历史数据'!G3=0,'历史数据'!M3=""),"",'历史数据'!M3/'历史数据'!G3)</f>
        <v/>
      </c>
      <c r="M11" s="26">
        <f>IF(OR('历史数据'!M3="",'历史数据'!N3=0),"",('历史数据'!M3-'历史数据'!N3)/ABS('历史数据'!N3))</f>
        <v/>
      </c>
      <c r="N11" s="26">
        <f>IF(OR('历史数据'!M3&lt;=0,'历史数据'!O3&lt;=0),"",POWER('历史数据'!M3/'历史数据'!O3,1/3)-1)</f>
        <v/>
      </c>
      <c r="O11" s="24">
        <f>IF('历史数据'!P3="","",'历史数据'!P3/100000000)</f>
        <v/>
      </c>
      <c r="P11" s="26">
        <f>IF(OR('历史数据'!P3="",'历史数据'!Q3=0),"",('历史数据'!P3-'历史数据'!Q3)/ABS('历史数据'!Q3))</f>
        <v/>
      </c>
      <c r="Q11" s="26">
        <f>IF(OR('历史数据'!P3&lt;=0,'历史数据'!R3&lt;=0),"",POWER('历史数据'!P3/'历史数据'!R3,1/3)-1)</f>
        <v/>
      </c>
      <c r="R11" s="24">
        <f>IF('历史数据'!S3="","",'历史数据'!S3/100000000)</f>
        <v/>
      </c>
      <c r="S11" s="25">
        <f>IF('历史数据'!T3="","",'历史数据'!T3)</f>
        <v/>
      </c>
      <c r="T11" s="28">
        <f>IF('历史数据'!U3="","",'历史数据'!U3)</f>
        <v/>
      </c>
      <c r="U11" s="28">
        <f>IF('历史数据'!V3="","",'历史数据'!V3/100000000)</f>
        <v/>
      </c>
      <c r="V11" s="24">
        <f>IF('历史数据'!W3="","",'历史数据'!W3/100000000)</f>
        <v/>
      </c>
      <c r="W11" s="28">
        <f>IF('历史数据'!X3="","",'历史数据'!X3)</f>
        <v/>
      </c>
      <c r="X11" s="26">
        <f>IF(OR(R11="",V11&lt;=0),"",R11/V11-1)</f>
        <v/>
      </c>
      <c r="Y11" s="29">
        <f>IF('历史数据'!Y3="","",'历史数据'!Y3)</f>
        <v/>
      </c>
      <c r="Z11" s="24">
        <f>IF('历史数据'!Z3="","",'历史数据'!Z3/100000000)</f>
        <v/>
      </c>
      <c r="AA11" s="24">
        <f>IF('历史数据'!AA3="","",'历史数据'!AA3/100000000)</f>
        <v/>
      </c>
      <c r="AB11" s="24">
        <f>IF('历史数据'!AB3="","",'历史数据'!AB3/100000000)</f>
        <v/>
      </c>
      <c r="AC11" s="13" t="inlineStr">
        <is>
          <t>近五个交易日资金净额:optional_missing；近一月资金净额（最近22个交易日）:optional_missing</t>
        </is>
      </c>
      <c r="AD11" s="13" t="inlineStr">
        <is>
          <t>SUCCESS</t>
        </is>
      </c>
    </row>
    <row r="12" ht="21" customHeight="1" s="3">
      <c r="A12" s="12" t="inlineStr">
        <is>
          <t>920982</t>
        </is>
      </c>
      <c r="B12" s="13" t="inlineStr">
        <is>
          <t>锦波生物</t>
        </is>
      </c>
      <c r="C12" s="25">
        <f>IF('历史数据'!D4="","",'历史数据'!D4)</f>
        <v/>
      </c>
      <c r="D12" s="13">
        <f>IF('历史数据'!E4="","",'历史数据'!E4)</f>
        <v/>
      </c>
      <c r="E12" s="24">
        <f>IF('历史数据'!G4="","",'历史数据'!G4/100000000)</f>
        <v/>
      </c>
      <c r="F12" s="26">
        <f>IF(OR('历史数据'!G4="",'历史数据'!H4&lt;=0),"",'历史数据'!G4/'历史数据'!H4-1)</f>
        <v/>
      </c>
      <c r="G12" s="26">
        <f>IF(OR('历史数据'!G4&lt;=0,'历史数据'!I4&lt;=0),"",POWER('历史数据'!G4/'历史数据'!I4,1/3)-1)</f>
        <v/>
      </c>
      <c r="H12" s="26">
        <f>IF(OR('历史数据'!G4&lt;=0,'历史数据'!J4=""),"",('历史数据'!G4-'历史数据'!J4)/'历史数据'!G4)</f>
        <v/>
      </c>
      <c r="I12" s="27">
        <f>IF(OR(H12="",'历史数据'!H4&lt;=0,'历史数据'!K4=""),"",(H12-('历史数据'!H4-'历史数据'!K4)/'历史数据'!H4)*100)</f>
        <v/>
      </c>
      <c r="J12" s="27">
        <f>IF(OR(H12="",'历史数据'!I4&lt;=0,'历史数据'!L4=""),"",(H12-('历史数据'!I4-'历史数据'!L4)/'历史数据'!I4)*100)</f>
        <v/>
      </c>
      <c r="K12" s="24">
        <f>IF('历史数据'!M4="","",'历史数据'!M4/100000000)</f>
        <v/>
      </c>
      <c r="L12" s="26">
        <f>IF(OR('历史数据'!G4=0,'历史数据'!M4=""),"",'历史数据'!M4/'历史数据'!G4)</f>
        <v/>
      </c>
      <c r="M12" s="26">
        <f>IF(OR('历史数据'!M4="",'历史数据'!N4=0),"",('历史数据'!M4-'历史数据'!N4)/ABS('历史数据'!N4))</f>
        <v/>
      </c>
      <c r="N12" s="26">
        <f>IF(OR('历史数据'!M4&lt;=0,'历史数据'!O4&lt;=0),"",POWER('历史数据'!M4/'历史数据'!O4,1/3)-1)</f>
        <v/>
      </c>
      <c r="O12" s="24">
        <f>IF('历史数据'!P4="","",'历史数据'!P4/100000000)</f>
        <v/>
      </c>
      <c r="P12" s="26">
        <f>IF(OR('历史数据'!P4="",'历史数据'!Q4=0),"",('历史数据'!P4-'历史数据'!Q4)/ABS('历史数据'!Q4))</f>
        <v/>
      </c>
      <c r="Q12" s="26">
        <f>IF(OR('历史数据'!P4&lt;=0,'历史数据'!R4&lt;=0),"",POWER('历史数据'!P4/'历史数据'!R4,1/3)-1)</f>
        <v/>
      </c>
      <c r="R12" s="24">
        <f>IF('历史数据'!S4="","",'历史数据'!S4/100000000)</f>
        <v/>
      </c>
      <c r="S12" s="25">
        <f>IF('历史数据'!T4="","",'历史数据'!T4)</f>
        <v/>
      </c>
      <c r="T12" s="28">
        <f>IF('历史数据'!U4="","",'历史数据'!U4)</f>
        <v/>
      </c>
      <c r="U12" s="28">
        <f>IF('历史数据'!V4="","",'历史数据'!V4/100000000)</f>
        <v/>
      </c>
      <c r="V12" s="24">
        <f>IF('历史数据'!W4="","",'历史数据'!W4/100000000)</f>
        <v/>
      </c>
      <c r="W12" s="28">
        <f>IF('历史数据'!X4="","",'历史数据'!X4)</f>
        <v/>
      </c>
      <c r="X12" s="26">
        <f>IF(OR(R12="",V12&lt;=0),"",R12/V12-1)</f>
        <v/>
      </c>
      <c r="Y12" s="29">
        <f>IF('历史数据'!Y4="","",'历史数据'!Y4)</f>
        <v/>
      </c>
      <c r="Z12" s="24">
        <f>IF('历史数据'!Z4="","",'历史数据'!Z4/100000000)</f>
        <v/>
      </c>
      <c r="AA12" s="24">
        <f>IF('历史数据'!AA4="","",'历史数据'!AA4/100000000)</f>
        <v/>
      </c>
      <c r="AB12" s="24">
        <f>IF('历史数据'!AB4="","",'历史数据'!AB4/100000000)</f>
        <v/>
      </c>
      <c r="AC12" s="13" t="inlineStr">
        <is>
          <t>近五个交易日资金净额:optional_missing；近一月资金净额（最近22个交易日）:optional_missing</t>
        </is>
      </c>
      <c r="AD12" s="13" t="inlineStr">
        <is>
          <t>SUCCESS</t>
        </is>
      </c>
    </row>
    <row r="13" ht="21" customHeight="1" s="3">
      <c r="A13" s="12" t="inlineStr">
        <is>
          <t>920806</t>
        </is>
      </c>
      <c r="B13" s="13" t="inlineStr">
        <is>
          <t>云星宇</t>
        </is>
      </c>
      <c r="C13" s="25">
        <f>IF('历史数据'!D51="","",'历史数据'!D51)</f>
        <v/>
      </c>
      <c r="D13" s="13">
        <f>IF('历史数据'!E51="","",'历史数据'!E51)</f>
        <v/>
      </c>
      <c r="E13" s="24">
        <f>IF('历史数据'!G51="","",'历史数据'!G51/100000000)</f>
        <v/>
      </c>
      <c r="F13" s="26">
        <f>IF(OR('历史数据'!G51="",'历史数据'!H51&lt;=0),"",'历史数据'!G51/'历史数据'!H51-1)</f>
        <v/>
      </c>
      <c r="G13" s="26">
        <f>IF(OR('历史数据'!G51&lt;=0,'历史数据'!I51&lt;=0),"",POWER('历史数据'!G51/'历史数据'!I51,1/3)-1)</f>
        <v/>
      </c>
      <c r="H13" s="26">
        <f>IF(OR('历史数据'!G51&lt;=0,'历史数据'!J51=""),"",('历史数据'!G51-'历史数据'!J51)/'历史数据'!G51)</f>
        <v/>
      </c>
      <c r="I13" s="27">
        <f>IF(OR(H13="",'历史数据'!H51&lt;=0,'历史数据'!K51=""),"",(H13-('历史数据'!H51-'历史数据'!K51)/'历史数据'!H51)*100)</f>
        <v/>
      </c>
      <c r="J13" s="27">
        <f>IF(OR(H13="",'历史数据'!I51&lt;=0,'历史数据'!L51=""),"",(H13-('历史数据'!I51-'历史数据'!L51)/'历史数据'!I51)*100)</f>
        <v/>
      </c>
      <c r="K13" s="24">
        <f>IF('历史数据'!M51="","",'历史数据'!M51/100000000)</f>
        <v/>
      </c>
      <c r="L13" s="26">
        <f>IF(OR('历史数据'!G51=0,'历史数据'!M51=""),"",'历史数据'!M51/'历史数据'!G51)</f>
        <v/>
      </c>
      <c r="M13" s="26">
        <f>IF(OR('历史数据'!M51="",'历史数据'!N51=0),"",('历史数据'!M51-'历史数据'!N51)/ABS('历史数据'!N51))</f>
        <v/>
      </c>
      <c r="N13" s="26">
        <f>IF(OR('历史数据'!M51&lt;=0,'历史数据'!O51&lt;=0),"",POWER('历史数据'!M51/'历史数据'!O51,1/3)-1)</f>
        <v/>
      </c>
      <c r="O13" s="24">
        <f>IF('历史数据'!P51="","",'历史数据'!P51/100000000)</f>
        <v/>
      </c>
      <c r="P13" s="26">
        <f>IF(OR('历史数据'!P51="",'历史数据'!Q51=0),"",('历史数据'!P51-'历史数据'!Q51)/ABS('历史数据'!Q51))</f>
        <v/>
      </c>
      <c r="Q13" s="26">
        <f>IF(OR('历史数据'!P51&lt;=0,'历史数据'!R51&lt;=0),"",POWER('历史数据'!P51/'历史数据'!R51,1/3)-1)</f>
        <v/>
      </c>
      <c r="R13" s="24">
        <f>IF('历史数据'!S51="","",'历史数据'!S51/100000000)</f>
        <v/>
      </c>
      <c r="S13" s="25">
        <f>IF('历史数据'!T51="","",'历史数据'!T51)</f>
        <v/>
      </c>
      <c r="T13" s="28">
        <f>IF('历史数据'!U51="","",'历史数据'!U51)</f>
        <v/>
      </c>
      <c r="U13" s="28">
        <f>IF('历史数据'!V51="","",'历史数据'!V51/100000000)</f>
        <v/>
      </c>
      <c r="V13" s="24">
        <f>IF('历史数据'!W51="","",'历史数据'!W51/100000000)</f>
        <v/>
      </c>
      <c r="W13" s="28">
        <f>IF('历史数据'!X51="","",'历史数据'!X51)</f>
        <v/>
      </c>
      <c r="X13" s="26">
        <f>IF(OR(R13="",V13&lt;=0),"",R13/V13-1)</f>
        <v/>
      </c>
      <c r="Y13" s="29">
        <f>IF('历史数据'!Y51="","",'历史数据'!Y51)</f>
        <v/>
      </c>
      <c r="Z13" s="24">
        <f>IF('历史数据'!Z51="","",'历史数据'!Z51/100000000)</f>
        <v/>
      </c>
      <c r="AA13" s="24">
        <f>IF('历史数据'!AA51="","",'历史数据'!AA51/100000000)</f>
        <v/>
      </c>
      <c r="AB13" s="24">
        <f>IF('历史数据'!AB51="","",'历史数据'!AB51/100000000)</f>
        <v/>
      </c>
      <c r="AC13" s="13" t="inlineStr">
        <is>
          <t>近五个交易日资金净额:optional_missing；近一月资金净额（最近22个交易日）:optional_missing</t>
        </is>
      </c>
      <c r="AD13" s="13" t="inlineStr">
        <is>
          <t>SUCCESS</t>
        </is>
      </c>
    </row>
    <row r="14" ht="21" customHeight="1" s="3">
      <c r="A14" s="12" t="inlineStr">
        <is>
          <t>920786</t>
        </is>
      </c>
      <c r="B14" s="13" t="inlineStr">
        <is>
          <t>骑士乳业</t>
        </is>
      </c>
      <c r="C14" s="25">
        <f>IF('历史数据'!D56="","",'历史数据'!D56)</f>
        <v/>
      </c>
      <c r="D14" s="13">
        <f>IF('历史数据'!E56="","",'历史数据'!E56)</f>
        <v/>
      </c>
      <c r="E14" s="24">
        <f>IF('历史数据'!G56="","",'历史数据'!G56/100000000)</f>
        <v/>
      </c>
      <c r="F14" s="26">
        <f>IF(OR('历史数据'!G56="",'历史数据'!H56&lt;=0),"",'历史数据'!G56/'历史数据'!H56-1)</f>
        <v/>
      </c>
      <c r="G14" s="26">
        <f>IF(OR('历史数据'!G56&lt;=0,'历史数据'!I56&lt;=0),"",POWER('历史数据'!G56/'历史数据'!I56,1/3)-1)</f>
        <v/>
      </c>
      <c r="H14" s="26">
        <f>IF(OR('历史数据'!G56&lt;=0,'历史数据'!J56=""),"",('历史数据'!G56-'历史数据'!J56)/'历史数据'!G56)</f>
        <v/>
      </c>
      <c r="I14" s="27">
        <f>IF(OR(H14="",'历史数据'!H56&lt;=0,'历史数据'!K56=""),"",(H14-('历史数据'!H56-'历史数据'!K56)/'历史数据'!H56)*100)</f>
        <v/>
      </c>
      <c r="J14" s="27">
        <f>IF(OR(H14="",'历史数据'!I56&lt;=0,'历史数据'!L56=""),"",(H14-('历史数据'!I56-'历史数据'!L56)/'历史数据'!I56)*100)</f>
        <v/>
      </c>
      <c r="K14" s="24">
        <f>IF('历史数据'!M56="","",'历史数据'!M56/100000000)</f>
        <v/>
      </c>
      <c r="L14" s="26">
        <f>IF(OR('历史数据'!G56=0,'历史数据'!M56=""),"",'历史数据'!M56/'历史数据'!G56)</f>
        <v/>
      </c>
      <c r="M14" s="26">
        <f>IF(OR('历史数据'!M56="",'历史数据'!N56=0),"",('历史数据'!M56-'历史数据'!N56)/ABS('历史数据'!N56))</f>
        <v/>
      </c>
      <c r="N14" s="26">
        <f>IF(OR('历史数据'!M56&lt;=0,'历史数据'!O56&lt;=0),"",POWER('历史数据'!M56/'历史数据'!O56,1/3)-1)</f>
        <v/>
      </c>
      <c r="O14" s="24">
        <f>IF('历史数据'!P56="","",'历史数据'!P56/100000000)</f>
        <v/>
      </c>
      <c r="P14" s="26">
        <f>IF(OR('历史数据'!P56="",'历史数据'!Q56=0),"",('历史数据'!P56-'历史数据'!Q56)/ABS('历史数据'!Q56))</f>
        <v/>
      </c>
      <c r="Q14" s="26">
        <f>IF(OR('历史数据'!P56&lt;=0,'历史数据'!R56&lt;=0),"",POWER('历史数据'!P56/'历史数据'!R56,1/3)-1)</f>
        <v/>
      </c>
      <c r="R14" s="24">
        <f>IF('历史数据'!S56="","",'历史数据'!S56/100000000)</f>
        <v/>
      </c>
      <c r="S14" s="25">
        <f>IF('历史数据'!T56="","",'历史数据'!T56)</f>
        <v/>
      </c>
      <c r="T14" s="28">
        <f>IF('历史数据'!U56="","",'历史数据'!U56)</f>
        <v/>
      </c>
      <c r="U14" s="28">
        <f>IF('历史数据'!V56="","",'历史数据'!V56/100000000)</f>
        <v/>
      </c>
      <c r="V14" s="24">
        <f>IF('历史数据'!W56="","",'历史数据'!W56/100000000)</f>
        <v/>
      </c>
      <c r="W14" s="28">
        <f>IF('历史数据'!X56="","",'历史数据'!X56)</f>
        <v/>
      </c>
      <c r="X14" s="26">
        <f>IF(OR(R14="",V14&lt;=0),"",R14/V14-1)</f>
        <v/>
      </c>
      <c r="Y14" s="29">
        <f>IF('历史数据'!Y56="","",'历史数据'!Y56)</f>
        <v/>
      </c>
      <c r="Z14" s="24">
        <f>IF('历史数据'!Z56="","",'历史数据'!Z56/100000000)</f>
        <v/>
      </c>
      <c r="AA14" s="24">
        <f>IF('历史数据'!AA56="","",'历史数据'!AA56/100000000)</f>
        <v/>
      </c>
      <c r="AB14" s="24">
        <f>IF('历史数据'!AB56="","",'历史数据'!AB56/100000000)</f>
        <v/>
      </c>
      <c r="AC14" s="13" t="inlineStr">
        <is>
          <t>近五个交易日资金净额:optional_missing；近一月资金净额（最近22个交易日）:optional_missing</t>
        </is>
      </c>
      <c r="AD14" s="13" t="inlineStr">
        <is>
          <t>SUCCESS</t>
        </is>
      </c>
    </row>
    <row r="15" ht="21" customHeight="1" s="3">
      <c r="A15" s="12" t="inlineStr">
        <is>
          <t>920718</t>
        </is>
      </c>
      <c r="B15" s="13" t="inlineStr">
        <is>
          <t>合肥高科</t>
        </is>
      </c>
      <c r="C15" s="25">
        <f>IF('历史数据'!D71="","",'历史数据'!D71)</f>
        <v/>
      </c>
      <c r="D15" s="13">
        <f>IF('历史数据'!E71="","",'历史数据'!E71)</f>
        <v/>
      </c>
      <c r="E15" s="24">
        <f>IF('历史数据'!G71="","",'历史数据'!G71/100000000)</f>
        <v/>
      </c>
      <c r="F15" s="26">
        <f>IF(OR('历史数据'!G71="",'历史数据'!H71&lt;=0),"",'历史数据'!G71/'历史数据'!H71-1)</f>
        <v/>
      </c>
      <c r="G15" s="26">
        <f>IF(OR('历史数据'!G71&lt;=0,'历史数据'!I71&lt;=0),"",POWER('历史数据'!G71/'历史数据'!I71,1/3)-1)</f>
        <v/>
      </c>
      <c r="H15" s="26">
        <f>IF(OR('历史数据'!G71&lt;=0,'历史数据'!J71=""),"",('历史数据'!G71-'历史数据'!J71)/'历史数据'!G71)</f>
        <v/>
      </c>
      <c r="I15" s="27">
        <f>IF(OR(H15="",'历史数据'!H71&lt;=0,'历史数据'!K71=""),"",(H15-('历史数据'!H71-'历史数据'!K71)/'历史数据'!H71)*100)</f>
        <v/>
      </c>
      <c r="J15" s="27">
        <f>IF(OR(H15="",'历史数据'!I71&lt;=0,'历史数据'!L71=""),"",(H15-('历史数据'!I71-'历史数据'!L71)/'历史数据'!I71)*100)</f>
        <v/>
      </c>
      <c r="K15" s="24">
        <f>IF('历史数据'!M71="","",'历史数据'!M71/100000000)</f>
        <v/>
      </c>
      <c r="L15" s="26">
        <f>IF(OR('历史数据'!G71=0,'历史数据'!M71=""),"",'历史数据'!M71/'历史数据'!G71)</f>
        <v/>
      </c>
      <c r="M15" s="26">
        <f>IF(OR('历史数据'!M71="",'历史数据'!N71=0),"",('历史数据'!M71-'历史数据'!N71)/ABS('历史数据'!N71))</f>
        <v/>
      </c>
      <c r="N15" s="26">
        <f>IF(OR('历史数据'!M71&lt;=0,'历史数据'!O71&lt;=0),"",POWER('历史数据'!M71/'历史数据'!O71,1/3)-1)</f>
        <v/>
      </c>
      <c r="O15" s="24">
        <f>IF('历史数据'!P71="","",'历史数据'!P71/100000000)</f>
        <v/>
      </c>
      <c r="P15" s="26">
        <f>IF(OR('历史数据'!P71="",'历史数据'!Q71=0),"",('历史数据'!P71-'历史数据'!Q71)/ABS('历史数据'!Q71))</f>
        <v/>
      </c>
      <c r="Q15" s="26">
        <f>IF(OR('历史数据'!P71&lt;=0,'历史数据'!R71&lt;=0),"",POWER('历史数据'!P71/'历史数据'!R71,1/3)-1)</f>
        <v/>
      </c>
      <c r="R15" s="24">
        <f>IF('历史数据'!S71="","",'历史数据'!S71/100000000)</f>
        <v/>
      </c>
      <c r="S15" s="25">
        <f>IF('历史数据'!T71="","",'历史数据'!T71)</f>
        <v/>
      </c>
      <c r="T15" s="28">
        <f>IF('历史数据'!U71="","",'历史数据'!U71)</f>
        <v/>
      </c>
      <c r="U15" s="28">
        <f>IF('历史数据'!V71="","",'历史数据'!V71/100000000)</f>
        <v/>
      </c>
      <c r="V15" s="24">
        <f>IF('历史数据'!W71="","",'历史数据'!W71/100000000)</f>
        <v/>
      </c>
      <c r="W15" s="28">
        <f>IF('历史数据'!X71="","",'历史数据'!X71)</f>
        <v/>
      </c>
      <c r="X15" s="26">
        <f>IF(OR(R15="",V15&lt;=0),"",R15/V15-1)</f>
        <v/>
      </c>
      <c r="Y15" s="29">
        <f>IF('历史数据'!Y71="","",'历史数据'!Y71)</f>
        <v/>
      </c>
      <c r="Z15" s="24">
        <f>IF('历史数据'!Z71="","",'历史数据'!Z71/100000000)</f>
        <v/>
      </c>
      <c r="AA15" s="24">
        <f>IF('历史数据'!AA71="","",'历史数据'!AA71/100000000)</f>
        <v/>
      </c>
      <c r="AB15" s="24">
        <f>IF('历史数据'!AB71="","",'历史数据'!AB71/100000000)</f>
        <v/>
      </c>
      <c r="AC15" s="13" t="inlineStr">
        <is>
          <t>近五个交易日资金净额:optional_missing；近一月资金净额（最近22个交易日）:optional_missing</t>
        </is>
      </c>
      <c r="AD15" s="13" t="inlineStr">
        <is>
          <t>SUCCESS</t>
        </is>
      </c>
    </row>
    <row r="16" ht="21" customHeight="1" s="3">
      <c r="A16" s="12" t="inlineStr">
        <is>
          <t>920978</t>
        </is>
      </c>
      <c r="B16" s="13" t="inlineStr">
        <is>
          <t>开特股份</t>
        </is>
      </c>
      <c r="C16" s="25">
        <f>IF('历史数据'!D6="","",'历史数据'!D6)</f>
        <v/>
      </c>
      <c r="D16" s="13">
        <f>IF('历史数据'!E6="","",'历史数据'!E6)</f>
        <v/>
      </c>
      <c r="E16" s="24">
        <f>IF('历史数据'!G6="","",'历史数据'!G6/100000000)</f>
        <v/>
      </c>
      <c r="F16" s="26">
        <f>IF(OR('历史数据'!G6="",'历史数据'!H6&lt;=0),"",'历史数据'!G6/'历史数据'!H6-1)</f>
        <v/>
      </c>
      <c r="G16" s="26">
        <f>IF(OR('历史数据'!G6&lt;=0,'历史数据'!I6&lt;=0),"",POWER('历史数据'!G6/'历史数据'!I6,1/3)-1)</f>
        <v/>
      </c>
      <c r="H16" s="26">
        <f>IF(OR('历史数据'!G6&lt;=0,'历史数据'!J6=""),"",('历史数据'!G6-'历史数据'!J6)/'历史数据'!G6)</f>
        <v/>
      </c>
      <c r="I16" s="27">
        <f>IF(OR(H16="",'历史数据'!H6&lt;=0,'历史数据'!K6=""),"",(H16-('历史数据'!H6-'历史数据'!K6)/'历史数据'!H6)*100)</f>
        <v/>
      </c>
      <c r="J16" s="27">
        <f>IF(OR(H16="",'历史数据'!I6&lt;=0,'历史数据'!L6=""),"",(H16-('历史数据'!I6-'历史数据'!L6)/'历史数据'!I6)*100)</f>
        <v/>
      </c>
      <c r="K16" s="24">
        <f>IF('历史数据'!M6="","",'历史数据'!M6/100000000)</f>
        <v/>
      </c>
      <c r="L16" s="26">
        <f>IF(OR('历史数据'!G6=0,'历史数据'!M6=""),"",'历史数据'!M6/'历史数据'!G6)</f>
        <v/>
      </c>
      <c r="M16" s="26">
        <f>IF(OR('历史数据'!M6="",'历史数据'!N6=0),"",('历史数据'!M6-'历史数据'!N6)/ABS('历史数据'!N6))</f>
        <v/>
      </c>
      <c r="N16" s="26">
        <f>IF(OR('历史数据'!M6&lt;=0,'历史数据'!O6&lt;=0),"",POWER('历史数据'!M6/'历史数据'!O6,1/3)-1)</f>
        <v/>
      </c>
      <c r="O16" s="24">
        <f>IF('历史数据'!P6="","",'历史数据'!P6/100000000)</f>
        <v/>
      </c>
      <c r="P16" s="26">
        <f>IF(OR('历史数据'!P6="",'历史数据'!Q6=0),"",('历史数据'!P6-'历史数据'!Q6)/ABS('历史数据'!Q6))</f>
        <v/>
      </c>
      <c r="Q16" s="26">
        <f>IF(OR('历史数据'!P6&lt;=0,'历史数据'!R6&lt;=0),"",POWER('历史数据'!P6/'历史数据'!R6,1/3)-1)</f>
        <v/>
      </c>
      <c r="R16" s="24">
        <f>IF('历史数据'!S6="","",'历史数据'!S6/100000000)</f>
        <v/>
      </c>
      <c r="S16" s="25">
        <f>IF('历史数据'!T6="","",'历史数据'!T6)</f>
        <v/>
      </c>
      <c r="T16" s="28">
        <f>IF('历史数据'!U6="","",'历史数据'!U6)</f>
        <v/>
      </c>
      <c r="U16" s="28">
        <f>IF('历史数据'!V6="","",'历史数据'!V6/100000000)</f>
        <v/>
      </c>
      <c r="V16" s="24">
        <f>IF('历史数据'!W6="","",'历史数据'!W6/100000000)</f>
        <v/>
      </c>
      <c r="W16" s="28">
        <f>IF('历史数据'!X6="","",'历史数据'!X6)</f>
        <v/>
      </c>
      <c r="X16" s="26">
        <f>IF(OR(R16="",V16&lt;=0),"",R16/V16-1)</f>
        <v/>
      </c>
      <c r="Y16" s="29">
        <f>IF('历史数据'!Y6="","",'历史数据'!Y6)</f>
        <v/>
      </c>
      <c r="Z16" s="24">
        <f>IF('历史数据'!Z6="","",'历史数据'!Z6/100000000)</f>
        <v/>
      </c>
      <c r="AA16" s="24">
        <f>IF('历史数据'!AA6="","",'历史数据'!AA6/100000000)</f>
        <v/>
      </c>
      <c r="AB16" s="24">
        <f>IF('历史数据'!AB6="","",'历史数据'!AB6/100000000)</f>
        <v/>
      </c>
      <c r="AC16" s="13" t="inlineStr">
        <is>
          <t>近五个交易日资金净额:optional_missing；近一月资金净额（最近22个交易日）:optional_missing</t>
        </is>
      </c>
      <c r="AD16" s="13" t="inlineStr">
        <is>
          <t>SUCCESS</t>
        </is>
      </c>
    </row>
    <row r="17" ht="21" customHeight="1" s="3">
      <c r="A17" s="12" t="inlineStr">
        <is>
          <t>920974</t>
        </is>
      </c>
      <c r="B17" s="13" t="inlineStr">
        <is>
          <t>凯大催化</t>
        </is>
      </c>
      <c r="C17" s="25">
        <f>IF('历史数据'!D8="","",'历史数据'!D8)</f>
        <v/>
      </c>
      <c r="D17" s="13">
        <f>IF('历史数据'!E8="","",'历史数据'!E8)</f>
        <v/>
      </c>
      <c r="E17" s="24">
        <f>IF('历史数据'!G8="","",'历史数据'!G8/100000000)</f>
        <v/>
      </c>
      <c r="F17" s="26">
        <f>IF(OR('历史数据'!G8="",'历史数据'!H8&lt;=0),"",'历史数据'!G8/'历史数据'!H8-1)</f>
        <v/>
      </c>
      <c r="G17" s="26">
        <f>IF(OR('历史数据'!G8&lt;=0,'历史数据'!I8&lt;=0),"",POWER('历史数据'!G8/'历史数据'!I8,1/3)-1)</f>
        <v/>
      </c>
      <c r="H17" s="26">
        <f>IF(OR('历史数据'!G8&lt;=0,'历史数据'!J8=""),"",('历史数据'!G8-'历史数据'!J8)/'历史数据'!G8)</f>
        <v/>
      </c>
      <c r="I17" s="27">
        <f>IF(OR(H17="",'历史数据'!H8&lt;=0,'历史数据'!K8=""),"",(H17-('历史数据'!H8-'历史数据'!K8)/'历史数据'!H8)*100)</f>
        <v/>
      </c>
      <c r="J17" s="27">
        <f>IF(OR(H17="",'历史数据'!I8&lt;=0,'历史数据'!L8=""),"",(H17-('历史数据'!I8-'历史数据'!L8)/'历史数据'!I8)*100)</f>
        <v/>
      </c>
      <c r="K17" s="24">
        <f>IF('历史数据'!M8="","",'历史数据'!M8/100000000)</f>
        <v/>
      </c>
      <c r="L17" s="26">
        <f>IF(OR('历史数据'!G8=0,'历史数据'!M8=""),"",'历史数据'!M8/'历史数据'!G8)</f>
        <v/>
      </c>
      <c r="M17" s="26">
        <f>IF(OR('历史数据'!M8="",'历史数据'!N8=0),"",('历史数据'!M8-'历史数据'!N8)/ABS('历史数据'!N8))</f>
        <v/>
      </c>
      <c r="N17" s="26">
        <f>IF(OR('历史数据'!M8&lt;=0,'历史数据'!O8&lt;=0),"",POWER('历史数据'!M8/'历史数据'!O8,1/3)-1)</f>
        <v/>
      </c>
      <c r="O17" s="24">
        <f>IF('历史数据'!P8="","",'历史数据'!P8/100000000)</f>
        <v/>
      </c>
      <c r="P17" s="26">
        <f>IF(OR('历史数据'!P8="",'历史数据'!Q8=0),"",('历史数据'!P8-'历史数据'!Q8)/ABS('历史数据'!Q8))</f>
        <v/>
      </c>
      <c r="Q17" s="26">
        <f>IF(OR('历史数据'!P8&lt;=0,'历史数据'!R8&lt;=0),"",POWER('历史数据'!P8/'历史数据'!R8,1/3)-1)</f>
        <v/>
      </c>
      <c r="R17" s="24">
        <f>IF('历史数据'!S8="","",'历史数据'!S8/100000000)</f>
        <v/>
      </c>
      <c r="S17" s="25">
        <f>IF('历史数据'!T8="","",'历史数据'!T8)</f>
        <v/>
      </c>
      <c r="T17" s="28">
        <f>IF('历史数据'!U8="","",'历史数据'!U8)</f>
        <v/>
      </c>
      <c r="U17" s="28">
        <f>IF('历史数据'!V8="","",'历史数据'!V8/100000000)</f>
        <v/>
      </c>
      <c r="V17" s="24">
        <f>IF('历史数据'!W8="","",'历史数据'!W8/100000000)</f>
        <v/>
      </c>
      <c r="W17" s="28">
        <f>IF('历史数据'!X8="","",'历史数据'!X8)</f>
        <v/>
      </c>
      <c r="X17" s="26">
        <f>IF(OR(R17="",V17&lt;=0),"",R17/V17-1)</f>
        <v/>
      </c>
      <c r="Y17" s="29">
        <f>IF('历史数据'!Y8="","",'历史数据'!Y8)</f>
        <v/>
      </c>
      <c r="Z17" s="24">
        <f>IF('历史数据'!Z8="","",'历史数据'!Z8/100000000)</f>
        <v/>
      </c>
      <c r="AA17" s="24">
        <f>IF('历史数据'!AA8="","",'历史数据'!AA8/100000000)</f>
        <v/>
      </c>
      <c r="AB17" s="24">
        <f>IF('历史数据'!AB8="","",'历史数据'!AB8/100000000)</f>
        <v/>
      </c>
      <c r="AC17" s="13" t="inlineStr">
        <is>
          <t>近五个交易日资金净额:optional_missing；近一月资金净额（最近22个交易日）:optional_missing</t>
        </is>
      </c>
      <c r="AD17" s="13" t="inlineStr">
        <is>
          <t>SUCCESS</t>
        </is>
      </c>
    </row>
    <row r="18" ht="21" customHeight="1" s="3">
      <c r="A18" s="12" t="inlineStr">
        <is>
          <t>920735</t>
        </is>
      </c>
      <c r="B18" s="13" t="inlineStr">
        <is>
          <t>德源药业</t>
        </is>
      </c>
      <c r="C18" s="25">
        <f>IF('历史数据'!D65="","",'历史数据'!D65)</f>
        <v/>
      </c>
      <c r="D18" s="13">
        <f>IF('历史数据'!E65="","",'历史数据'!E65)</f>
        <v/>
      </c>
      <c r="E18" s="24">
        <f>IF('历史数据'!G65="","",'历史数据'!G65/100000000)</f>
        <v/>
      </c>
      <c r="F18" s="26">
        <f>IF(OR('历史数据'!G65="",'历史数据'!H65&lt;=0),"",'历史数据'!G65/'历史数据'!H65-1)</f>
        <v/>
      </c>
      <c r="G18" s="26">
        <f>IF(OR('历史数据'!G65&lt;=0,'历史数据'!I65&lt;=0),"",POWER('历史数据'!G65/'历史数据'!I65,1/3)-1)</f>
        <v/>
      </c>
      <c r="H18" s="26">
        <f>IF(OR('历史数据'!G65&lt;=0,'历史数据'!J65=""),"",('历史数据'!G65-'历史数据'!J65)/'历史数据'!G65)</f>
        <v/>
      </c>
      <c r="I18" s="27">
        <f>IF(OR(H18="",'历史数据'!H65&lt;=0,'历史数据'!K65=""),"",(H18-('历史数据'!H65-'历史数据'!K65)/'历史数据'!H65)*100)</f>
        <v/>
      </c>
      <c r="J18" s="27">
        <f>IF(OR(H18="",'历史数据'!I65&lt;=0,'历史数据'!L65=""),"",(H18-('历史数据'!I65-'历史数据'!L65)/'历史数据'!I65)*100)</f>
        <v/>
      </c>
      <c r="K18" s="24">
        <f>IF('历史数据'!M65="","",'历史数据'!M65/100000000)</f>
        <v/>
      </c>
      <c r="L18" s="26">
        <f>IF(OR('历史数据'!G65=0,'历史数据'!M65=""),"",'历史数据'!M65/'历史数据'!G65)</f>
        <v/>
      </c>
      <c r="M18" s="26">
        <f>IF(OR('历史数据'!M65="",'历史数据'!N65=0),"",('历史数据'!M65-'历史数据'!N65)/ABS('历史数据'!N65))</f>
        <v/>
      </c>
      <c r="N18" s="26">
        <f>IF(OR('历史数据'!M65&lt;=0,'历史数据'!O65&lt;=0),"",POWER('历史数据'!M65/'历史数据'!O65,1/3)-1)</f>
        <v/>
      </c>
      <c r="O18" s="24">
        <f>IF('历史数据'!P65="","",'历史数据'!P65/100000000)</f>
        <v/>
      </c>
      <c r="P18" s="26">
        <f>IF(OR('历史数据'!P65="",'历史数据'!Q65=0),"",('历史数据'!P65-'历史数据'!Q65)/ABS('历史数据'!Q65))</f>
        <v/>
      </c>
      <c r="Q18" s="26">
        <f>IF(OR('历史数据'!P65&lt;=0,'历史数据'!R65&lt;=0),"",POWER('历史数据'!P65/'历史数据'!R65,1/3)-1)</f>
        <v/>
      </c>
      <c r="R18" s="24">
        <f>IF('历史数据'!S65="","",'历史数据'!S65/100000000)</f>
        <v/>
      </c>
      <c r="S18" s="25">
        <f>IF('历史数据'!T65="","",'历史数据'!T65)</f>
        <v/>
      </c>
      <c r="T18" s="28">
        <f>IF('历史数据'!U65="","",'历史数据'!U65)</f>
        <v/>
      </c>
      <c r="U18" s="28">
        <f>IF('历史数据'!V65="","",'历史数据'!V65/100000000)</f>
        <v/>
      </c>
      <c r="V18" s="24">
        <f>IF('历史数据'!W65="","",'历史数据'!W65/100000000)</f>
        <v/>
      </c>
      <c r="W18" s="28">
        <f>IF('历史数据'!X65="","",'历史数据'!X65)</f>
        <v/>
      </c>
      <c r="X18" s="26">
        <f>IF(OR(R18="",V18&lt;=0),"",R18/V18-1)</f>
        <v/>
      </c>
      <c r="Y18" s="29">
        <f>IF('历史数据'!Y65="","",'历史数据'!Y65)</f>
        <v/>
      </c>
      <c r="Z18" s="24">
        <f>IF('历史数据'!Z65="","",'历史数据'!Z65/100000000)</f>
        <v/>
      </c>
      <c r="AA18" s="24">
        <f>IF('历史数据'!AA65="","",'历史数据'!AA65/100000000)</f>
        <v/>
      </c>
      <c r="AB18" s="24">
        <f>IF('历史数据'!AB65="","",'历史数据'!AB65/100000000)</f>
        <v/>
      </c>
      <c r="AC18" s="13" t="inlineStr">
        <is>
          <t>近五个交易日资金净额:optional_missing；近一月资金净额（最近22个交易日）:optional_missing</t>
        </is>
      </c>
      <c r="AD18" s="13" t="inlineStr">
        <is>
          <t>SUCCESS</t>
        </is>
      </c>
    </row>
    <row r="19" ht="21" customHeight="1" s="3">
      <c r="A19" s="12" t="inlineStr">
        <is>
          <t>920914</t>
        </is>
      </c>
      <c r="B19" s="13" t="inlineStr">
        <is>
          <t>远航精密</t>
        </is>
      </c>
      <c r="C19" s="25">
        <f>IF('历史数据'!D24="","",'历史数据'!D24)</f>
        <v/>
      </c>
      <c r="D19" s="13">
        <f>IF('历史数据'!E24="","",'历史数据'!E24)</f>
        <v/>
      </c>
      <c r="E19" s="24">
        <f>IF('历史数据'!G24="","",'历史数据'!G24/100000000)</f>
        <v/>
      </c>
      <c r="F19" s="26">
        <f>IF(OR('历史数据'!G24="",'历史数据'!H24&lt;=0),"",'历史数据'!G24/'历史数据'!H24-1)</f>
        <v/>
      </c>
      <c r="G19" s="26">
        <f>IF(OR('历史数据'!G24&lt;=0,'历史数据'!I24&lt;=0),"",POWER('历史数据'!G24/'历史数据'!I24,1/3)-1)</f>
        <v/>
      </c>
      <c r="H19" s="26">
        <f>IF(OR('历史数据'!G24&lt;=0,'历史数据'!J24=""),"",('历史数据'!G24-'历史数据'!J24)/'历史数据'!G24)</f>
        <v/>
      </c>
      <c r="I19" s="27">
        <f>IF(OR(H19="",'历史数据'!H24&lt;=0,'历史数据'!K24=""),"",(H19-('历史数据'!H24-'历史数据'!K24)/'历史数据'!H24)*100)</f>
        <v/>
      </c>
      <c r="J19" s="27">
        <f>IF(OR(H19="",'历史数据'!I24&lt;=0,'历史数据'!L24=""),"",(H19-('历史数据'!I24-'历史数据'!L24)/'历史数据'!I24)*100)</f>
        <v/>
      </c>
      <c r="K19" s="24">
        <f>IF('历史数据'!M24="","",'历史数据'!M24/100000000)</f>
        <v/>
      </c>
      <c r="L19" s="26">
        <f>IF(OR('历史数据'!G24=0,'历史数据'!M24=""),"",'历史数据'!M24/'历史数据'!G24)</f>
        <v/>
      </c>
      <c r="M19" s="26">
        <f>IF(OR('历史数据'!M24="",'历史数据'!N24=0),"",('历史数据'!M24-'历史数据'!N24)/ABS('历史数据'!N24))</f>
        <v/>
      </c>
      <c r="N19" s="26">
        <f>IF(OR('历史数据'!M24&lt;=0,'历史数据'!O24&lt;=0),"",POWER('历史数据'!M24/'历史数据'!O24,1/3)-1)</f>
        <v/>
      </c>
      <c r="O19" s="24">
        <f>IF('历史数据'!P24="","",'历史数据'!P24/100000000)</f>
        <v/>
      </c>
      <c r="P19" s="26">
        <f>IF(OR('历史数据'!P24="",'历史数据'!Q24=0),"",('历史数据'!P24-'历史数据'!Q24)/ABS('历史数据'!Q24))</f>
        <v/>
      </c>
      <c r="Q19" s="26">
        <f>IF(OR('历史数据'!P24&lt;=0,'历史数据'!R24&lt;=0),"",POWER('历史数据'!P24/'历史数据'!R24,1/3)-1)</f>
        <v/>
      </c>
      <c r="R19" s="24">
        <f>IF('历史数据'!S24="","",'历史数据'!S24/100000000)</f>
        <v/>
      </c>
      <c r="S19" s="25">
        <f>IF('历史数据'!T24="","",'历史数据'!T24)</f>
        <v/>
      </c>
      <c r="T19" s="28">
        <f>IF('历史数据'!U24="","",'历史数据'!U24)</f>
        <v/>
      </c>
      <c r="U19" s="28">
        <f>IF('历史数据'!V24="","",'历史数据'!V24/100000000)</f>
        <v/>
      </c>
      <c r="V19" s="24">
        <f>IF('历史数据'!W24="","",'历史数据'!W24/100000000)</f>
        <v/>
      </c>
      <c r="W19" s="28">
        <f>IF('历史数据'!X24="","",'历史数据'!X24)</f>
        <v/>
      </c>
      <c r="X19" s="26">
        <f>IF(OR(R19="",V19&lt;=0),"",R19/V19-1)</f>
        <v/>
      </c>
      <c r="Y19" s="29">
        <f>IF('历史数据'!Y24="","",'历史数据'!Y24)</f>
        <v/>
      </c>
      <c r="Z19" s="24">
        <f>IF('历史数据'!Z24="","",'历史数据'!Z24/100000000)</f>
        <v/>
      </c>
      <c r="AA19" s="24">
        <f>IF('历史数据'!AA24="","",'历史数据'!AA24/100000000)</f>
        <v/>
      </c>
      <c r="AB19" s="24">
        <f>IF('历史数据'!AB24="","",'历史数据'!AB24/100000000)</f>
        <v/>
      </c>
      <c r="AC19" s="13" t="inlineStr">
        <is>
          <t>近五个交易日资金净额:optional_missing；近一月资金净额（最近22个交易日）:optional_missing</t>
        </is>
      </c>
      <c r="AD19" s="13" t="inlineStr">
        <is>
          <t>SUCCESS</t>
        </is>
      </c>
    </row>
    <row r="20" ht="21" customHeight="1" s="3">
      <c r="A20" s="12" t="inlineStr">
        <is>
          <t>920964</t>
        </is>
      </c>
      <c r="B20" s="13" t="inlineStr">
        <is>
          <t>润农节水</t>
        </is>
      </c>
      <c r="C20" s="25">
        <f>IF('历史数据'!D11="","",'历史数据'!D11)</f>
        <v/>
      </c>
      <c r="D20" s="13">
        <f>IF('历史数据'!E11="","",'历史数据'!E11)</f>
        <v/>
      </c>
      <c r="E20" s="24">
        <f>IF('历史数据'!G11="","",'历史数据'!G11/100000000)</f>
        <v/>
      </c>
      <c r="F20" s="26">
        <f>IF(OR('历史数据'!G11="",'历史数据'!H11&lt;=0),"",'历史数据'!G11/'历史数据'!H11-1)</f>
        <v/>
      </c>
      <c r="G20" s="26">
        <f>IF(OR('历史数据'!G11&lt;=0,'历史数据'!I11&lt;=0),"",POWER('历史数据'!G11/'历史数据'!I11,1/3)-1)</f>
        <v/>
      </c>
      <c r="H20" s="26">
        <f>IF(OR('历史数据'!G11&lt;=0,'历史数据'!J11=""),"",('历史数据'!G11-'历史数据'!J11)/'历史数据'!G11)</f>
        <v/>
      </c>
      <c r="I20" s="27">
        <f>IF(OR(H20="",'历史数据'!H11&lt;=0,'历史数据'!K11=""),"",(H20-('历史数据'!H11-'历史数据'!K11)/'历史数据'!H11)*100)</f>
        <v/>
      </c>
      <c r="J20" s="27">
        <f>IF(OR(H20="",'历史数据'!I11&lt;=0,'历史数据'!L11=""),"",(H20-('历史数据'!I11-'历史数据'!L11)/'历史数据'!I11)*100)</f>
        <v/>
      </c>
      <c r="K20" s="24">
        <f>IF('历史数据'!M11="","",'历史数据'!M11/100000000)</f>
        <v/>
      </c>
      <c r="L20" s="26">
        <f>IF(OR('历史数据'!G11=0,'历史数据'!M11=""),"",'历史数据'!M11/'历史数据'!G11)</f>
        <v/>
      </c>
      <c r="M20" s="26">
        <f>IF(OR('历史数据'!M11="",'历史数据'!N11=0),"",('历史数据'!M11-'历史数据'!N11)/ABS('历史数据'!N11))</f>
        <v/>
      </c>
      <c r="N20" s="26">
        <f>IF(OR('历史数据'!M11&lt;=0,'历史数据'!O11&lt;=0),"",POWER('历史数据'!M11/'历史数据'!O11,1/3)-1)</f>
        <v/>
      </c>
      <c r="O20" s="24">
        <f>IF('历史数据'!P11="","",'历史数据'!P11/100000000)</f>
        <v/>
      </c>
      <c r="P20" s="26">
        <f>IF(OR('历史数据'!P11="",'历史数据'!Q11=0),"",('历史数据'!P11-'历史数据'!Q11)/ABS('历史数据'!Q11))</f>
        <v/>
      </c>
      <c r="Q20" s="26">
        <f>IF(OR('历史数据'!P11&lt;=0,'历史数据'!R11&lt;=0),"",POWER('历史数据'!P11/'历史数据'!R11,1/3)-1)</f>
        <v/>
      </c>
      <c r="R20" s="24">
        <f>IF('历史数据'!S11="","",'历史数据'!S11/100000000)</f>
        <v/>
      </c>
      <c r="S20" s="25">
        <f>IF('历史数据'!T11="","",'历史数据'!T11)</f>
        <v/>
      </c>
      <c r="T20" s="28">
        <f>IF('历史数据'!U11="","",'历史数据'!U11)</f>
        <v/>
      </c>
      <c r="U20" s="28">
        <f>IF('历史数据'!V11="","",'历史数据'!V11/100000000)</f>
        <v/>
      </c>
      <c r="V20" s="24">
        <f>IF('历史数据'!W11="","",'历史数据'!W11/100000000)</f>
        <v/>
      </c>
      <c r="W20" s="28">
        <f>IF('历史数据'!X11="","",'历史数据'!X11)</f>
        <v/>
      </c>
      <c r="X20" s="26">
        <f>IF(OR(R20="",V20&lt;=0),"",R20/V20-1)</f>
        <v/>
      </c>
      <c r="Y20" s="29">
        <f>IF('历史数据'!Y11="","",'历史数据'!Y11)</f>
        <v/>
      </c>
      <c r="Z20" s="24">
        <f>IF('历史数据'!Z11="","",'历史数据'!Z11/100000000)</f>
        <v/>
      </c>
      <c r="AA20" s="24">
        <f>IF('历史数据'!AA11="","",'历史数据'!AA11/100000000)</f>
        <v/>
      </c>
      <c r="AB20" s="24">
        <f>IF('历史数据'!AB11="","",'历史数据'!AB11/100000000)</f>
        <v/>
      </c>
      <c r="AC20" s="13" t="inlineStr">
        <is>
          <t>近五个交易日资金净额:optional_missing；近一月资金净额（最近22个交易日）:optional_missing</t>
        </is>
      </c>
      <c r="AD20" s="13" t="inlineStr">
        <is>
          <t>SUCCESS</t>
        </is>
      </c>
    </row>
    <row r="21" ht="21" customHeight="1" s="3">
      <c r="A21" s="12" t="inlineStr">
        <is>
          <t>920943</t>
        </is>
      </c>
      <c r="B21" s="13" t="inlineStr">
        <is>
          <t>优机股份</t>
        </is>
      </c>
      <c r="C21" s="25">
        <f>IF('历史数据'!D17="","",'历史数据'!D17)</f>
        <v/>
      </c>
      <c r="D21" s="13">
        <f>IF('历史数据'!E17="","",'历史数据'!E17)</f>
        <v/>
      </c>
      <c r="E21" s="24">
        <f>IF('历史数据'!G17="","",'历史数据'!G17/100000000)</f>
        <v/>
      </c>
      <c r="F21" s="26">
        <f>IF(OR('历史数据'!G17="",'历史数据'!H17&lt;=0),"",'历史数据'!G17/'历史数据'!H17-1)</f>
        <v/>
      </c>
      <c r="G21" s="26">
        <f>IF(OR('历史数据'!G17&lt;=0,'历史数据'!I17&lt;=0),"",POWER('历史数据'!G17/'历史数据'!I17,1/3)-1)</f>
        <v/>
      </c>
      <c r="H21" s="26">
        <f>IF(OR('历史数据'!G17&lt;=0,'历史数据'!J17=""),"",('历史数据'!G17-'历史数据'!J17)/'历史数据'!G17)</f>
        <v/>
      </c>
      <c r="I21" s="27">
        <f>IF(OR(H21="",'历史数据'!H17&lt;=0,'历史数据'!K17=""),"",(H21-('历史数据'!H17-'历史数据'!K17)/'历史数据'!H17)*100)</f>
        <v/>
      </c>
      <c r="J21" s="27">
        <f>IF(OR(H21="",'历史数据'!I17&lt;=0,'历史数据'!L17=""),"",(H21-('历史数据'!I17-'历史数据'!L17)/'历史数据'!I17)*100)</f>
        <v/>
      </c>
      <c r="K21" s="24">
        <f>IF('历史数据'!M17="","",'历史数据'!M17/100000000)</f>
        <v/>
      </c>
      <c r="L21" s="26">
        <f>IF(OR('历史数据'!G17=0,'历史数据'!M17=""),"",'历史数据'!M17/'历史数据'!G17)</f>
        <v/>
      </c>
      <c r="M21" s="26">
        <f>IF(OR('历史数据'!M17="",'历史数据'!N17=0),"",('历史数据'!M17-'历史数据'!N17)/ABS('历史数据'!N17))</f>
        <v/>
      </c>
      <c r="N21" s="26">
        <f>IF(OR('历史数据'!M17&lt;=0,'历史数据'!O17&lt;=0),"",POWER('历史数据'!M17/'历史数据'!O17,1/3)-1)</f>
        <v/>
      </c>
      <c r="O21" s="24">
        <f>IF('历史数据'!P17="","",'历史数据'!P17/100000000)</f>
        <v/>
      </c>
      <c r="P21" s="26">
        <f>IF(OR('历史数据'!P17="",'历史数据'!Q17=0),"",('历史数据'!P17-'历史数据'!Q17)/ABS('历史数据'!Q17))</f>
        <v/>
      </c>
      <c r="Q21" s="26">
        <f>IF(OR('历史数据'!P17&lt;=0,'历史数据'!R17&lt;=0),"",POWER('历史数据'!P17/'历史数据'!R17,1/3)-1)</f>
        <v/>
      </c>
      <c r="R21" s="24">
        <f>IF('历史数据'!S17="","",'历史数据'!S17/100000000)</f>
        <v/>
      </c>
      <c r="S21" s="25">
        <f>IF('历史数据'!T17="","",'历史数据'!T17)</f>
        <v/>
      </c>
      <c r="T21" s="28">
        <f>IF('历史数据'!U17="","",'历史数据'!U17)</f>
        <v/>
      </c>
      <c r="U21" s="28">
        <f>IF('历史数据'!V17="","",'历史数据'!V17/100000000)</f>
        <v/>
      </c>
      <c r="V21" s="24">
        <f>IF('历史数据'!W17="","",'历史数据'!W17/100000000)</f>
        <v/>
      </c>
      <c r="W21" s="28">
        <f>IF('历史数据'!X17="","",'历史数据'!X17)</f>
        <v/>
      </c>
      <c r="X21" s="26">
        <f>IF(OR(R21="",V21&lt;=0),"",R21/V21-1)</f>
        <v/>
      </c>
      <c r="Y21" s="29">
        <f>IF('历史数据'!Y17="","",'历史数据'!Y17)</f>
        <v/>
      </c>
      <c r="Z21" s="24">
        <f>IF('历史数据'!Z17="","",'历史数据'!Z17/100000000)</f>
        <v/>
      </c>
      <c r="AA21" s="24">
        <f>IF('历史数据'!AA17="","",'历史数据'!AA17/100000000)</f>
        <v/>
      </c>
      <c r="AB21" s="24">
        <f>IF('历史数据'!AB17="","",'历史数据'!AB17/100000000)</f>
        <v/>
      </c>
      <c r="AC21" s="13" t="inlineStr">
        <is>
          <t>近五个交易日资金净额:optional_missing；近一月资金净额（最近22个交易日）:optional_missing</t>
        </is>
      </c>
      <c r="AD21" s="13" t="inlineStr">
        <is>
          <t>SUCCESS</t>
        </is>
      </c>
    </row>
    <row r="22" ht="21" customHeight="1" s="3">
      <c r="A22" s="12" t="inlineStr">
        <is>
          <t>920701</t>
        </is>
      </c>
      <c r="B22" s="13" t="inlineStr">
        <is>
          <t>豪声电子</t>
        </is>
      </c>
      <c r="C22" s="25">
        <f>IF('历史数据'!D75="","",'历史数据'!D75)</f>
        <v/>
      </c>
      <c r="D22" s="13">
        <f>IF('历史数据'!E75="","",'历史数据'!E75)</f>
        <v/>
      </c>
      <c r="E22" s="24">
        <f>IF('历史数据'!G75="","",'历史数据'!G75/100000000)</f>
        <v/>
      </c>
      <c r="F22" s="26">
        <f>IF(OR('历史数据'!G75="",'历史数据'!H75&lt;=0),"",'历史数据'!G75/'历史数据'!H75-1)</f>
        <v/>
      </c>
      <c r="G22" s="26">
        <f>IF(OR('历史数据'!G75&lt;=0,'历史数据'!I75&lt;=0),"",POWER('历史数据'!G75/'历史数据'!I75,1/3)-1)</f>
        <v/>
      </c>
      <c r="H22" s="26">
        <f>IF(OR('历史数据'!G75&lt;=0,'历史数据'!J75=""),"",('历史数据'!G75-'历史数据'!J75)/'历史数据'!G75)</f>
        <v/>
      </c>
      <c r="I22" s="27">
        <f>IF(OR(H22="",'历史数据'!H75&lt;=0,'历史数据'!K75=""),"",(H22-('历史数据'!H75-'历史数据'!K75)/'历史数据'!H75)*100)</f>
        <v/>
      </c>
      <c r="J22" s="27">
        <f>IF(OR(H22="",'历史数据'!I75&lt;=0,'历史数据'!L75=""),"",(H22-('历史数据'!I75-'历史数据'!L75)/'历史数据'!I75)*100)</f>
        <v/>
      </c>
      <c r="K22" s="24">
        <f>IF('历史数据'!M75="","",'历史数据'!M75/100000000)</f>
        <v/>
      </c>
      <c r="L22" s="26">
        <f>IF(OR('历史数据'!G75=0,'历史数据'!M75=""),"",'历史数据'!M75/'历史数据'!G75)</f>
        <v/>
      </c>
      <c r="M22" s="26">
        <f>IF(OR('历史数据'!M75="",'历史数据'!N75=0),"",('历史数据'!M75-'历史数据'!N75)/ABS('历史数据'!N75))</f>
        <v/>
      </c>
      <c r="N22" s="26">
        <f>IF(OR('历史数据'!M75&lt;=0,'历史数据'!O75&lt;=0),"",POWER('历史数据'!M75/'历史数据'!O75,1/3)-1)</f>
        <v/>
      </c>
      <c r="O22" s="24">
        <f>IF('历史数据'!P75="","",'历史数据'!P75/100000000)</f>
        <v/>
      </c>
      <c r="P22" s="26">
        <f>IF(OR('历史数据'!P75="",'历史数据'!Q75=0),"",('历史数据'!P75-'历史数据'!Q75)/ABS('历史数据'!Q75))</f>
        <v/>
      </c>
      <c r="Q22" s="26">
        <f>IF(OR('历史数据'!P75&lt;=0,'历史数据'!R75&lt;=0),"",POWER('历史数据'!P75/'历史数据'!R75,1/3)-1)</f>
        <v/>
      </c>
      <c r="R22" s="24">
        <f>IF('历史数据'!S75="","",'历史数据'!S75/100000000)</f>
        <v/>
      </c>
      <c r="S22" s="25">
        <f>IF('历史数据'!T75="","",'历史数据'!T75)</f>
        <v/>
      </c>
      <c r="T22" s="28">
        <f>IF('历史数据'!U75="","",'历史数据'!U75)</f>
        <v/>
      </c>
      <c r="U22" s="28">
        <f>IF('历史数据'!V75="","",'历史数据'!V75/100000000)</f>
        <v/>
      </c>
      <c r="V22" s="24">
        <f>IF('历史数据'!W75="","",'历史数据'!W75/100000000)</f>
        <v/>
      </c>
      <c r="W22" s="28">
        <f>IF('历史数据'!X75="","",'历史数据'!X75)</f>
        <v/>
      </c>
      <c r="X22" s="26">
        <f>IF(OR(R22="",V22&lt;=0),"",R22/V22-1)</f>
        <v/>
      </c>
      <c r="Y22" s="29">
        <f>IF('历史数据'!Y75="","",'历史数据'!Y75)</f>
        <v/>
      </c>
      <c r="Z22" s="24">
        <f>IF('历史数据'!Z75="","",'历史数据'!Z75/100000000)</f>
        <v/>
      </c>
      <c r="AA22" s="24">
        <f>IF('历史数据'!AA75="","",'历史数据'!AA75/100000000)</f>
        <v/>
      </c>
      <c r="AB22" s="24">
        <f>IF('历史数据'!AB75="","",'历史数据'!AB75/100000000)</f>
        <v/>
      </c>
      <c r="AC22" s="13" t="inlineStr">
        <is>
          <t>近五个交易日资金净额:optional_missing；近一月资金净额（最近22个交易日）:optional_missing</t>
        </is>
      </c>
      <c r="AD22" s="13" t="inlineStr">
        <is>
          <t>SUCCESS</t>
        </is>
      </c>
    </row>
    <row r="23" ht="21" customHeight="1" s="3">
      <c r="A23" s="12" t="inlineStr">
        <is>
          <t>920808</t>
        </is>
      </c>
      <c r="B23" s="13" t="inlineStr">
        <is>
          <t>曙光数创</t>
        </is>
      </c>
      <c r="C23" s="25">
        <f>IF('历史数据'!D49="","",'历史数据'!D49)</f>
        <v/>
      </c>
      <c r="D23" s="13">
        <f>IF('历史数据'!E49="","",'历史数据'!E49)</f>
        <v/>
      </c>
      <c r="E23" s="24">
        <f>IF('历史数据'!G49="","",'历史数据'!G49/100000000)</f>
        <v/>
      </c>
      <c r="F23" s="26">
        <f>IF(OR('历史数据'!G49="",'历史数据'!H49&lt;=0),"",'历史数据'!G49/'历史数据'!H49-1)</f>
        <v/>
      </c>
      <c r="G23" s="26">
        <f>IF(OR('历史数据'!G49&lt;=0,'历史数据'!I49&lt;=0),"",POWER('历史数据'!G49/'历史数据'!I49,1/3)-1)</f>
        <v/>
      </c>
      <c r="H23" s="26">
        <f>IF(OR('历史数据'!G49&lt;=0,'历史数据'!J49=""),"",('历史数据'!G49-'历史数据'!J49)/'历史数据'!G49)</f>
        <v/>
      </c>
      <c r="I23" s="27">
        <f>IF(OR(H23="",'历史数据'!H49&lt;=0,'历史数据'!K49=""),"",(H23-('历史数据'!H49-'历史数据'!K49)/'历史数据'!H49)*100)</f>
        <v/>
      </c>
      <c r="J23" s="27">
        <f>IF(OR(H23="",'历史数据'!I49&lt;=0,'历史数据'!L49=""),"",(H23-('历史数据'!I49-'历史数据'!L49)/'历史数据'!I49)*100)</f>
        <v/>
      </c>
      <c r="K23" s="24">
        <f>IF('历史数据'!M49="","",'历史数据'!M49/100000000)</f>
        <v/>
      </c>
      <c r="L23" s="26">
        <f>IF(OR('历史数据'!G49=0,'历史数据'!M49=""),"",'历史数据'!M49/'历史数据'!G49)</f>
        <v/>
      </c>
      <c r="M23" s="26">
        <f>IF(OR('历史数据'!M49="",'历史数据'!N49=0),"",('历史数据'!M49-'历史数据'!N49)/ABS('历史数据'!N49))</f>
        <v/>
      </c>
      <c r="N23" s="26">
        <f>IF(OR('历史数据'!M49&lt;=0,'历史数据'!O49&lt;=0),"",POWER('历史数据'!M49/'历史数据'!O49,1/3)-1)</f>
        <v/>
      </c>
      <c r="O23" s="24">
        <f>IF('历史数据'!P49="","",'历史数据'!P49/100000000)</f>
        <v/>
      </c>
      <c r="P23" s="26">
        <f>IF(OR('历史数据'!P49="",'历史数据'!Q49=0),"",('历史数据'!P49-'历史数据'!Q49)/ABS('历史数据'!Q49))</f>
        <v/>
      </c>
      <c r="Q23" s="26">
        <f>IF(OR('历史数据'!P49&lt;=0,'历史数据'!R49&lt;=0),"",POWER('历史数据'!P49/'历史数据'!R49,1/3)-1)</f>
        <v/>
      </c>
      <c r="R23" s="24">
        <f>IF('历史数据'!S49="","",'历史数据'!S49/100000000)</f>
        <v/>
      </c>
      <c r="S23" s="25">
        <f>IF('历史数据'!T49="","",'历史数据'!T49)</f>
        <v/>
      </c>
      <c r="T23" s="28">
        <f>IF('历史数据'!U49="","",'历史数据'!U49)</f>
        <v/>
      </c>
      <c r="U23" s="28">
        <f>IF('历史数据'!V49="","",'历史数据'!V49/100000000)</f>
        <v/>
      </c>
      <c r="V23" s="24">
        <f>IF('历史数据'!W49="","",'历史数据'!W49/100000000)</f>
        <v/>
      </c>
      <c r="W23" s="28">
        <f>IF('历史数据'!X49="","",'历史数据'!X49)</f>
        <v/>
      </c>
      <c r="X23" s="26">
        <f>IF(OR(R23="",V23&lt;=0),"",R23/V23-1)</f>
        <v/>
      </c>
      <c r="Y23" s="29">
        <f>IF('历史数据'!Y49="","",'历史数据'!Y49)</f>
        <v/>
      </c>
      <c r="Z23" s="24">
        <f>IF('历史数据'!Z49="","",'历史数据'!Z49/100000000)</f>
        <v/>
      </c>
      <c r="AA23" s="24">
        <f>IF('历史数据'!AA49="","",'历史数据'!AA49/100000000)</f>
        <v/>
      </c>
      <c r="AB23" s="24">
        <f>IF('历史数据'!AB49="","",'历史数据'!AB49/100000000)</f>
        <v/>
      </c>
      <c r="AC23" s="13" t="inlineStr">
        <is>
          <t>近五个交易日资金净额:optional_missing；近一月资金净额（最近22个交易日）:optional_missing</t>
        </is>
      </c>
      <c r="AD23" s="13" t="inlineStr">
        <is>
          <t>SUCCESS</t>
        </is>
      </c>
    </row>
    <row r="24" ht="21" customHeight="1" s="3">
      <c r="A24" s="12" t="inlineStr">
        <is>
          <t>920640</t>
        </is>
      </c>
      <c r="B24" s="13" t="inlineStr">
        <is>
          <t>富士达</t>
        </is>
      </c>
      <c r="C24" s="25">
        <f>IF('历史数据'!D94="","",'历史数据'!D94)</f>
        <v/>
      </c>
      <c r="D24" s="13">
        <f>IF('历史数据'!E94="","",'历史数据'!E94)</f>
        <v/>
      </c>
      <c r="E24" s="24">
        <f>IF('历史数据'!G94="","",'历史数据'!G94/100000000)</f>
        <v/>
      </c>
      <c r="F24" s="26">
        <f>IF(OR('历史数据'!G94="",'历史数据'!H94&lt;=0),"",'历史数据'!G94/'历史数据'!H94-1)</f>
        <v/>
      </c>
      <c r="G24" s="26">
        <f>IF(OR('历史数据'!G94&lt;=0,'历史数据'!I94&lt;=0),"",POWER('历史数据'!G94/'历史数据'!I94,1/3)-1)</f>
        <v/>
      </c>
      <c r="H24" s="26">
        <f>IF(OR('历史数据'!G94&lt;=0,'历史数据'!J94=""),"",('历史数据'!G94-'历史数据'!J94)/'历史数据'!G94)</f>
        <v/>
      </c>
      <c r="I24" s="27">
        <f>IF(OR(H24="",'历史数据'!H94&lt;=0,'历史数据'!K94=""),"",(H24-('历史数据'!H94-'历史数据'!K94)/'历史数据'!H94)*100)</f>
        <v/>
      </c>
      <c r="J24" s="27">
        <f>IF(OR(H24="",'历史数据'!I94&lt;=0,'历史数据'!L94=""),"",(H24-('历史数据'!I94-'历史数据'!L94)/'历史数据'!I94)*100)</f>
        <v/>
      </c>
      <c r="K24" s="24">
        <f>IF('历史数据'!M94="","",'历史数据'!M94/100000000)</f>
        <v/>
      </c>
      <c r="L24" s="26">
        <f>IF(OR('历史数据'!G94=0,'历史数据'!M94=""),"",'历史数据'!M94/'历史数据'!G94)</f>
        <v/>
      </c>
      <c r="M24" s="26">
        <f>IF(OR('历史数据'!M94="",'历史数据'!N94=0),"",('历史数据'!M94-'历史数据'!N94)/ABS('历史数据'!N94))</f>
        <v/>
      </c>
      <c r="N24" s="26">
        <f>IF(OR('历史数据'!M94&lt;=0,'历史数据'!O94&lt;=0),"",POWER('历史数据'!M94/'历史数据'!O94,1/3)-1)</f>
        <v/>
      </c>
      <c r="O24" s="24">
        <f>IF('历史数据'!P94="","",'历史数据'!P94/100000000)</f>
        <v/>
      </c>
      <c r="P24" s="26">
        <f>IF(OR('历史数据'!P94="",'历史数据'!Q94=0),"",('历史数据'!P94-'历史数据'!Q94)/ABS('历史数据'!Q94))</f>
        <v/>
      </c>
      <c r="Q24" s="26">
        <f>IF(OR('历史数据'!P94&lt;=0,'历史数据'!R94&lt;=0),"",POWER('历史数据'!P94/'历史数据'!R94,1/3)-1)</f>
        <v/>
      </c>
      <c r="R24" s="24">
        <f>IF('历史数据'!S94="","",'历史数据'!S94/100000000)</f>
        <v/>
      </c>
      <c r="S24" s="25">
        <f>IF('历史数据'!T94="","",'历史数据'!T94)</f>
        <v/>
      </c>
      <c r="T24" s="28">
        <f>IF('历史数据'!U94="","",'历史数据'!U94)</f>
        <v/>
      </c>
      <c r="U24" s="28">
        <f>IF('历史数据'!V94="","",'历史数据'!V94/100000000)</f>
        <v/>
      </c>
      <c r="V24" s="24">
        <f>IF('历史数据'!W94="","",'历史数据'!W94/100000000)</f>
        <v/>
      </c>
      <c r="W24" s="28">
        <f>IF('历史数据'!X94="","",'历史数据'!X94)</f>
        <v/>
      </c>
      <c r="X24" s="26">
        <f>IF(OR(R24="",V24&lt;=0),"",R24/V24-1)</f>
        <v/>
      </c>
      <c r="Y24" s="29">
        <f>IF('历史数据'!Y94="","",'历史数据'!Y94)</f>
        <v/>
      </c>
      <c r="Z24" s="24">
        <f>IF('历史数据'!Z94="","",'历史数据'!Z94/100000000)</f>
        <v/>
      </c>
      <c r="AA24" s="24">
        <f>IF('历史数据'!AA94="","",'历史数据'!AA94/100000000)</f>
        <v/>
      </c>
      <c r="AB24" s="24">
        <f>IF('历史数据'!AB94="","",'历史数据'!AB94/100000000)</f>
        <v/>
      </c>
      <c r="AC24" s="13" t="inlineStr">
        <is>
          <t>近五个交易日资金净额:optional_missing；近一月资金净额（最近22个交易日）:optional_missing</t>
        </is>
      </c>
      <c r="AD24" s="13" t="inlineStr">
        <is>
          <t>SUCCESS</t>
        </is>
      </c>
    </row>
    <row r="25" ht="21" customHeight="1" s="3">
      <c r="A25" s="12" t="inlineStr">
        <is>
          <t>920634</t>
        </is>
      </c>
      <c r="B25" s="13" t="inlineStr">
        <is>
          <t>新威凌</t>
        </is>
      </c>
      <c r="C25" s="25">
        <f>IF('历史数据'!D96="","",'历史数据'!D96)</f>
        <v/>
      </c>
      <c r="D25" s="13">
        <f>IF('历史数据'!E96="","",'历史数据'!E96)</f>
        <v/>
      </c>
      <c r="E25" s="24">
        <f>IF('历史数据'!G96="","",'历史数据'!G96/100000000)</f>
        <v/>
      </c>
      <c r="F25" s="26">
        <f>IF(OR('历史数据'!G96="",'历史数据'!H96&lt;=0),"",'历史数据'!G96/'历史数据'!H96-1)</f>
        <v/>
      </c>
      <c r="G25" s="26">
        <f>IF(OR('历史数据'!G96&lt;=0,'历史数据'!I96&lt;=0),"",POWER('历史数据'!G96/'历史数据'!I96,1/3)-1)</f>
        <v/>
      </c>
      <c r="H25" s="26">
        <f>IF(OR('历史数据'!G96&lt;=0,'历史数据'!J96=""),"",('历史数据'!G96-'历史数据'!J96)/'历史数据'!G96)</f>
        <v/>
      </c>
      <c r="I25" s="27">
        <f>IF(OR(H25="",'历史数据'!H96&lt;=0,'历史数据'!K96=""),"",(H25-('历史数据'!H96-'历史数据'!K96)/'历史数据'!H96)*100)</f>
        <v/>
      </c>
      <c r="J25" s="27">
        <f>IF(OR(H25="",'历史数据'!I96&lt;=0,'历史数据'!L96=""),"",(H25-('历史数据'!I96-'历史数据'!L96)/'历史数据'!I96)*100)</f>
        <v/>
      </c>
      <c r="K25" s="24">
        <f>IF('历史数据'!M96="","",'历史数据'!M96/100000000)</f>
        <v/>
      </c>
      <c r="L25" s="26">
        <f>IF(OR('历史数据'!G96=0,'历史数据'!M96=""),"",'历史数据'!M96/'历史数据'!G96)</f>
        <v/>
      </c>
      <c r="M25" s="26">
        <f>IF(OR('历史数据'!M96="",'历史数据'!N96=0),"",('历史数据'!M96-'历史数据'!N96)/ABS('历史数据'!N96))</f>
        <v/>
      </c>
      <c r="N25" s="26">
        <f>IF(OR('历史数据'!M96&lt;=0,'历史数据'!O96&lt;=0),"",POWER('历史数据'!M96/'历史数据'!O96,1/3)-1)</f>
        <v/>
      </c>
      <c r="O25" s="24">
        <f>IF('历史数据'!P96="","",'历史数据'!P96/100000000)</f>
        <v/>
      </c>
      <c r="P25" s="26">
        <f>IF(OR('历史数据'!P96="",'历史数据'!Q96=0),"",('历史数据'!P96-'历史数据'!Q96)/ABS('历史数据'!Q96))</f>
        <v/>
      </c>
      <c r="Q25" s="26">
        <f>IF(OR('历史数据'!P96&lt;=0,'历史数据'!R96&lt;=0),"",POWER('历史数据'!P96/'历史数据'!R96,1/3)-1)</f>
        <v/>
      </c>
      <c r="R25" s="24">
        <f>IF('历史数据'!S96="","",'历史数据'!S96/100000000)</f>
        <v/>
      </c>
      <c r="S25" s="25">
        <f>IF('历史数据'!T96="","",'历史数据'!T96)</f>
        <v/>
      </c>
      <c r="T25" s="28">
        <f>IF('历史数据'!U96="","",'历史数据'!U96)</f>
        <v/>
      </c>
      <c r="U25" s="28">
        <f>IF('历史数据'!V96="","",'历史数据'!V96/100000000)</f>
        <v/>
      </c>
      <c r="V25" s="24">
        <f>IF('历史数据'!W96="","",'历史数据'!W96/100000000)</f>
        <v/>
      </c>
      <c r="W25" s="28">
        <f>IF('历史数据'!X96="","",'历史数据'!X96)</f>
        <v/>
      </c>
      <c r="X25" s="26">
        <f>IF(OR(R25="",V25&lt;=0),"",R25/V25-1)</f>
        <v/>
      </c>
      <c r="Y25" s="29">
        <f>IF('历史数据'!Y96="","",'历史数据'!Y96)</f>
        <v/>
      </c>
      <c r="Z25" s="24">
        <f>IF('历史数据'!Z96="","",'历史数据'!Z96/100000000)</f>
        <v/>
      </c>
      <c r="AA25" s="24">
        <f>IF('历史数据'!AA96="","",'历史数据'!AA96/100000000)</f>
        <v/>
      </c>
      <c r="AB25" s="24">
        <f>IF('历史数据'!AB96="","",'历史数据'!AB96/100000000)</f>
        <v/>
      </c>
      <c r="AC25" s="13" t="inlineStr">
        <is>
          <t>近五个交易日资金净额:optional_missing；近一月资金净额（最近22个交易日）:optional_missing</t>
        </is>
      </c>
      <c r="AD25" s="13" t="inlineStr">
        <is>
          <t>SUCCESS</t>
        </is>
      </c>
    </row>
    <row r="26" ht="21" customHeight="1" s="3">
      <c r="A26" s="12" t="inlineStr">
        <is>
          <t>920792</t>
        </is>
      </c>
      <c r="B26" s="13" t="inlineStr">
        <is>
          <t>东和新材</t>
        </is>
      </c>
      <c r="C26" s="25">
        <f>IF('历史数据'!D54="","",'历史数据'!D54)</f>
        <v/>
      </c>
      <c r="D26" s="13">
        <f>IF('历史数据'!E54="","",'历史数据'!E54)</f>
        <v/>
      </c>
      <c r="E26" s="24">
        <f>IF('历史数据'!G54="","",'历史数据'!G54/100000000)</f>
        <v/>
      </c>
      <c r="F26" s="26">
        <f>IF(OR('历史数据'!G54="",'历史数据'!H54&lt;=0),"",'历史数据'!G54/'历史数据'!H54-1)</f>
        <v/>
      </c>
      <c r="G26" s="26">
        <f>IF(OR('历史数据'!G54&lt;=0,'历史数据'!I54&lt;=0),"",POWER('历史数据'!G54/'历史数据'!I54,1/3)-1)</f>
        <v/>
      </c>
      <c r="H26" s="26">
        <f>IF(OR('历史数据'!G54&lt;=0,'历史数据'!J54=""),"",('历史数据'!G54-'历史数据'!J54)/'历史数据'!G54)</f>
        <v/>
      </c>
      <c r="I26" s="27">
        <f>IF(OR(H26="",'历史数据'!H54&lt;=0,'历史数据'!K54=""),"",(H26-('历史数据'!H54-'历史数据'!K54)/'历史数据'!H54)*100)</f>
        <v/>
      </c>
      <c r="J26" s="27">
        <f>IF(OR(H26="",'历史数据'!I54&lt;=0,'历史数据'!L54=""),"",(H26-('历史数据'!I54-'历史数据'!L54)/'历史数据'!I54)*100)</f>
        <v/>
      </c>
      <c r="K26" s="24">
        <f>IF('历史数据'!M54="","",'历史数据'!M54/100000000)</f>
        <v/>
      </c>
      <c r="L26" s="26">
        <f>IF(OR('历史数据'!G54=0,'历史数据'!M54=""),"",'历史数据'!M54/'历史数据'!G54)</f>
        <v/>
      </c>
      <c r="M26" s="26">
        <f>IF(OR('历史数据'!M54="",'历史数据'!N54=0),"",('历史数据'!M54-'历史数据'!N54)/ABS('历史数据'!N54))</f>
        <v/>
      </c>
      <c r="N26" s="26">
        <f>IF(OR('历史数据'!M54&lt;=0,'历史数据'!O54&lt;=0),"",POWER('历史数据'!M54/'历史数据'!O54,1/3)-1)</f>
        <v/>
      </c>
      <c r="O26" s="24">
        <f>IF('历史数据'!P54="","",'历史数据'!P54/100000000)</f>
        <v/>
      </c>
      <c r="P26" s="26">
        <f>IF(OR('历史数据'!P54="",'历史数据'!Q54=0),"",('历史数据'!P54-'历史数据'!Q54)/ABS('历史数据'!Q54))</f>
        <v/>
      </c>
      <c r="Q26" s="26">
        <f>IF(OR('历史数据'!P54&lt;=0,'历史数据'!R54&lt;=0),"",POWER('历史数据'!P54/'历史数据'!R54,1/3)-1)</f>
        <v/>
      </c>
      <c r="R26" s="24">
        <f>IF('历史数据'!S54="","",'历史数据'!S54/100000000)</f>
        <v/>
      </c>
      <c r="S26" s="25">
        <f>IF('历史数据'!T54="","",'历史数据'!T54)</f>
        <v/>
      </c>
      <c r="T26" s="28">
        <f>IF('历史数据'!U54="","",'历史数据'!U54)</f>
        <v/>
      </c>
      <c r="U26" s="28">
        <f>IF('历史数据'!V54="","",'历史数据'!V54/100000000)</f>
        <v/>
      </c>
      <c r="V26" s="24">
        <f>IF('历史数据'!W54="","",'历史数据'!W54/100000000)</f>
        <v/>
      </c>
      <c r="W26" s="28">
        <f>IF('历史数据'!X54="","",'历史数据'!X54)</f>
        <v/>
      </c>
      <c r="X26" s="26">
        <f>IF(OR(R26="",V26&lt;=0),"",R26/V26-1)</f>
        <v/>
      </c>
      <c r="Y26" s="29">
        <f>IF('历史数据'!Y54="","",'历史数据'!Y54)</f>
        <v/>
      </c>
      <c r="Z26" s="24">
        <f>IF('历史数据'!Z54="","",'历史数据'!Z54/100000000)</f>
        <v/>
      </c>
      <c r="AA26" s="24">
        <f>IF('历史数据'!AA54="","",'历史数据'!AA54/100000000)</f>
        <v/>
      </c>
      <c r="AB26" s="24">
        <f>IF('历史数据'!AB54="","",'历史数据'!AB54/100000000)</f>
        <v/>
      </c>
      <c r="AC26" s="13" t="inlineStr">
        <is>
          <t>近五个交易日资金净额:optional_missing；近一月资金净额（最近22个交易日）:optional_missing</t>
        </is>
      </c>
      <c r="AD26" s="13" t="inlineStr">
        <is>
          <t>SUCCESS</t>
        </is>
      </c>
    </row>
    <row r="27" ht="21" customHeight="1" s="3">
      <c r="A27" s="12" t="inlineStr">
        <is>
          <t>920627</t>
        </is>
      </c>
      <c r="B27" s="13" t="inlineStr">
        <is>
          <t>力王股份</t>
        </is>
      </c>
      <c r="C27" s="25">
        <f>IF('历史数据'!D97="","",'历史数据'!D97)</f>
        <v/>
      </c>
      <c r="D27" s="13">
        <f>IF('历史数据'!E97="","",'历史数据'!E97)</f>
        <v/>
      </c>
      <c r="E27" s="24">
        <f>IF('历史数据'!G97="","",'历史数据'!G97/100000000)</f>
        <v/>
      </c>
      <c r="F27" s="26">
        <f>IF(OR('历史数据'!G97="",'历史数据'!H97&lt;=0),"",'历史数据'!G97/'历史数据'!H97-1)</f>
        <v/>
      </c>
      <c r="G27" s="26">
        <f>IF(OR('历史数据'!G97&lt;=0,'历史数据'!I97&lt;=0),"",POWER('历史数据'!G97/'历史数据'!I97,1/3)-1)</f>
        <v/>
      </c>
      <c r="H27" s="26">
        <f>IF(OR('历史数据'!G97&lt;=0,'历史数据'!J97=""),"",('历史数据'!G97-'历史数据'!J97)/'历史数据'!G97)</f>
        <v/>
      </c>
      <c r="I27" s="27">
        <f>IF(OR(H27="",'历史数据'!H97&lt;=0,'历史数据'!K97=""),"",(H27-('历史数据'!H97-'历史数据'!K97)/'历史数据'!H97)*100)</f>
        <v/>
      </c>
      <c r="J27" s="27">
        <f>IF(OR(H27="",'历史数据'!I97&lt;=0,'历史数据'!L97=""),"",(H27-('历史数据'!I97-'历史数据'!L97)/'历史数据'!I97)*100)</f>
        <v/>
      </c>
      <c r="K27" s="24">
        <f>IF('历史数据'!M97="","",'历史数据'!M97/100000000)</f>
        <v/>
      </c>
      <c r="L27" s="26">
        <f>IF(OR('历史数据'!G97=0,'历史数据'!M97=""),"",'历史数据'!M97/'历史数据'!G97)</f>
        <v/>
      </c>
      <c r="M27" s="26">
        <f>IF(OR('历史数据'!M97="",'历史数据'!N97=0),"",('历史数据'!M97-'历史数据'!N97)/ABS('历史数据'!N97))</f>
        <v/>
      </c>
      <c r="N27" s="26">
        <f>IF(OR('历史数据'!M97&lt;=0,'历史数据'!O97&lt;=0),"",POWER('历史数据'!M97/'历史数据'!O97,1/3)-1)</f>
        <v/>
      </c>
      <c r="O27" s="24">
        <f>IF('历史数据'!P97="","",'历史数据'!P97/100000000)</f>
        <v/>
      </c>
      <c r="P27" s="26">
        <f>IF(OR('历史数据'!P97="",'历史数据'!Q97=0),"",('历史数据'!P97-'历史数据'!Q97)/ABS('历史数据'!Q97))</f>
        <v/>
      </c>
      <c r="Q27" s="26">
        <f>IF(OR('历史数据'!P97&lt;=0,'历史数据'!R97&lt;=0),"",POWER('历史数据'!P97/'历史数据'!R97,1/3)-1)</f>
        <v/>
      </c>
      <c r="R27" s="24">
        <f>IF('历史数据'!S97="","",'历史数据'!S97/100000000)</f>
        <v/>
      </c>
      <c r="S27" s="25">
        <f>IF('历史数据'!T97="","",'历史数据'!T97)</f>
        <v/>
      </c>
      <c r="T27" s="28">
        <f>IF('历史数据'!U97="","",'历史数据'!U97)</f>
        <v/>
      </c>
      <c r="U27" s="28">
        <f>IF('历史数据'!V97="","",'历史数据'!V97/100000000)</f>
        <v/>
      </c>
      <c r="V27" s="24">
        <f>IF('历史数据'!W97="","",'历史数据'!W97/100000000)</f>
        <v/>
      </c>
      <c r="W27" s="28">
        <f>IF('历史数据'!X97="","",'历史数据'!X97)</f>
        <v/>
      </c>
      <c r="X27" s="26">
        <f>IF(OR(R27="",V27&lt;=0),"",R27/V27-1)</f>
        <v/>
      </c>
      <c r="Y27" s="29">
        <f>IF('历史数据'!Y97="","",'历史数据'!Y97)</f>
        <v/>
      </c>
      <c r="Z27" s="24">
        <f>IF('历史数据'!Z97="","",'历史数据'!Z97/100000000)</f>
        <v/>
      </c>
      <c r="AA27" s="24">
        <f>IF('历史数据'!AA97="","",'历史数据'!AA97/100000000)</f>
        <v/>
      </c>
      <c r="AB27" s="24">
        <f>IF('历史数据'!AB97="","",'历史数据'!AB97/100000000)</f>
        <v/>
      </c>
      <c r="AC27" s="13" t="inlineStr">
        <is>
          <t>近五个交易日资金净额:optional_missing；近一月资金净额（最近22个交易日）:optional_missing</t>
        </is>
      </c>
      <c r="AD27" s="13" t="inlineStr">
        <is>
          <t>SUCCESS</t>
        </is>
      </c>
    </row>
    <row r="28" ht="21" customHeight="1" s="3">
      <c r="A28" s="12" t="inlineStr">
        <is>
          <t>920906</t>
        </is>
      </c>
      <c r="B28" s="13" t="inlineStr">
        <is>
          <t>舜宇精工</t>
        </is>
      </c>
      <c r="C28" s="25">
        <f>IF('历史数据'!D25="","",'历史数据'!D25)</f>
        <v/>
      </c>
      <c r="D28" s="13">
        <f>IF('历史数据'!E25="","",'历史数据'!E25)</f>
        <v/>
      </c>
      <c r="E28" s="24">
        <f>IF('历史数据'!G25="","",'历史数据'!G25/100000000)</f>
        <v/>
      </c>
      <c r="F28" s="26">
        <f>IF(OR('历史数据'!G25="",'历史数据'!H25&lt;=0),"",'历史数据'!G25/'历史数据'!H25-1)</f>
        <v/>
      </c>
      <c r="G28" s="26">
        <f>IF(OR('历史数据'!G25&lt;=0,'历史数据'!I25&lt;=0),"",POWER('历史数据'!G25/'历史数据'!I25,1/3)-1)</f>
        <v/>
      </c>
      <c r="H28" s="26">
        <f>IF(OR('历史数据'!G25&lt;=0,'历史数据'!J25=""),"",('历史数据'!G25-'历史数据'!J25)/'历史数据'!G25)</f>
        <v/>
      </c>
      <c r="I28" s="27">
        <f>IF(OR(H28="",'历史数据'!H25&lt;=0,'历史数据'!K25=""),"",(H28-('历史数据'!H25-'历史数据'!K25)/'历史数据'!H25)*100)</f>
        <v/>
      </c>
      <c r="J28" s="27">
        <f>IF(OR(H28="",'历史数据'!I25&lt;=0,'历史数据'!L25=""),"",(H28-('历史数据'!I25-'历史数据'!L25)/'历史数据'!I25)*100)</f>
        <v/>
      </c>
      <c r="K28" s="24">
        <f>IF('历史数据'!M25="","",'历史数据'!M25/100000000)</f>
        <v/>
      </c>
      <c r="L28" s="26">
        <f>IF(OR('历史数据'!G25=0,'历史数据'!M25=""),"",'历史数据'!M25/'历史数据'!G25)</f>
        <v/>
      </c>
      <c r="M28" s="26">
        <f>IF(OR('历史数据'!M25="",'历史数据'!N25=0),"",('历史数据'!M25-'历史数据'!N25)/ABS('历史数据'!N25))</f>
        <v/>
      </c>
      <c r="N28" s="26">
        <f>IF(OR('历史数据'!M25&lt;=0,'历史数据'!O25&lt;=0),"",POWER('历史数据'!M25/'历史数据'!O25,1/3)-1)</f>
        <v/>
      </c>
      <c r="O28" s="24">
        <f>IF('历史数据'!P25="","",'历史数据'!P25/100000000)</f>
        <v/>
      </c>
      <c r="P28" s="26">
        <f>IF(OR('历史数据'!P25="",'历史数据'!Q25=0),"",('历史数据'!P25-'历史数据'!Q25)/ABS('历史数据'!Q25))</f>
        <v/>
      </c>
      <c r="Q28" s="26">
        <f>IF(OR('历史数据'!P25&lt;=0,'历史数据'!R25&lt;=0),"",POWER('历史数据'!P25/'历史数据'!R25,1/3)-1)</f>
        <v/>
      </c>
      <c r="R28" s="24">
        <f>IF('历史数据'!S25="","",'历史数据'!S25/100000000)</f>
        <v/>
      </c>
      <c r="S28" s="25">
        <f>IF('历史数据'!T25="","",'历史数据'!T25)</f>
        <v/>
      </c>
      <c r="T28" s="28">
        <f>IF('历史数据'!U25="","",'历史数据'!U25)</f>
        <v/>
      </c>
      <c r="U28" s="28">
        <f>IF('历史数据'!V25="","",'历史数据'!V25/100000000)</f>
        <v/>
      </c>
      <c r="V28" s="24">
        <f>IF('历史数据'!W25="","",'历史数据'!W25/100000000)</f>
        <v/>
      </c>
      <c r="W28" s="28">
        <f>IF('历史数据'!X25="","",'历史数据'!X25)</f>
        <v/>
      </c>
      <c r="X28" s="26">
        <f>IF(OR(R28="",V28&lt;=0),"",R28/V28-1)</f>
        <v/>
      </c>
      <c r="Y28" s="29">
        <f>IF('历史数据'!Y25="","",'历史数据'!Y25)</f>
        <v/>
      </c>
      <c r="Z28" s="24">
        <f>IF('历史数据'!Z25="","",'历史数据'!Z25/100000000)</f>
        <v/>
      </c>
      <c r="AA28" s="24">
        <f>IF('历史数据'!AA25="","",'历史数据'!AA25/100000000)</f>
        <v/>
      </c>
      <c r="AB28" s="24">
        <f>IF('历史数据'!AB25="","",'历史数据'!AB25/100000000)</f>
        <v/>
      </c>
      <c r="AC28" s="13" t="inlineStr">
        <is>
          <t>近五个交易日资金净额:optional_missing；近一月资金净额（最近22个交易日）:optional_missing</t>
        </is>
      </c>
      <c r="AD28" s="13" t="inlineStr">
        <is>
          <t>SUCCESS</t>
        </is>
      </c>
    </row>
    <row r="29" ht="21" customHeight="1" s="3">
      <c r="A29" s="12" t="inlineStr">
        <is>
          <t>920720</t>
        </is>
      </c>
      <c r="B29" s="13" t="inlineStr">
        <is>
          <t>吉冈精密</t>
        </is>
      </c>
      <c r="C29" s="25">
        <f>IF('历史数据'!D69="","",'历史数据'!D69)</f>
        <v/>
      </c>
      <c r="D29" s="13">
        <f>IF('历史数据'!E69="","",'历史数据'!E69)</f>
        <v/>
      </c>
      <c r="E29" s="24">
        <f>IF('历史数据'!G69="","",'历史数据'!G69/100000000)</f>
        <v/>
      </c>
      <c r="F29" s="26">
        <f>IF(OR('历史数据'!G69="",'历史数据'!H69&lt;=0),"",'历史数据'!G69/'历史数据'!H69-1)</f>
        <v/>
      </c>
      <c r="G29" s="26">
        <f>IF(OR('历史数据'!G69&lt;=0,'历史数据'!I69&lt;=0),"",POWER('历史数据'!G69/'历史数据'!I69,1/3)-1)</f>
        <v/>
      </c>
      <c r="H29" s="26">
        <f>IF(OR('历史数据'!G69&lt;=0,'历史数据'!J69=""),"",('历史数据'!G69-'历史数据'!J69)/'历史数据'!G69)</f>
        <v/>
      </c>
      <c r="I29" s="27">
        <f>IF(OR(H29="",'历史数据'!H69&lt;=0,'历史数据'!K69=""),"",(H29-('历史数据'!H69-'历史数据'!K69)/'历史数据'!H69)*100)</f>
        <v/>
      </c>
      <c r="J29" s="27">
        <f>IF(OR(H29="",'历史数据'!I69&lt;=0,'历史数据'!L69=""),"",(H29-('历史数据'!I69-'历史数据'!L69)/'历史数据'!I69)*100)</f>
        <v/>
      </c>
      <c r="K29" s="24">
        <f>IF('历史数据'!M69="","",'历史数据'!M69/100000000)</f>
        <v/>
      </c>
      <c r="L29" s="26">
        <f>IF(OR('历史数据'!G69=0,'历史数据'!M69=""),"",'历史数据'!M69/'历史数据'!G69)</f>
        <v/>
      </c>
      <c r="M29" s="26">
        <f>IF(OR('历史数据'!M69="",'历史数据'!N69=0),"",('历史数据'!M69-'历史数据'!N69)/ABS('历史数据'!N69))</f>
        <v/>
      </c>
      <c r="N29" s="26">
        <f>IF(OR('历史数据'!M69&lt;=0,'历史数据'!O69&lt;=0),"",POWER('历史数据'!M69/'历史数据'!O69,1/3)-1)</f>
        <v/>
      </c>
      <c r="O29" s="24">
        <f>IF('历史数据'!P69="","",'历史数据'!P69/100000000)</f>
        <v/>
      </c>
      <c r="P29" s="26">
        <f>IF(OR('历史数据'!P69="",'历史数据'!Q69=0),"",('历史数据'!P69-'历史数据'!Q69)/ABS('历史数据'!Q69))</f>
        <v/>
      </c>
      <c r="Q29" s="26">
        <f>IF(OR('历史数据'!P69&lt;=0,'历史数据'!R69&lt;=0),"",POWER('历史数据'!P69/'历史数据'!R69,1/3)-1)</f>
        <v/>
      </c>
      <c r="R29" s="24">
        <f>IF('历史数据'!S69="","",'历史数据'!S69/100000000)</f>
        <v/>
      </c>
      <c r="S29" s="25">
        <f>IF('历史数据'!T69="","",'历史数据'!T69)</f>
        <v/>
      </c>
      <c r="T29" s="28">
        <f>IF('历史数据'!U69="","",'历史数据'!U69)</f>
        <v/>
      </c>
      <c r="U29" s="28">
        <f>IF('历史数据'!V69="","",'历史数据'!V69/100000000)</f>
        <v/>
      </c>
      <c r="V29" s="24">
        <f>IF('历史数据'!W69="","",'历史数据'!W69/100000000)</f>
        <v/>
      </c>
      <c r="W29" s="28">
        <f>IF('历史数据'!X69="","",'历史数据'!X69)</f>
        <v/>
      </c>
      <c r="X29" s="26">
        <f>IF(OR(R29="",V29&lt;=0),"",R29/V29-1)</f>
        <v/>
      </c>
      <c r="Y29" s="29">
        <f>IF('历史数据'!Y69="","",'历史数据'!Y69)</f>
        <v/>
      </c>
      <c r="Z29" s="24">
        <f>IF('历史数据'!Z69="","",'历史数据'!Z69/100000000)</f>
        <v/>
      </c>
      <c r="AA29" s="24">
        <f>IF('历史数据'!AA69="","",'历史数据'!AA69/100000000)</f>
        <v/>
      </c>
      <c r="AB29" s="24">
        <f>IF('历史数据'!AB69="","",'历史数据'!AB69/100000000)</f>
        <v/>
      </c>
      <c r="AC29" s="13" t="inlineStr">
        <is>
          <t>近五个交易日资金净额:optional_missing；近一月资金净额（最近22个交易日）:optional_missing</t>
        </is>
      </c>
      <c r="AD29" s="13" t="inlineStr">
        <is>
          <t>SUCCESS</t>
        </is>
      </c>
    </row>
    <row r="30" ht="21" customHeight="1" s="3">
      <c r="A30" s="12" t="inlineStr">
        <is>
          <t>920694</t>
        </is>
      </c>
      <c r="B30" s="13" t="inlineStr">
        <is>
          <t>中裕科技</t>
        </is>
      </c>
      <c r="C30" s="25">
        <f>IF('历史数据'!D77="","",'历史数据'!D77)</f>
        <v/>
      </c>
      <c r="D30" s="13">
        <f>IF('历史数据'!E77="","",'历史数据'!E77)</f>
        <v/>
      </c>
      <c r="E30" s="24">
        <f>IF('历史数据'!G77="","",'历史数据'!G77/100000000)</f>
        <v/>
      </c>
      <c r="F30" s="26">
        <f>IF(OR('历史数据'!G77="",'历史数据'!H77&lt;=0),"",'历史数据'!G77/'历史数据'!H77-1)</f>
        <v/>
      </c>
      <c r="G30" s="26">
        <f>IF(OR('历史数据'!G77&lt;=0,'历史数据'!I77&lt;=0),"",POWER('历史数据'!G77/'历史数据'!I77,1/3)-1)</f>
        <v/>
      </c>
      <c r="H30" s="26">
        <f>IF(OR('历史数据'!G77&lt;=0,'历史数据'!J77=""),"",('历史数据'!G77-'历史数据'!J77)/'历史数据'!G77)</f>
        <v/>
      </c>
      <c r="I30" s="27">
        <f>IF(OR(H30="",'历史数据'!H77&lt;=0,'历史数据'!K77=""),"",(H30-('历史数据'!H77-'历史数据'!K77)/'历史数据'!H77)*100)</f>
        <v/>
      </c>
      <c r="J30" s="27">
        <f>IF(OR(H30="",'历史数据'!I77&lt;=0,'历史数据'!L77=""),"",(H30-('历史数据'!I77-'历史数据'!L77)/'历史数据'!I77)*100)</f>
        <v/>
      </c>
      <c r="K30" s="24">
        <f>IF('历史数据'!M77="","",'历史数据'!M77/100000000)</f>
        <v/>
      </c>
      <c r="L30" s="26">
        <f>IF(OR('历史数据'!G77=0,'历史数据'!M77=""),"",'历史数据'!M77/'历史数据'!G77)</f>
        <v/>
      </c>
      <c r="M30" s="26">
        <f>IF(OR('历史数据'!M77="",'历史数据'!N77=0),"",('历史数据'!M77-'历史数据'!N77)/ABS('历史数据'!N77))</f>
        <v/>
      </c>
      <c r="N30" s="26">
        <f>IF(OR('历史数据'!M77&lt;=0,'历史数据'!O77&lt;=0),"",POWER('历史数据'!M77/'历史数据'!O77,1/3)-1)</f>
        <v/>
      </c>
      <c r="O30" s="24">
        <f>IF('历史数据'!P77="","",'历史数据'!P77/100000000)</f>
        <v/>
      </c>
      <c r="P30" s="26">
        <f>IF(OR('历史数据'!P77="",'历史数据'!Q77=0),"",('历史数据'!P77-'历史数据'!Q77)/ABS('历史数据'!Q77))</f>
        <v/>
      </c>
      <c r="Q30" s="26">
        <f>IF(OR('历史数据'!P77&lt;=0,'历史数据'!R77&lt;=0),"",POWER('历史数据'!P77/'历史数据'!R77,1/3)-1)</f>
        <v/>
      </c>
      <c r="R30" s="24">
        <f>IF('历史数据'!S77="","",'历史数据'!S77/100000000)</f>
        <v/>
      </c>
      <c r="S30" s="25">
        <f>IF('历史数据'!T77="","",'历史数据'!T77)</f>
        <v/>
      </c>
      <c r="T30" s="28">
        <f>IF('历史数据'!U77="","",'历史数据'!U77)</f>
        <v/>
      </c>
      <c r="U30" s="28">
        <f>IF('历史数据'!V77="","",'历史数据'!V77/100000000)</f>
        <v/>
      </c>
      <c r="V30" s="24">
        <f>IF('历史数据'!W77="","",'历史数据'!W77/100000000)</f>
        <v/>
      </c>
      <c r="W30" s="28">
        <f>IF('历史数据'!X77="","",'历史数据'!X77)</f>
        <v/>
      </c>
      <c r="X30" s="26">
        <f>IF(OR(R30="",V30&lt;=0),"",R30/V30-1)</f>
        <v/>
      </c>
      <c r="Y30" s="29">
        <f>IF('历史数据'!Y77="","",'历史数据'!Y77)</f>
        <v/>
      </c>
      <c r="Z30" s="24">
        <f>IF('历史数据'!Z77="","",'历史数据'!Z77/100000000)</f>
        <v/>
      </c>
      <c r="AA30" s="24">
        <f>IF('历史数据'!AA77="","",'历史数据'!AA77/100000000)</f>
        <v/>
      </c>
      <c r="AB30" s="24">
        <f>IF('历史数据'!AB77="","",'历史数据'!AB77/100000000)</f>
        <v/>
      </c>
      <c r="AC30" s="13" t="inlineStr">
        <is>
          <t>近五个交易日资金净额:optional_missing；近一月资金净额（最近22个交易日）:optional_missing</t>
        </is>
      </c>
      <c r="AD30" s="13" t="inlineStr">
        <is>
          <t>SUCCESS</t>
        </is>
      </c>
    </row>
    <row r="31" ht="21" customHeight="1" s="3">
      <c r="A31" s="12" t="inlineStr">
        <is>
          <t>920839</t>
        </is>
      </c>
      <c r="B31" s="13" t="inlineStr">
        <is>
          <t>万通液压</t>
        </is>
      </c>
      <c r="C31" s="25">
        <f>IF('历史数据'!D39="","",'历史数据'!D39)</f>
        <v/>
      </c>
      <c r="D31" s="13">
        <f>IF('历史数据'!E39="","",'历史数据'!E39)</f>
        <v/>
      </c>
      <c r="E31" s="24">
        <f>IF('历史数据'!G39="","",'历史数据'!G39/100000000)</f>
        <v/>
      </c>
      <c r="F31" s="26">
        <f>IF(OR('历史数据'!G39="",'历史数据'!H39&lt;=0),"",'历史数据'!G39/'历史数据'!H39-1)</f>
        <v/>
      </c>
      <c r="G31" s="26">
        <f>IF(OR('历史数据'!G39&lt;=0,'历史数据'!I39&lt;=0),"",POWER('历史数据'!G39/'历史数据'!I39,1/3)-1)</f>
        <v/>
      </c>
      <c r="H31" s="26">
        <f>IF(OR('历史数据'!G39&lt;=0,'历史数据'!J39=""),"",('历史数据'!G39-'历史数据'!J39)/'历史数据'!G39)</f>
        <v/>
      </c>
      <c r="I31" s="27">
        <f>IF(OR(H31="",'历史数据'!H39&lt;=0,'历史数据'!K39=""),"",(H31-('历史数据'!H39-'历史数据'!K39)/'历史数据'!H39)*100)</f>
        <v/>
      </c>
      <c r="J31" s="27">
        <f>IF(OR(H31="",'历史数据'!I39&lt;=0,'历史数据'!L39=""),"",(H31-('历史数据'!I39-'历史数据'!L39)/'历史数据'!I39)*100)</f>
        <v/>
      </c>
      <c r="K31" s="24">
        <f>IF('历史数据'!M39="","",'历史数据'!M39/100000000)</f>
        <v/>
      </c>
      <c r="L31" s="26">
        <f>IF(OR('历史数据'!G39=0,'历史数据'!M39=""),"",'历史数据'!M39/'历史数据'!G39)</f>
        <v/>
      </c>
      <c r="M31" s="26">
        <f>IF(OR('历史数据'!M39="",'历史数据'!N39=0),"",('历史数据'!M39-'历史数据'!N39)/ABS('历史数据'!N39))</f>
        <v/>
      </c>
      <c r="N31" s="26">
        <f>IF(OR('历史数据'!M39&lt;=0,'历史数据'!O39&lt;=0),"",POWER('历史数据'!M39/'历史数据'!O39,1/3)-1)</f>
        <v/>
      </c>
      <c r="O31" s="24">
        <f>IF('历史数据'!P39="","",'历史数据'!P39/100000000)</f>
        <v/>
      </c>
      <c r="P31" s="26">
        <f>IF(OR('历史数据'!P39="",'历史数据'!Q39=0),"",('历史数据'!P39-'历史数据'!Q39)/ABS('历史数据'!Q39))</f>
        <v/>
      </c>
      <c r="Q31" s="26">
        <f>IF(OR('历史数据'!P39&lt;=0,'历史数据'!R39&lt;=0),"",POWER('历史数据'!P39/'历史数据'!R39,1/3)-1)</f>
        <v/>
      </c>
      <c r="R31" s="24">
        <f>IF('历史数据'!S39="","",'历史数据'!S39/100000000)</f>
        <v/>
      </c>
      <c r="S31" s="25">
        <f>IF('历史数据'!T39="","",'历史数据'!T39)</f>
        <v/>
      </c>
      <c r="T31" s="28">
        <f>IF('历史数据'!U39="","",'历史数据'!U39)</f>
        <v/>
      </c>
      <c r="U31" s="28">
        <f>IF('历史数据'!V39="","",'历史数据'!V39/100000000)</f>
        <v/>
      </c>
      <c r="V31" s="24">
        <f>IF('历史数据'!W39="","",'历史数据'!W39/100000000)</f>
        <v/>
      </c>
      <c r="W31" s="28">
        <f>IF('历史数据'!X39="","",'历史数据'!X39)</f>
        <v/>
      </c>
      <c r="X31" s="26">
        <f>IF(OR(R31="",V31&lt;=0),"",R31/V31-1)</f>
        <v/>
      </c>
      <c r="Y31" s="29">
        <f>IF('历史数据'!Y39="","",'历史数据'!Y39)</f>
        <v/>
      </c>
      <c r="Z31" s="24">
        <f>IF('历史数据'!Z39="","",'历史数据'!Z39/100000000)</f>
        <v/>
      </c>
      <c r="AA31" s="24">
        <f>IF('历史数据'!AA39="","",'历史数据'!AA39/100000000)</f>
        <v/>
      </c>
      <c r="AB31" s="24">
        <f>IF('历史数据'!AB39="","",'历史数据'!AB39/100000000)</f>
        <v/>
      </c>
      <c r="AC31" s="13" t="inlineStr">
        <is>
          <t>近五个交易日资金净额:optional_missing；近一月资金净额（最近22个交易日）:optional_missing</t>
        </is>
      </c>
      <c r="AD31" s="13" t="inlineStr">
        <is>
          <t>SUCCESS</t>
        </is>
      </c>
    </row>
    <row r="32" ht="21" customHeight="1" s="3">
      <c r="A32" s="12" t="inlineStr">
        <is>
          <t>920826</t>
        </is>
      </c>
      <c r="B32" s="13" t="inlineStr">
        <is>
          <t>盖世食品</t>
        </is>
      </c>
      <c r="C32" s="25">
        <f>IF('历史数据'!D44="","",'历史数据'!D44)</f>
        <v/>
      </c>
      <c r="D32" s="13">
        <f>IF('历史数据'!E44="","",'历史数据'!E44)</f>
        <v/>
      </c>
      <c r="E32" s="24">
        <f>IF('历史数据'!G44="","",'历史数据'!G44/100000000)</f>
        <v/>
      </c>
      <c r="F32" s="26">
        <f>IF(OR('历史数据'!G44="",'历史数据'!H44&lt;=0),"",'历史数据'!G44/'历史数据'!H44-1)</f>
        <v/>
      </c>
      <c r="G32" s="26">
        <f>IF(OR('历史数据'!G44&lt;=0,'历史数据'!I44&lt;=0),"",POWER('历史数据'!G44/'历史数据'!I44,1/3)-1)</f>
        <v/>
      </c>
      <c r="H32" s="26">
        <f>IF(OR('历史数据'!G44&lt;=0,'历史数据'!J44=""),"",('历史数据'!G44-'历史数据'!J44)/'历史数据'!G44)</f>
        <v/>
      </c>
      <c r="I32" s="27">
        <f>IF(OR(H32="",'历史数据'!H44&lt;=0,'历史数据'!K44=""),"",(H32-('历史数据'!H44-'历史数据'!K44)/'历史数据'!H44)*100)</f>
        <v/>
      </c>
      <c r="J32" s="27">
        <f>IF(OR(H32="",'历史数据'!I44&lt;=0,'历史数据'!L44=""),"",(H32-('历史数据'!I44-'历史数据'!L44)/'历史数据'!I44)*100)</f>
        <v/>
      </c>
      <c r="K32" s="24">
        <f>IF('历史数据'!M44="","",'历史数据'!M44/100000000)</f>
        <v/>
      </c>
      <c r="L32" s="26">
        <f>IF(OR('历史数据'!G44=0,'历史数据'!M44=""),"",'历史数据'!M44/'历史数据'!G44)</f>
        <v/>
      </c>
      <c r="M32" s="26">
        <f>IF(OR('历史数据'!M44="",'历史数据'!N44=0),"",('历史数据'!M44-'历史数据'!N44)/ABS('历史数据'!N44))</f>
        <v/>
      </c>
      <c r="N32" s="26">
        <f>IF(OR('历史数据'!M44&lt;=0,'历史数据'!O44&lt;=0),"",POWER('历史数据'!M44/'历史数据'!O44,1/3)-1)</f>
        <v/>
      </c>
      <c r="O32" s="24">
        <f>IF('历史数据'!P44="","",'历史数据'!P44/100000000)</f>
        <v/>
      </c>
      <c r="P32" s="26">
        <f>IF(OR('历史数据'!P44="",'历史数据'!Q44=0),"",('历史数据'!P44-'历史数据'!Q44)/ABS('历史数据'!Q44))</f>
        <v/>
      </c>
      <c r="Q32" s="26">
        <f>IF(OR('历史数据'!P44&lt;=0,'历史数据'!R44&lt;=0),"",POWER('历史数据'!P44/'历史数据'!R44,1/3)-1)</f>
        <v/>
      </c>
      <c r="R32" s="24">
        <f>IF('历史数据'!S44="","",'历史数据'!S44/100000000)</f>
        <v/>
      </c>
      <c r="S32" s="25">
        <f>IF('历史数据'!T44="","",'历史数据'!T44)</f>
        <v/>
      </c>
      <c r="T32" s="28">
        <f>IF('历史数据'!U44="","",'历史数据'!U44)</f>
        <v/>
      </c>
      <c r="U32" s="28">
        <f>IF('历史数据'!V44="","",'历史数据'!V44/100000000)</f>
        <v/>
      </c>
      <c r="V32" s="24">
        <f>IF('历史数据'!W44="","",'历史数据'!W44/100000000)</f>
        <v/>
      </c>
      <c r="W32" s="28">
        <f>IF('历史数据'!X44="","",'历史数据'!X44)</f>
        <v/>
      </c>
      <c r="X32" s="26">
        <f>IF(OR(R32="",V32&lt;=0),"",R32/V32-1)</f>
        <v/>
      </c>
      <c r="Y32" s="29">
        <f>IF('历史数据'!Y44="","",'历史数据'!Y44)</f>
        <v/>
      </c>
      <c r="Z32" s="24">
        <f>IF('历史数据'!Z44="","",'历史数据'!Z44/100000000)</f>
        <v/>
      </c>
      <c r="AA32" s="24">
        <f>IF('历史数据'!AA44="","",'历史数据'!AA44/100000000)</f>
        <v/>
      </c>
      <c r="AB32" s="24">
        <f>IF('历史数据'!AB44="","",'历史数据'!AB44/100000000)</f>
        <v/>
      </c>
      <c r="AC32" s="13" t="inlineStr">
        <is>
          <t>近五个交易日资金净额:optional_missing；近一月资金净额（最近22个交易日）:optional_missing</t>
        </is>
      </c>
      <c r="AD32" s="13" t="inlineStr">
        <is>
          <t>SUCCESS</t>
        </is>
      </c>
    </row>
    <row r="33" ht="21" customHeight="1" s="3">
      <c r="A33" s="12" t="inlineStr">
        <is>
          <t>920957</t>
        </is>
      </c>
      <c r="B33" s="13" t="inlineStr">
        <is>
          <t>汉维科技</t>
        </is>
      </c>
      <c r="C33" s="25">
        <f>IF('历史数据'!D13="","",'历史数据'!D13)</f>
        <v/>
      </c>
      <c r="D33" s="13">
        <f>IF('历史数据'!E13="","",'历史数据'!E13)</f>
        <v/>
      </c>
      <c r="E33" s="24">
        <f>IF('历史数据'!G13="","",'历史数据'!G13/100000000)</f>
        <v/>
      </c>
      <c r="F33" s="26">
        <f>IF(OR('历史数据'!G13="",'历史数据'!H13&lt;=0),"",'历史数据'!G13/'历史数据'!H13-1)</f>
        <v/>
      </c>
      <c r="G33" s="26">
        <f>IF(OR('历史数据'!G13&lt;=0,'历史数据'!I13&lt;=0),"",POWER('历史数据'!G13/'历史数据'!I13,1/3)-1)</f>
        <v/>
      </c>
      <c r="H33" s="26">
        <f>IF(OR('历史数据'!G13&lt;=0,'历史数据'!J13=""),"",('历史数据'!G13-'历史数据'!J13)/'历史数据'!G13)</f>
        <v/>
      </c>
      <c r="I33" s="27">
        <f>IF(OR(H33="",'历史数据'!H13&lt;=0,'历史数据'!K13=""),"",(H33-('历史数据'!H13-'历史数据'!K13)/'历史数据'!H13)*100)</f>
        <v/>
      </c>
      <c r="J33" s="27">
        <f>IF(OR(H33="",'历史数据'!I13&lt;=0,'历史数据'!L13=""),"",(H33-('历史数据'!I13-'历史数据'!L13)/'历史数据'!I13)*100)</f>
        <v/>
      </c>
      <c r="K33" s="24">
        <f>IF('历史数据'!M13="","",'历史数据'!M13/100000000)</f>
        <v/>
      </c>
      <c r="L33" s="26">
        <f>IF(OR('历史数据'!G13=0,'历史数据'!M13=""),"",'历史数据'!M13/'历史数据'!G13)</f>
        <v/>
      </c>
      <c r="M33" s="26">
        <f>IF(OR('历史数据'!M13="",'历史数据'!N13=0),"",('历史数据'!M13-'历史数据'!N13)/ABS('历史数据'!N13))</f>
        <v/>
      </c>
      <c r="N33" s="26">
        <f>IF(OR('历史数据'!M13&lt;=0,'历史数据'!O13&lt;=0),"",POWER('历史数据'!M13/'历史数据'!O13,1/3)-1)</f>
        <v/>
      </c>
      <c r="O33" s="24">
        <f>IF('历史数据'!P13="","",'历史数据'!P13/100000000)</f>
        <v/>
      </c>
      <c r="P33" s="26">
        <f>IF(OR('历史数据'!P13="",'历史数据'!Q13=0),"",('历史数据'!P13-'历史数据'!Q13)/ABS('历史数据'!Q13))</f>
        <v/>
      </c>
      <c r="Q33" s="26">
        <f>IF(OR('历史数据'!P13&lt;=0,'历史数据'!R13&lt;=0),"",POWER('历史数据'!P13/'历史数据'!R13,1/3)-1)</f>
        <v/>
      </c>
      <c r="R33" s="24">
        <f>IF('历史数据'!S13="","",'历史数据'!S13/100000000)</f>
        <v/>
      </c>
      <c r="S33" s="25">
        <f>IF('历史数据'!T13="","",'历史数据'!T13)</f>
        <v/>
      </c>
      <c r="T33" s="28">
        <f>IF('历史数据'!U13="","",'历史数据'!U13)</f>
        <v/>
      </c>
      <c r="U33" s="28">
        <f>IF('历史数据'!V13="","",'历史数据'!V13/100000000)</f>
        <v/>
      </c>
      <c r="V33" s="24">
        <f>IF('历史数据'!W13="","",'历史数据'!W13/100000000)</f>
        <v/>
      </c>
      <c r="W33" s="28">
        <f>IF('历史数据'!X13="","",'历史数据'!X13)</f>
        <v/>
      </c>
      <c r="X33" s="26">
        <f>IF(OR(R33="",V33&lt;=0),"",R33/V33-1)</f>
        <v/>
      </c>
      <c r="Y33" s="29">
        <f>IF('历史数据'!Y13="","",'历史数据'!Y13)</f>
        <v/>
      </c>
      <c r="Z33" s="24">
        <f>IF('历史数据'!Z13="","",'历史数据'!Z13/100000000)</f>
        <v/>
      </c>
      <c r="AA33" s="24">
        <f>IF('历史数据'!AA13="","",'历史数据'!AA13/100000000)</f>
        <v/>
      </c>
      <c r="AB33" s="24">
        <f>IF('历史数据'!AB13="","",'历史数据'!AB13/100000000)</f>
        <v/>
      </c>
      <c r="AC33" s="13" t="inlineStr">
        <is>
          <t>近五个交易日资金净额:optional_missing；近一月资金净额（最近22个交易日）:optional_missing</t>
        </is>
      </c>
      <c r="AD33" s="13" t="inlineStr">
        <is>
          <t>SUCCESS</t>
        </is>
      </c>
    </row>
    <row r="34" ht="21" customHeight="1" s="3">
      <c r="A34" s="12" t="inlineStr">
        <is>
          <t>920837</t>
        </is>
      </c>
      <c r="B34" s="13" t="inlineStr">
        <is>
          <t>华原股份</t>
        </is>
      </c>
      <c r="C34" s="25">
        <f>IF('历史数据'!D40="","",'历史数据'!D40)</f>
        <v/>
      </c>
      <c r="D34" s="13">
        <f>IF('历史数据'!E40="","",'历史数据'!E40)</f>
        <v/>
      </c>
      <c r="E34" s="24">
        <f>IF('历史数据'!G40="","",'历史数据'!G40/100000000)</f>
        <v/>
      </c>
      <c r="F34" s="26">
        <f>IF(OR('历史数据'!G40="",'历史数据'!H40&lt;=0),"",'历史数据'!G40/'历史数据'!H40-1)</f>
        <v/>
      </c>
      <c r="G34" s="26">
        <f>IF(OR('历史数据'!G40&lt;=0,'历史数据'!I40&lt;=0),"",POWER('历史数据'!G40/'历史数据'!I40,1/3)-1)</f>
        <v/>
      </c>
      <c r="H34" s="26">
        <f>IF(OR('历史数据'!G40&lt;=0,'历史数据'!J40=""),"",('历史数据'!G40-'历史数据'!J40)/'历史数据'!G40)</f>
        <v/>
      </c>
      <c r="I34" s="27">
        <f>IF(OR(H34="",'历史数据'!H40&lt;=0,'历史数据'!K40=""),"",(H34-('历史数据'!H40-'历史数据'!K40)/'历史数据'!H40)*100)</f>
        <v/>
      </c>
      <c r="J34" s="27">
        <f>IF(OR(H34="",'历史数据'!I40&lt;=0,'历史数据'!L40=""),"",(H34-('历史数据'!I40-'历史数据'!L40)/'历史数据'!I40)*100)</f>
        <v/>
      </c>
      <c r="K34" s="24">
        <f>IF('历史数据'!M40="","",'历史数据'!M40/100000000)</f>
        <v/>
      </c>
      <c r="L34" s="26">
        <f>IF(OR('历史数据'!G40=0,'历史数据'!M40=""),"",'历史数据'!M40/'历史数据'!G40)</f>
        <v/>
      </c>
      <c r="M34" s="26">
        <f>IF(OR('历史数据'!M40="",'历史数据'!N40=0),"",('历史数据'!M40-'历史数据'!N40)/ABS('历史数据'!N40))</f>
        <v/>
      </c>
      <c r="N34" s="26">
        <f>IF(OR('历史数据'!M40&lt;=0,'历史数据'!O40&lt;=0),"",POWER('历史数据'!M40/'历史数据'!O40,1/3)-1)</f>
        <v/>
      </c>
      <c r="O34" s="24">
        <f>IF('历史数据'!P40="","",'历史数据'!P40/100000000)</f>
        <v/>
      </c>
      <c r="P34" s="26">
        <f>IF(OR('历史数据'!P40="",'历史数据'!Q40=0),"",('历史数据'!P40-'历史数据'!Q40)/ABS('历史数据'!Q40))</f>
        <v/>
      </c>
      <c r="Q34" s="26">
        <f>IF(OR('历史数据'!P40&lt;=0,'历史数据'!R40&lt;=0),"",POWER('历史数据'!P40/'历史数据'!R40,1/3)-1)</f>
        <v/>
      </c>
      <c r="R34" s="24">
        <f>IF('历史数据'!S40="","",'历史数据'!S40/100000000)</f>
        <v/>
      </c>
      <c r="S34" s="25">
        <f>IF('历史数据'!T40="","",'历史数据'!T40)</f>
        <v/>
      </c>
      <c r="T34" s="28">
        <f>IF('历史数据'!U40="","",'历史数据'!U40)</f>
        <v/>
      </c>
      <c r="U34" s="28">
        <f>IF('历史数据'!V40="","",'历史数据'!V40/100000000)</f>
        <v/>
      </c>
      <c r="V34" s="24">
        <f>IF('历史数据'!W40="","",'历史数据'!W40/100000000)</f>
        <v/>
      </c>
      <c r="W34" s="28">
        <f>IF('历史数据'!X40="","",'历史数据'!X40)</f>
        <v/>
      </c>
      <c r="X34" s="26">
        <f>IF(OR(R34="",V34&lt;=0),"",R34/V34-1)</f>
        <v/>
      </c>
      <c r="Y34" s="29">
        <f>IF('历史数据'!Y40="","",'历史数据'!Y40)</f>
        <v/>
      </c>
      <c r="Z34" s="24">
        <f>IF('历史数据'!Z40="","",'历史数据'!Z40/100000000)</f>
        <v/>
      </c>
      <c r="AA34" s="24">
        <f>IF('历史数据'!AA40="","",'历史数据'!AA40/100000000)</f>
        <v/>
      </c>
      <c r="AB34" s="24">
        <f>IF('历史数据'!AB40="","",'历史数据'!AB40/100000000)</f>
        <v/>
      </c>
      <c r="AC34" s="13" t="inlineStr">
        <is>
          <t>近五个交易日资金净额:optional_missing；近一月资金净额（最近22个交易日）:optional_missing</t>
        </is>
      </c>
      <c r="AD34" s="13" t="inlineStr">
        <is>
          <t>SUCCESS</t>
        </is>
      </c>
    </row>
    <row r="35" ht="21" customHeight="1" s="3">
      <c r="A35" s="12" t="inlineStr">
        <is>
          <t>920807</t>
        </is>
      </c>
      <c r="B35" s="13" t="inlineStr">
        <is>
          <t>奔朗新材</t>
        </is>
      </c>
      <c r="C35" s="25">
        <f>IF('历史数据'!D50="","",'历史数据'!D50)</f>
        <v/>
      </c>
      <c r="D35" s="13">
        <f>IF('历史数据'!E50="","",'历史数据'!E50)</f>
        <v/>
      </c>
      <c r="E35" s="24">
        <f>IF('历史数据'!G50="","",'历史数据'!G50/100000000)</f>
        <v/>
      </c>
      <c r="F35" s="26">
        <f>IF(OR('历史数据'!G50="",'历史数据'!H50&lt;=0),"",'历史数据'!G50/'历史数据'!H50-1)</f>
        <v/>
      </c>
      <c r="G35" s="26">
        <f>IF(OR('历史数据'!G50&lt;=0,'历史数据'!I50&lt;=0),"",POWER('历史数据'!G50/'历史数据'!I50,1/3)-1)</f>
        <v/>
      </c>
      <c r="H35" s="26">
        <f>IF(OR('历史数据'!G50&lt;=0,'历史数据'!J50=""),"",('历史数据'!G50-'历史数据'!J50)/'历史数据'!G50)</f>
        <v/>
      </c>
      <c r="I35" s="27">
        <f>IF(OR(H35="",'历史数据'!H50&lt;=0,'历史数据'!K50=""),"",(H35-('历史数据'!H50-'历史数据'!K50)/'历史数据'!H50)*100)</f>
        <v/>
      </c>
      <c r="J35" s="27">
        <f>IF(OR(H35="",'历史数据'!I50&lt;=0,'历史数据'!L50=""),"",(H35-('历史数据'!I50-'历史数据'!L50)/'历史数据'!I50)*100)</f>
        <v/>
      </c>
      <c r="K35" s="24">
        <f>IF('历史数据'!M50="","",'历史数据'!M50/100000000)</f>
        <v/>
      </c>
      <c r="L35" s="26">
        <f>IF(OR('历史数据'!G50=0,'历史数据'!M50=""),"",'历史数据'!M50/'历史数据'!G50)</f>
        <v/>
      </c>
      <c r="M35" s="26">
        <f>IF(OR('历史数据'!M50="",'历史数据'!N50=0),"",('历史数据'!M50-'历史数据'!N50)/ABS('历史数据'!N50))</f>
        <v/>
      </c>
      <c r="N35" s="26">
        <f>IF(OR('历史数据'!M50&lt;=0,'历史数据'!O50&lt;=0),"",POWER('历史数据'!M50/'历史数据'!O50,1/3)-1)</f>
        <v/>
      </c>
      <c r="O35" s="24">
        <f>IF('历史数据'!P50="","",'历史数据'!P50/100000000)</f>
        <v/>
      </c>
      <c r="P35" s="26">
        <f>IF(OR('历史数据'!P50="",'历史数据'!Q50=0),"",('历史数据'!P50-'历史数据'!Q50)/ABS('历史数据'!Q50))</f>
        <v/>
      </c>
      <c r="Q35" s="26">
        <f>IF(OR('历史数据'!P50&lt;=0,'历史数据'!R50&lt;=0),"",POWER('历史数据'!P50/'历史数据'!R50,1/3)-1)</f>
        <v/>
      </c>
      <c r="R35" s="24">
        <f>IF('历史数据'!S50="","",'历史数据'!S50/100000000)</f>
        <v/>
      </c>
      <c r="S35" s="25">
        <f>IF('历史数据'!T50="","",'历史数据'!T50)</f>
        <v/>
      </c>
      <c r="T35" s="28">
        <f>IF('历史数据'!U50="","",'历史数据'!U50)</f>
        <v/>
      </c>
      <c r="U35" s="28">
        <f>IF('历史数据'!V50="","",'历史数据'!V50/100000000)</f>
        <v/>
      </c>
      <c r="V35" s="24">
        <f>IF('历史数据'!W50="","",'历史数据'!W50/100000000)</f>
        <v/>
      </c>
      <c r="W35" s="28">
        <f>IF('历史数据'!X50="","",'历史数据'!X50)</f>
        <v/>
      </c>
      <c r="X35" s="26">
        <f>IF(OR(R35="",V35&lt;=0),"",R35/V35-1)</f>
        <v/>
      </c>
      <c r="Y35" s="29">
        <f>IF('历史数据'!Y50="","",'历史数据'!Y50)</f>
        <v/>
      </c>
      <c r="Z35" s="24">
        <f>IF('历史数据'!Z50="","",'历史数据'!Z50/100000000)</f>
        <v/>
      </c>
      <c r="AA35" s="24">
        <f>IF('历史数据'!AA50="","",'历史数据'!AA50/100000000)</f>
        <v/>
      </c>
      <c r="AB35" s="24">
        <f>IF('历史数据'!AB50="","",'历史数据'!AB50/100000000)</f>
        <v/>
      </c>
      <c r="AC35" s="13" t="inlineStr">
        <is>
          <t>近五个交易日资金净额:optional_missing；近一月资金净额（最近22个交易日）:optional_missing</t>
        </is>
      </c>
      <c r="AD35" s="13" t="inlineStr">
        <is>
          <t>SUCCESS</t>
        </is>
      </c>
    </row>
    <row r="36" ht="21" customHeight="1" s="3">
      <c r="A36" s="12" t="inlineStr">
        <is>
          <t>920892</t>
        </is>
      </c>
      <c r="B36" s="13" t="inlineStr">
        <is>
          <t>广咨国际</t>
        </is>
      </c>
      <c r="C36" s="25">
        <f>IF('历史数据'!D28="","",'历史数据'!D28)</f>
        <v/>
      </c>
      <c r="D36" s="13">
        <f>IF('历史数据'!E28="","",'历史数据'!E28)</f>
        <v/>
      </c>
      <c r="E36" s="24">
        <f>IF('历史数据'!G28="","",'历史数据'!G28/100000000)</f>
        <v/>
      </c>
      <c r="F36" s="26">
        <f>IF(OR('历史数据'!G28="",'历史数据'!H28&lt;=0),"",'历史数据'!G28/'历史数据'!H28-1)</f>
        <v/>
      </c>
      <c r="G36" s="26">
        <f>IF(OR('历史数据'!G28&lt;=0,'历史数据'!I28&lt;=0),"",POWER('历史数据'!G28/'历史数据'!I28,1/3)-1)</f>
        <v/>
      </c>
      <c r="H36" s="26">
        <f>IF(OR('历史数据'!G28&lt;=0,'历史数据'!J28=""),"",('历史数据'!G28-'历史数据'!J28)/'历史数据'!G28)</f>
        <v/>
      </c>
      <c r="I36" s="27">
        <f>IF(OR(H36="",'历史数据'!H28&lt;=0,'历史数据'!K28=""),"",(H36-('历史数据'!H28-'历史数据'!K28)/'历史数据'!H28)*100)</f>
        <v/>
      </c>
      <c r="J36" s="27">
        <f>IF(OR(H36="",'历史数据'!I28&lt;=0,'历史数据'!L28=""),"",(H36-('历史数据'!I28-'历史数据'!L28)/'历史数据'!I28)*100)</f>
        <v/>
      </c>
      <c r="K36" s="24">
        <f>IF('历史数据'!M28="","",'历史数据'!M28/100000000)</f>
        <v/>
      </c>
      <c r="L36" s="26">
        <f>IF(OR('历史数据'!G28=0,'历史数据'!M28=""),"",'历史数据'!M28/'历史数据'!G28)</f>
        <v/>
      </c>
      <c r="M36" s="26">
        <f>IF(OR('历史数据'!M28="",'历史数据'!N28=0),"",('历史数据'!M28-'历史数据'!N28)/ABS('历史数据'!N28))</f>
        <v/>
      </c>
      <c r="N36" s="26">
        <f>IF(OR('历史数据'!M28&lt;=0,'历史数据'!O28&lt;=0),"",POWER('历史数据'!M28/'历史数据'!O28,1/3)-1)</f>
        <v/>
      </c>
      <c r="O36" s="24">
        <f>IF('历史数据'!P28="","",'历史数据'!P28/100000000)</f>
        <v/>
      </c>
      <c r="P36" s="26">
        <f>IF(OR('历史数据'!P28="",'历史数据'!Q28=0),"",('历史数据'!P28-'历史数据'!Q28)/ABS('历史数据'!Q28))</f>
        <v/>
      </c>
      <c r="Q36" s="26">
        <f>IF(OR('历史数据'!P28&lt;=0,'历史数据'!R28&lt;=0),"",POWER('历史数据'!P28/'历史数据'!R28,1/3)-1)</f>
        <v/>
      </c>
      <c r="R36" s="24">
        <f>IF('历史数据'!S28="","",'历史数据'!S28/100000000)</f>
        <v/>
      </c>
      <c r="S36" s="25">
        <f>IF('历史数据'!T28="","",'历史数据'!T28)</f>
        <v/>
      </c>
      <c r="T36" s="28">
        <f>IF('历史数据'!U28="","",'历史数据'!U28)</f>
        <v/>
      </c>
      <c r="U36" s="28">
        <f>IF('历史数据'!V28="","",'历史数据'!V28/100000000)</f>
        <v/>
      </c>
      <c r="V36" s="24">
        <f>IF('历史数据'!W28="","",'历史数据'!W28/100000000)</f>
        <v/>
      </c>
      <c r="W36" s="28">
        <f>IF('历史数据'!X28="","",'历史数据'!X28)</f>
        <v/>
      </c>
      <c r="X36" s="26">
        <f>IF(OR(R36="",V36&lt;=0),"",R36/V36-1)</f>
        <v/>
      </c>
      <c r="Y36" s="29">
        <f>IF('历史数据'!Y28="","",'历史数据'!Y28)</f>
        <v/>
      </c>
      <c r="Z36" s="24">
        <f>IF('历史数据'!Z28="","",'历史数据'!Z28/100000000)</f>
        <v/>
      </c>
      <c r="AA36" s="24">
        <f>IF('历史数据'!AA28="","",'历史数据'!AA28/100000000)</f>
        <v/>
      </c>
      <c r="AB36" s="24">
        <f>IF('历史数据'!AB28="","",'历史数据'!AB28/100000000)</f>
        <v/>
      </c>
      <c r="AC36" s="13" t="inlineStr">
        <is>
          <t>近五个交易日资金净额:optional_missing；近一月资金净额（最近22个交易日）:optional_missing</t>
        </is>
      </c>
      <c r="AD36" s="13" t="inlineStr">
        <is>
          <t>SUCCESS</t>
        </is>
      </c>
    </row>
    <row r="37" ht="21" customHeight="1" s="3">
      <c r="A37" s="12" t="inlineStr">
        <is>
          <t>920689</t>
        </is>
      </c>
      <c r="B37" s="13" t="inlineStr">
        <is>
          <t>克莱特</t>
        </is>
      </c>
      <c r="C37" s="25">
        <f>IF('历史数据'!D80="","",'历史数据'!D80)</f>
        <v/>
      </c>
      <c r="D37" s="13">
        <f>IF('历史数据'!E80="","",'历史数据'!E80)</f>
        <v/>
      </c>
      <c r="E37" s="24">
        <f>IF('历史数据'!G80="","",'历史数据'!G80/100000000)</f>
        <v/>
      </c>
      <c r="F37" s="26">
        <f>IF(OR('历史数据'!G80="",'历史数据'!H80&lt;=0),"",'历史数据'!G80/'历史数据'!H80-1)</f>
        <v/>
      </c>
      <c r="G37" s="26">
        <f>IF(OR('历史数据'!G80&lt;=0,'历史数据'!I80&lt;=0),"",POWER('历史数据'!G80/'历史数据'!I80,1/3)-1)</f>
        <v/>
      </c>
      <c r="H37" s="26">
        <f>IF(OR('历史数据'!G80&lt;=0,'历史数据'!J80=""),"",('历史数据'!G80-'历史数据'!J80)/'历史数据'!G80)</f>
        <v/>
      </c>
      <c r="I37" s="27">
        <f>IF(OR(H37="",'历史数据'!H80&lt;=0,'历史数据'!K80=""),"",(H37-('历史数据'!H80-'历史数据'!K80)/'历史数据'!H80)*100)</f>
        <v/>
      </c>
      <c r="J37" s="27">
        <f>IF(OR(H37="",'历史数据'!I80&lt;=0,'历史数据'!L80=""),"",(H37-('历史数据'!I80-'历史数据'!L80)/'历史数据'!I80)*100)</f>
        <v/>
      </c>
      <c r="K37" s="24">
        <f>IF('历史数据'!M80="","",'历史数据'!M80/100000000)</f>
        <v/>
      </c>
      <c r="L37" s="26">
        <f>IF(OR('历史数据'!G80=0,'历史数据'!M80=""),"",'历史数据'!M80/'历史数据'!G80)</f>
        <v/>
      </c>
      <c r="M37" s="26">
        <f>IF(OR('历史数据'!M80="",'历史数据'!N80=0),"",('历史数据'!M80-'历史数据'!N80)/ABS('历史数据'!N80))</f>
        <v/>
      </c>
      <c r="N37" s="26">
        <f>IF(OR('历史数据'!M80&lt;=0,'历史数据'!O80&lt;=0),"",POWER('历史数据'!M80/'历史数据'!O80,1/3)-1)</f>
        <v/>
      </c>
      <c r="O37" s="24">
        <f>IF('历史数据'!P80="","",'历史数据'!P80/100000000)</f>
        <v/>
      </c>
      <c r="P37" s="26">
        <f>IF(OR('历史数据'!P80="",'历史数据'!Q80=0),"",('历史数据'!P80-'历史数据'!Q80)/ABS('历史数据'!Q80))</f>
        <v/>
      </c>
      <c r="Q37" s="26">
        <f>IF(OR('历史数据'!P80&lt;=0,'历史数据'!R80&lt;=0),"",POWER('历史数据'!P80/'历史数据'!R80,1/3)-1)</f>
        <v/>
      </c>
      <c r="R37" s="24">
        <f>IF('历史数据'!S80="","",'历史数据'!S80/100000000)</f>
        <v/>
      </c>
      <c r="S37" s="25">
        <f>IF('历史数据'!T80="","",'历史数据'!T80)</f>
        <v/>
      </c>
      <c r="T37" s="28">
        <f>IF('历史数据'!U80="","",'历史数据'!U80)</f>
        <v/>
      </c>
      <c r="U37" s="28">
        <f>IF('历史数据'!V80="","",'历史数据'!V80/100000000)</f>
        <v/>
      </c>
      <c r="V37" s="24">
        <f>IF('历史数据'!W80="","",'历史数据'!W80/100000000)</f>
        <v/>
      </c>
      <c r="W37" s="28">
        <f>IF('历史数据'!X80="","",'历史数据'!X80)</f>
        <v/>
      </c>
      <c r="X37" s="26">
        <f>IF(OR(R37="",V37&lt;=0),"",R37/V37-1)</f>
        <v/>
      </c>
      <c r="Y37" s="29">
        <f>IF('历史数据'!Y80="","",'历史数据'!Y80)</f>
        <v/>
      </c>
      <c r="Z37" s="24">
        <f>IF('历史数据'!Z80="","",'历史数据'!Z80/100000000)</f>
        <v/>
      </c>
      <c r="AA37" s="24">
        <f>IF('历史数据'!AA80="","",'历史数据'!AA80/100000000)</f>
        <v/>
      </c>
      <c r="AB37" s="24">
        <f>IF('历史数据'!AB80="","",'历史数据'!AB80/100000000)</f>
        <v/>
      </c>
      <c r="AC37" s="13" t="inlineStr">
        <is>
          <t>近五个交易日资金净额:optional_missing；近一月资金净额（最近22个交易日）:optional_missing</t>
        </is>
      </c>
      <c r="AD37" s="13" t="inlineStr">
        <is>
          <t>SUCCESS</t>
        </is>
      </c>
    </row>
    <row r="38" ht="21" customHeight="1" s="3">
      <c r="A38" s="12" t="inlineStr">
        <is>
          <t>920981</t>
        </is>
      </c>
      <c r="B38" s="13" t="inlineStr">
        <is>
          <t>晶赛科技</t>
        </is>
      </c>
      <c r="C38" s="25">
        <f>IF('历史数据'!D5="","",'历史数据'!D5)</f>
        <v/>
      </c>
      <c r="D38" s="13">
        <f>IF('历史数据'!E5="","",'历史数据'!E5)</f>
        <v/>
      </c>
      <c r="E38" s="24">
        <f>IF('历史数据'!G5="","",'历史数据'!G5/100000000)</f>
        <v/>
      </c>
      <c r="F38" s="26">
        <f>IF(OR('历史数据'!G5="",'历史数据'!H5&lt;=0),"",'历史数据'!G5/'历史数据'!H5-1)</f>
        <v/>
      </c>
      <c r="G38" s="26">
        <f>IF(OR('历史数据'!G5&lt;=0,'历史数据'!I5&lt;=0),"",POWER('历史数据'!G5/'历史数据'!I5,1/3)-1)</f>
        <v/>
      </c>
      <c r="H38" s="26">
        <f>IF(OR('历史数据'!G5&lt;=0,'历史数据'!J5=""),"",('历史数据'!G5-'历史数据'!J5)/'历史数据'!G5)</f>
        <v/>
      </c>
      <c r="I38" s="27">
        <f>IF(OR(H38="",'历史数据'!H5&lt;=0,'历史数据'!K5=""),"",(H38-('历史数据'!H5-'历史数据'!K5)/'历史数据'!H5)*100)</f>
        <v/>
      </c>
      <c r="J38" s="27">
        <f>IF(OR(H38="",'历史数据'!I5&lt;=0,'历史数据'!L5=""),"",(H38-('历史数据'!I5-'历史数据'!L5)/'历史数据'!I5)*100)</f>
        <v/>
      </c>
      <c r="K38" s="24">
        <f>IF('历史数据'!M5="","",'历史数据'!M5/100000000)</f>
        <v/>
      </c>
      <c r="L38" s="26">
        <f>IF(OR('历史数据'!G5=0,'历史数据'!M5=""),"",'历史数据'!M5/'历史数据'!G5)</f>
        <v/>
      </c>
      <c r="M38" s="26">
        <f>IF(OR('历史数据'!M5="",'历史数据'!N5=0),"",('历史数据'!M5-'历史数据'!N5)/ABS('历史数据'!N5))</f>
        <v/>
      </c>
      <c r="N38" s="26">
        <f>IF(OR('历史数据'!M5&lt;=0,'历史数据'!O5&lt;=0),"",POWER('历史数据'!M5/'历史数据'!O5,1/3)-1)</f>
        <v/>
      </c>
      <c r="O38" s="24">
        <f>IF('历史数据'!P5="","",'历史数据'!P5/100000000)</f>
        <v/>
      </c>
      <c r="P38" s="26">
        <f>IF(OR('历史数据'!P5="",'历史数据'!Q5=0),"",('历史数据'!P5-'历史数据'!Q5)/ABS('历史数据'!Q5))</f>
        <v/>
      </c>
      <c r="Q38" s="26">
        <f>IF(OR('历史数据'!P5&lt;=0,'历史数据'!R5&lt;=0),"",POWER('历史数据'!P5/'历史数据'!R5,1/3)-1)</f>
        <v/>
      </c>
      <c r="R38" s="24">
        <f>IF('历史数据'!S5="","",'历史数据'!S5/100000000)</f>
        <v/>
      </c>
      <c r="S38" s="25">
        <f>IF('历史数据'!T5="","",'历史数据'!T5)</f>
        <v/>
      </c>
      <c r="T38" s="28">
        <f>IF('历史数据'!U5="","",'历史数据'!U5)</f>
        <v/>
      </c>
      <c r="U38" s="28">
        <f>IF('历史数据'!V5="","",'历史数据'!V5/100000000)</f>
        <v/>
      </c>
      <c r="V38" s="24">
        <f>IF('历史数据'!W5="","",'历史数据'!W5/100000000)</f>
        <v/>
      </c>
      <c r="W38" s="28">
        <f>IF('历史数据'!X5="","",'历史数据'!X5)</f>
        <v/>
      </c>
      <c r="X38" s="26">
        <f>IF(OR(R38="",V38&lt;=0),"",R38/V38-1)</f>
        <v/>
      </c>
      <c r="Y38" s="29">
        <f>IF('历史数据'!Y5="","",'历史数据'!Y5)</f>
        <v/>
      </c>
      <c r="Z38" s="24">
        <f>IF('历史数据'!Z5="","",'历史数据'!Z5/100000000)</f>
        <v/>
      </c>
      <c r="AA38" s="24">
        <f>IF('历史数据'!AA5="","",'历史数据'!AA5/100000000)</f>
        <v/>
      </c>
      <c r="AB38" s="24">
        <f>IF('历史数据'!AB5="","",'历史数据'!AB5/100000000)</f>
        <v/>
      </c>
      <c r="AC38" s="13" t="inlineStr">
        <is>
          <t>近五个交易日资金净额:optional_missing；近一月资金净额（最近22个交易日）:optional_missing</t>
        </is>
      </c>
      <c r="AD38" s="13" t="inlineStr">
        <is>
          <t>SUCCESS</t>
        </is>
      </c>
    </row>
    <row r="39" ht="21" customHeight="1" s="3">
      <c r="A39" s="12" t="inlineStr">
        <is>
          <t>920946</t>
        </is>
      </c>
      <c r="B39" s="13" t="inlineStr">
        <is>
          <t>森萱医药</t>
        </is>
      </c>
      <c r="C39" s="25">
        <f>IF('历史数据'!D16="","",'历史数据'!D16)</f>
        <v/>
      </c>
      <c r="D39" s="13">
        <f>IF('历史数据'!E16="","",'历史数据'!E16)</f>
        <v/>
      </c>
      <c r="E39" s="24">
        <f>IF('历史数据'!G16="","",'历史数据'!G16/100000000)</f>
        <v/>
      </c>
      <c r="F39" s="26">
        <f>IF(OR('历史数据'!G16="",'历史数据'!H16&lt;=0),"",'历史数据'!G16/'历史数据'!H16-1)</f>
        <v/>
      </c>
      <c r="G39" s="26">
        <f>IF(OR('历史数据'!G16&lt;=0,'历史数据'!I16&lt;=0),"",POWER('历史数据'!G16/'历史数据'!I16,1/3)-1)</f>
        <v/>
      </c>
      <c r="H39" s="26">
        <f>IF(OR('历史数据'!G16&lt;=0,'历史数据'!J16=""),"",('历史数据'!G16-'历史数据'!J16)/'历史数据'!G16)</f>
        <v/>
      </c>
      <c r="I39" s="27">
        <f>IF(OR(H39="",'历史数据'!H16&lt;=0,'历史数据'!K16=""),"",(H39-('历史数据'!H16-'历史数据'!K16)/'历史数据'!H16)*100)</f>
        <v/>
      </c>
      <c r="J39" s="27">
        <f>IF(OR(H39="",'历史数据'!I16&lt;=0,'历史数据'!L16=""),"",(H39-('历史数据'!I16-'历史数据'!L16)/'历史数据'!I16)*100)</f>
        <v/>
      </c>
      <c r="K39" s="24">
        <f>IF('历史数据'!M16="","",'历史数据'!M16/100000000)</f>
        <v/>
      </c>
      <c r="L39" s="26">
        <f>IF(OR('历史数据'!G16=0,'历史数据'!M16=""),"",'历史数据'!M16/'历史数据'!G16)</f>
        <v/>
      </c>
      <c r="M39" s="26">
        <f>IF(OR('历史数据'!M16="",'历史数据'!N16=0),"",('历史数据'!M16-'历史数据'!N16)/ABS('历史数据'!N16))</f>
        <v/>
      </c>
      <c r="N39" s="26">
        <f>IF(OR('历史数据'!M16&lt;=0,'历史数据'!O16&lt;=0),"",POWER('历史数据'!M16/'历史数据'!O16,1/3)-1)</f>
        <v/>
      </c>
      <c r="O39" s="24">
        <f>IF('历史数据'!P16="","",'历史数据'!P16/100000000)</f>
        <v/>
      </c>
      <c r="P39" s="26">
        <f>IF(OR('历史数据'!P16="",'历史数据'!Q16=0),"",('历史数据'!P16-'历史数据'!Q16)/ABS('历史数据'!Q16))</f>
        <v/>
      </c>
      <c r="Q39" s="26">
        <f>IF(OR('历史数据'!P16&lt;=0,'历史数据'!R16&lt;=0),"",POWER('历史数据'!P16/'历史数据'!R16,1/3)-1)</f>
        <v/>
      </c>
      <c r="R39" s="24">
        <f>IF('历史数据'!S16="","",'历史数据'!S16/100000000)</f>
        <v/>
      </c>
      <c r="S39" s="25">
        <f>IF('历史数据'!T16="","",'历史数据'!T16)</f>
        <v/>
      </c>
      <c r="T39" s="28">
        <f>IF('历史数据'!U16="","",'历史数据'!U16)</f>
        <v/>
      </c>
      <c r="U39" s="28">
        <f>IF('历史数据'!V16="","",'历史数据'!V16/100000000)</f>
        <v/>
      </c>
      <c r="V39" s="24">
        <f>IF('历史数据'!W16="","",'历史数据'!W16/100000000)</f>
        <v/>
      </c>
      <c r="W39" s="28">
        <f>IF('历史数据'!X16="","",'历史数据'!X16)</f>
        <v/>
      </c>
      <c r="X39" s="26">
        <f>IF(OR(R39="",V39&lt;=0),"",R39/V39-1)</f>
        <v/>
      </c>
      <c r="Y39" s="29">
        <f>IF('历史数据'!Y16="","",'历史数据'!Y16)</f>
        <v/>
      </c>
      <c r="Z39" s="24">
        <f>IF('历史数据'!Z16="","",'历史数据'!Z16/100000000)</f>
        <v/>
      </c>
      <c r="AA39" s="24">
        <f>IF('历史数据'!AA16="","",'历史数据'!AA16/100000000)</f>
        <v/>
      </c>
      <c r="AB39" s="24">
        <f>IF('历史数据'!AB16="","",'历史数据'!AB16/100000000)</f>
        <v/>
      </c>
      <c r="AC39" s="13" t="inlineStr">
        <is>
          <t>近五个交易日资金净额:optional_missing；近一月资金净额（最近22个交易日）:optional_missing</t>
        </is>
      </c>
      <c r="AD39" s="13" t="inlineStr">
        <is>
          <t>SUCCESS</t>
        </is>
      </c>
    </row>
    <row r="40" ht="21" customHeight="1" s="3">
      <c r="A40" s="12" t="inlineStr">
        <is>
          <t>920876</t>
        </is>
      </c>
      <c r="B40" s="13" t="inlineStr">
        <is>
          <t>慧为智能</t>
        </is>
      </c>
      <c r="C40" s="25">
        <f>IF('历史数据'!D31="","",'历史数据'!D31)</f>
        <v/>
      </c>
      <c r="D40" s="13">
        <f>IF('历史数据'!E31="","",'历史数据'!E31)</f>
        <v/>
      </c>
      <c r="E40" s="24">
        <f>IF('历史数据'!G31="","",'历史数据'!G31/100000000)</f>
        <v/>
      </c>
      <c r="F40" s="26">
        <f>IF(OR('历史数据'!G31="",'历史数据'!H31&lt;=0),"",'历史数据'!G31/'历史数据'!H31-1)</f>
        <v/>
      </c>
      <c r="G40" s="26">
        <f>IF(OR('历史数据'!G31&lt;=0,'历史数据'!I31&lt;=0),"",POWER('历史数据'!G31/'历史数据'!I31,1/3)-1)</f>
        <v/>
      </c>
      <c r="H40" s="26">
        <f>IF(OR('历史数据'!G31&lt;=0,'历史数据'!J31=""),"",('历史数据'!G31-'历史数据'!J31)/'历史数据'!G31)</f>
        <v/>
      </c>
      <c r="I40" s="27">
        <f>IF(OR(H40="",'历史数据'!H31&lt;=0,'历史数据'!K31=""),"",(H40-('历史数据'!H31-'历史数据'!K31)/'历史数据'!H31)*100)</f>
        <v/>
      </c>
      <c r="J40" s="27">
        <f>IF(OR(H40="",'历史数据'!I31&lt;=0,'历史数据'!L31=""),"",(H40-('历史数据'!I31-'历史数据'!L31)/'历史数据'!I31)*100)</f>
        <v/>
      </c>
      <c r="K40" s="24">
        <f>IF('历史数据'!M31="","",'历史数据'!M31/100000000)</f>
        <v/>
      </c>
      <c r="L40" s="26">
        <f>IF(OR('历史数据'!G31=0,'历史数据'!M31=""),"",'历史数据'!M31/'历史数据'!G31)</f>
        <v/>
      </c>
      <c r="M40" s="26">
        <f>IF(OR('历史数据'!M31="",'历史数据'!N31=0),"",('历史数据'!M31-'历史数据'!N31)/ABS('历史数据'!N31))</f>
        <v/>
      </c>
      <c r="N40" s="26">
        <f>IF(OR('历史数据'!M31&lt;=0,'历史数据'!O31&lt;=0),"",POWER('历史数据'!M31/'历史数据'!O31,1/3)-1)</f>
        <v/>
      </c>
      <c r="O40" s="24">
        <f>IF('历史数据'!P31="","",'历史数据'!P31/100000000)</f>
        <v/>
      </c>
      <c r="P40" s="26">
        <f>IF(OR('历史数据'!P31="",'历史数据'!Q31=0),"",('历史数据'!P31-'历史数据'!Q31)/ABS('历史数据'!Q31))</f>
        <v/>
      </c>
      <c r="Q40" s="26">
        <f>IF(OR('历史数据'!P31&lt;=0,'历史数据'!R31&lt;=0),"",POWER('历史数据'!P31/'历史数据'!R31,1/3)-1)</f>
        <v/>
      </c>
      <c r="R40" s="24">
        <f>IF('历史数据'!S31="","",'历史数据'!S31/100000000)</f>
        <v/>
      </c>
      <c r="S40" s="25">
        <f>IF('历史数据'!T31="","",'历史数据'!T31)</f>
        <v/>
      </c>
      <c r="T40" s="28">
        <f>IF('历史数据'!U31="","",'历史数据'!U31)</f>
        <v/>
      </c>
      <c r="U40" s="28">
        <f>IF('历史数据'!V31="","",'历史数据'!V31/100000000)</f>
        <v/>
      </c>
      <c r="V40" s="24">
        <f>IF('历史数据'!W31="","",'历史数据'!W31/100000000)</f>
        <v/>
      </c>
      <c r="W40" s="28">
        <f>IF('历史数据'!X31="","",'历史数据'!X31)</f>
        <v/>
      </c>
      <c r="X40" s="26">
        <f>IF(OR(R40="",V40&lt;=0),"",R40/V40-1)</f>
        <v/>
      </c>
      <c r="Y40" s="29">
        <f>IF('历史数据'!Y31="","",'历史数据'!Y31)</f>
        <v/>
      </c>
      <c r="Z40" s="24">
        <f>IF('历史数据'!Z31="","",'历史数据'!Z31/100000000)</f>
        <v/>
      </c>
      <c r="AA40" s="24">
        <f>IF('历史数据'!AA31="","",'历史数据'!AA31/100000000)</f>
        <v/>
      </c>
      <c r="AB40" s="24">
        <f>IF('历史数据'!AB31="","",'历史数据'!AB31/100000000)</f>
        <v/>
      </c>
      <c r="AC40" s="13" t="inlineStr">
        <is>
          <t>近五个交易日资金净额:optional_missing；近一月资金净额（最近22个交易日）:optional_missing</t>
        </is>
      </c>
      <c r="AD40" s="13" t="inlineStr">
        <is>
          <t>SUCCESS</t>
        </is>
      </c>
    </row>
    <row r="41" ht="21" customHeight="1" s="3">
      <c r="A41" s="12" t="inlineStr">
        <is>
          <t>920675</t>
        </is>
      </c>
      <c r="B41" s="13" t="inlineStr">
        <is>
          <t>秉扬科技</t>
        </is>
      </c>
      <c r="C41" s="25">
        <f>IF('历史数据'!D85="","",'历史数据'!D85)</f>
        <v/>
      </c>
      <c r="D41" s="13">
        <f>IF('历史数据'!E85="","",'历史数据'!E85)</f>
        <v/>
      </c>
      <c r="E41" s="24">
        <f>IF('历史数据'!G85="","",'历史数据'!G85/100000000)</f>
        <v/>
      </c>
      <c r="F41" s="26">
        <f>IF(OR('历史数据'!G85="",'历史数据'!H85&lt;=0),"",'历史数据'!G85/'历史数据'!H85-1)</f>
        <v/>
      </c>
      <c r="G41" s="26">
        <f>IF(OR('历史数据'!G85&lt;=0,'历史数据'!I85&lt;=0),"",POWER('历史数据'!G85/'历史数据'!I85,1/3)-1)</f>
        <v/>
      </c>
      <c r="H41" s="26">
        <f>IF(OR('历史数据'!G85&lt;=0,'历史数据'!J85=""),"",('历史数据'!G85-'历史数据'!J85)/'历史数据'!G85)</f>
        <v/>
      </c>
      <c r="I41" s="27">
        <f>IF(OR(H41="",'历史数据'!H85&lt;=0,'历史数据'!K85=""),"",(H41-('历史数据'!H85-'历史数据'!K85)/'历史数据'!H85)*100)</f>
        <v/>
      </c>
      <c r="J41" s="27">
        <f>IF(OR(H41="",'历史数据'!I85&lt;=0,'历史数据'!L85=""),"",(H41-('历史数据'!I85-'历史数据'!L85)/'历史数据'!I85)*100)</f>
        <v/>
      </c>
      <c r="K41" s="24">
        <f>IF('历史数据'!M85="","",'历史数据'!M85/100000000)</f>
        <v/>
      </c>
      <c r="L41" s="26">
        <f>IF(OR('历史数据'!G85=0,'历史数据'!M85=""),"",'历史数据'!M85/'历史数据'!G85)</f>
        <v/>
      </c>
      <c r="M41" s="26">
        <f>IF(OR('历史数据'!M85="",'历史数据'!N85=0),"",('历史数据'!M85-'历史数据'!N85)/ABS('历史数据'!N85))</f>
        <v/>
      </c>
      <c r="N41" s="26">
        <f>IF(OR('历史数据'!M85&lt;=0,'历史数据'!O85&lt;=0),"",POWER('历史数据'!M85/'历史数据'!O85,1/3)-1)</f>
        <v/>
      </c>
      <c r="O41" s="24">
        <f>IF('历史数据'!P85="","",'历史数据'!P85/100000000)</f>
        <v/>
      </c>
      <c r="P41" s="26">
        <f>IF(OR('历史数据'!P85="",'历史数据'!Q85=0),"",('历史数据'!P85-'历史数据'!Q85)/ABS('历史数据'!Q85))</f>
        <v/>
      </c>
      <c r="Q41" s="26">
        <f>IF(OR('历史数据'!P85&lt;=0,'历史数据'!R85&lt;=0),"",POWER('历史数据'!P85/'历史数据'!R85,1/3)-1)</f>
        <v/>
      </c>
      <c r="R41" s="24">
        <f>IF('历史数据'!S85="","",'历史数据'!S85/100000000)</f>
        <v/>
      </c>
      <c r="S41" s="25">
        <f>IF('历史数据'!T85="","",'历史数据'!T85)</f>
        <v/>
      </c>
      <c r="T41" s="28">
        <f>IF('历史数据'!U85="","",'历史数据'!U85)</f>
        <v/>
      </c>
      <c r="U41" s="28">
        <f>IF('历史数据'!V85="","",'历史数据'!V85/100000000)</f>
        <v/>
      </c>
      <c r="V41" s="24">
        <f>IF('历史数据'!W85="","",'历史数据'!W85/100000000)</f>
        <v/>
      </c>
      <c r="W41" s="28">
        <f>IF('历史数据'!X85="","",'历史数据'!X85)</f>
        <v/>
      </c>
      <c r="X41" s="26">
        <f>IF(OR(R41="",V41&lt;=0),"",R41/V41-1)</f>
        <v/>
      </c>
      <c r="Y41" s="29">
        <f>IF('历史数据'!Y85="","",'历史数据'!Y85)</f>
        <v/>
      </c>
      <c r="Z41" s="24">
        <f>IF('历史数据'!Z85="","",'历史数据'!Z85/100000000)</f>
        <v/>
      </c>
      <c r="AA41" s="24">
        <f>IF('历史数据'!AA85="","",'历史数据'!AA85/100000000)</f>
        <v/>
      </c>
      <c r="AB41" s="24">
        <f>IF('历史数据'!AB85="","",'历史数据'!AB85/100000000)</f>
        <v/>
      </c>
      <c r="AC41" s="13" t="inlineStr">
        <is>
          <t>近五个交易日资金净额:optional_missing；近一月资金净额（最近22个交易日）:optional_missing</t>
        </is>
      </c>
      <c r="AD41" s="13" t="inlineStr">
        <is>
          <t>SUCCESS</t>
        </is>
      </c>
    </row>
    <row r="42" ht="21" customHeight="1" s="3">
      <c r="A42" s="12" t="inlineStr">
        <is>
          <t>920765</t>
        </is>
      </c>
      <c r="B42" s="13" t="inlineStr">
        <is>
          <t>美之高</t>
        </is>
      </c>
      <c r="C42" s="25">
        <f>IF('历史数据'!D61="","",'历史数据'!D61)</f>
        <v/>
      </c>
      <c r="D42" s="13">
        <f>IF('历史数据'!E61="","",'历史数据'!E61)</f>
        <v/>
      </c>
      <c r="E42" s="24">
        <f>IF('历史数据'!G61="","",'历史数据'!G61/100000000)</f>
        <v/>
      </c>
      <c r="F42" s="26">
        <f>IF(OR('历史数据'!G61="",'历史数据'!H61&lt;=0),"",'历史数据'!G61/'历史数据'!H61-1)</f>
        <v/>
      </c>
      <c r="G42" s="26">
        <f>IF(OR('历史数据'!G61&lt;=0,'历史数据'!I61&lt;=0),"",POWER('历史数据'!G61/'历史数据'!I61,1/3)-1)</f>
        <v/>
      </c>
      <c r="H42" s="26">
        <f>IF(OR('历史数据'!G61&lt;=0,'历史数据'!J61=""),"",('历史数据'!G61-'历史数据'!J61)/'历史数据'!G61)</f>
        <v/>
      </c>
      <c r="I42" s="27">
        <f>IF(OR(H42="",'历史数据'!H61&lt;=0,'历史数据'!K61=""),"",(H42-('历史数据'!H61-'历史数据'!K61)/'历史数据'!H61)*100)</f>
        <v/>
      </c>
      <c r="J42" s="27">
        <f>IF(OR(H42="",'历史数据'!I61&lt;=0,'历史数据'!L61=""),"",(H42-('历史数据'!I61-'历史数据'!L61)/'历史数据'!I61)*100)</f>
        <v/>
      </c>
      <c r="K42" s="24">
        <f>IF('历史数据'!M61="","",'历史数据'!M61/100000000)</f>
        <v/>
      </c>
      <c r="L42" s="26">
        <f>IF(OR('历史数据'!G61=0,'历史数据'!M61=""),"",'历史数据'!M61/'历史数据'!G61)</f>
        <v/>
      </c>
      <c r="M42" s="26">
        <f>IF(OR('历史数据'!M61="",'历史数据'!N61=0),"",('历史数据'!M61-'历史数据'!N61)/ABS('历史数据'!N61))</f>
        <v/>
      </c>
      <c r="N42" s="26">
        <f>IF(OR('历史数据'!M61&lt;=0,'历史数据'!O61&lt;=0),"",POWER('历史数据'!M61/'历史数据'!O61,1/3)-1)</f>
        <v/>
      </c>
      <c r="O42" s="24">
        <f>IF('历史数据'!P61="","",'历史数据'!P61/100000000)</f>
        <v/>
      </c>
      <c r="P42" s="26">
        <f>IF(OR('历史数据'!P61="",'历史数据'!Q61=0),"",('历史数据'!P61-'历史数据'!Q61)/ABS('历史数据'!Q61))</f>
        <v/>
      </c>
      <c r="Q42" s="26">
        <f>IF(OR('历史数据'!P61&lt;=0,'历史数据'!R61&lt;=0),"",POWER('历史数据'!P61/'历史数据'!R61,1/3)-1)</f>
        <v/>
      </c>
      <c r="R42" s="24">
        <f>IF('历史数据'!S61="","",'历史数据'!S61/100000000)</f>
        <v/>
      </c>
      <c r="S42" s="25">
        <f>IF('历史数据'!T61="","",'历史数据'!T61)</f>
        <v/>
      </c>
      <c r="T42" s="28">
        <f>IF('历史数据'!U61="","",'历史数据'!U61)</f>
        <v/>
      </c>
      <c r="U42" s="28">
        <f>IF('历史数据'!V61="","",'历史数据'!V61/100000000)</f>
        <v/>
      </c>
      <c r="V42" s="24">
        <f>IF('历史数据'!W61="","",'历史数据'!W61/100000000)</f>
        <v/>
      </c>
      <c r="W42" s="28">
        <f>IF('历史数据'!X61="","",'历史数据'!X61)</f>
        <v/>
      </c>
      <c r="X42" s="26">
        <f>IF(OR(R42="",V42&lt;=0),"",R42/V42-1)</f>
        <v/>
      </c>
      <c r="Y42" s="29">
        <f>IF('历史数据'!Y61="","",'历史数据'!Y61)</f>
        <v/>
      </c>
      <c r="Z42" s="24">
        <f>IF('历史数据'!Z61="","",'历史数据'!Z61/100000000)</f>
        <v/>
      </c>
      <c r="AA42" s="24">
        <f>IF('历史数据'!AA61="","",'历史数据'!AA61/100000000)</f>
        <v/>
      </c>
      <c r="AB42" s="24">
        <f>IF('历史数据'!AB61="","",'历史数据'!AB61/100000000)</f>
        <v/>
      </c>
      <c r="AC42" s="13" t="inlineStr">
        <is>
          <t>近五个交易日资金净额:optional_missing；近一月资金净额（最近22个交易日）:optional_missing</t>
        </is>
      </c>
      <c r="AD42" s="13" t="inlineStr">
        <is>
          <t>SUCCESS</t>
        </is>
      </c>
    </row>
    <row r="43" ht="21" customHeight="1" s="3">
      <c r="A43" s="12" t="inlineStr">
        <is>
          <t>920641</t>
        </is>
      </c>
      <c r="B43" s="13" t="inlineStr">
        <is>
          <t>格利尔</t>
        </is>
      </c>
      <c r="C43" s="25">
        <f>IF('历史数据'!D93="","",'历史数据'!D93)</f>
        <v/>
      </c>
      <c r="D43" s="13">
        <f>IF('历史数据'!E93="","",'历史数据'!E93)</f>
        <v/>
      </c>
      <c r="E43" s="24">
        <f>IF('历史数据'!G93="","",'历史数据'!G93/100000000)</f>
        <v/>
      </c>
      <c r="F43" s="26">
        <f>IF(OR('历史数据'!G93="",'历史数据'!H93&lt;=0),"",'历史数据'!G93/'历史数据'!H93-1)</f>
        <v/>
      </c>
      <c r="G43" s="26">
        <f>IF(OR('历史数据'!G93&lt;=0,'历史数据'!I93&lt;=0),"",POWER('历史数据'!G93/'历史数据'!I93,1/3)-1)</f>
        <v/>
      </c>
      <c r="H43" s="26">
        <f>IF(OR('历史数据'!G93&lt;=0,'历史数据'!J93=""),"",('历史数据'!G93-'历史数据'!J93)/'历史数据'!G93)</f>
        <v/>
      </c>
      <c r="I43" s="27">
        <f>IF(OR(H43="",'历史数据'!H93&lt;=0,'历史数据'!K93=""),"",(H43-('历史数据'!H93-'历史数据'!K93)/'历史数据'!H93)*100)</f>
        <v/>
      </c>
      <c r="J43" s="27">
        <f>IF(OR(H43="",'历史数据'!I93&lt;=0,'历史数据'!L93=""),"",(H43-('历史数据'!I93-'历史数据'!L93)/'历史数据'!I93)*100)</f>
        <v/>
      </c>
      <c r="K43" s="24">
        <f>IF('历史数据'!M93="","",'历史数据'!M93/100000000)</f>
        <v/>
      </c>
      <c r="L43" s="26">
        <f>IF(OR('历史数据'!G93=0,'历史数据'!M93=""),"",'历史数据'!M93/'历史数据'!G93)</f>
        <v/>
      </c>
      <c r="M43" s="26">
        <f>IF(OR('历史数据'!M93="",'历史数据'!N93=0),"",('历史数据'!M93-'历史数据'!N93)/ABS('历史数据'!N93))</f>
        <v/>
      </c>
      <c r="N43" s="26">
        <f>IF(OR('历史数据'!M93&lt;=0,'历史数据'!O93&lt;=0),"",POWER('历史数据'!M93/'历史数据'!O93,1/3)-1)</f>
        <v/>
      </c>
      <c r="O43" s="24">
        <f>IF('历史数据'!P93="","",'历史数据'!P93/100000000)</f>
        <v/>
      </c>
      <c r="P43" s="26">
        <f>IF(OR('历史数据'!P93="",'历史数据'!Q93=0),"",('历史数据'!P93-'历史数据'!Q93)/ABS('历史数据'!Q93))</f>
        <v/>
      </c>
      <c r="Q43" s="26">
        <f>IF(OR('历史数据'!P93&lt;=0,'历史数据'!R93&lt;=0),"",POWER('历史数据'!P93/'历史数据'!R93,1/3)-1)</f>
        <v/>
      </c>
      <c r="R43" s="24">
        <f>IF('历史数据'!S93="","",'历史数据'!S93/100000000)</f>
        <v/>
      </c>
      <c r="S43" s="25">
        <f>IF('历史数据'!T93="","",'历史数据'!T93)</f>
        <v/>
      </c>
      <c r="T43" s="28">
        <f>IF('历史数据'!U93="","",'历史数据'!U93)</f>
        <v/>
      </c>
      <c r="U43" s="28">
        <f>IF('历史数据'!V93="","",'历史数据'!V93/100000000)</f>
        <v/>
      </c>
      <c r="V43" s="24">
        <f>IF('历史数据'!W93="","",'历史数据'!W93/100000000)</f>
        <v/>
      </c>
      <c r="W43" s="28">
        <f>IF('历史数据'!X93="","",'历史数据'!X93)</f>
        <v/>
      </c>
      <c r="X43" s="26">
        <f>IF(OR(R43="",V43&lt;=0),"",R43/V43-1)</f>
        <v/>
      </c>
      <c r="Y43" s="29">
        <f>IF('历史数据'!Y93="","",'历史数据'!Y93)</f>
        <v/>
      </c>
      <c r="Z43" s="24">
        <f>IF('历史数据'!Z93="","",'历史数据'!Z93/100000000)</f>
        <v/>
      </c>
      <c r="AA43" s="24">
        <f>IF('历史数据'!AA93="","",'历史数据'!AA93/100000000)</f>
        <v/>
      </c>
      <c r="AB43" s="24">
        <f>IF('历史数据'!AB93="","",'历史数据'!AB93/100000000)</f>
        <v/>
      </c>
      <c r="AC43" s="13" t="inlineStr">
        <is>
          <t>近五个交易日资金净额:optional_missing；近一月资金净额（最近22个交易日）:optional_missing</t>
        </is>
      </c>
      <c r="AD43" s="13" t="inlineStr">
        <is>
          <t>SUCCESS</t>
        </is>
      </c>
    </row>
    <row r="44" ht="21" customHeight="1" s="3">
      <c r="A44" s="12" t="inlineStr">
        <is>
          <t>920866</t>
        </is>
      </c>
      <c r="B44" s="13" t="inlineStr">
        <is>
          <t>绿亨科技</t>
        </is>
      </c>
      <c r="C44" s="25">
        <f>IF('历史数据'!D35="","",'历史数据'!D35)</f>
        <v/>
      </c>
      <c r="D44" s="13">
        <f>IF('历史数据'!E35="","",'历史数据'!E35)</f>
        <v/>
      </c>
      <c r="E44" s="24">
        <f>IF('历史数据'!G35="","",'历史数据'!G35/100000000)</f>
        <v/>
      </c>
      <c r="F44" s="26">
        <f>IF(OR('历史数据'!G35="",'历史数据'!H35&lt;=0),"",'历史数据'!G35/'历史数据'!H35-1)</f>
        <v/>
      </c>
      <c r="G44" s="26">
        <f>IF(OR('历史数据'!G35&lt;=0,'历史数据'!I35&lt;=0),"",POWER('历史数据'!G35/'历史数据'!I35,1/3)-1)</f>
        <v/>
      </c>
      <c r="H44" s="26">
        <f>IF(OR('历史数据'!G35&lt;=0,'历史数据'!J35=""),"",('历史数据'!G35-'历史数据'!J35)/'历史数据'!G35)</f>
        <v/>
      </c>
      <c r="I44" s="27">
        <f>IF(OR(H44="",'历史数据'!H35&lt;=0,'历史数据'!K35=""),"",(H44-('历史数据'!H35-'历史数据'!K35)/'历史数据'!H35)*100)</f>
        <v/>
      </c>
      <c r="J44" s="27">
        <f>IF(OR(H44="",'历史数据'!I35&lt;=0,'历史数据'!L35=""),"",(H44-('历史数据'!I35-'历史数据'!L35)/'历史数据'!I35)*100)</f>
        <v/>
      </c>
      <c r="K44" s="24">
        <f>IF('历史数据'!M35="","",'历史数据'!M35/100000000)</f>
        <v/>
      </c>
      <c r="L44" s="26">
        <f>IF(OR('历史数据'!G35=0,'历史数据'!M35=""),"",'历史数据'!M35/'历史数据'!G35)</f>
        <v/>
      </c>
      <c r="M44" s="26">
        <f>IF(OR('历史数据'!M35="",'历史数据'!N35=0),"",('历史数据'!M35-'历史数据'!N35)/ABS('历史数据'!N35))</f>
        <v/>
      </c>
      <c r="N44" s="26">
        <f>IF(OR('历史数据'!M35&lt;=0,'历史数据'!O35&lt;=0),"",POWER('历史数据'!M35/'历史数据'!O35,1/3)-1)</f>
        <v/>
      </c>
      <c r="O44" s="24">
        <f>IF('历史数据'!P35="","",'历史数据'!P35/100000000)</f>
        <v/>
      </c>
      <c r="P44" s="26">
        <f>IF(OR('历史数据'!P35="",'历史数据'!Q35=0),"",('历史数据'!P35-'历史数据'!Q35)/ABS('历史数据'!Q35))</f>
        <v/>
      </c>
      <c r="Q44" s="26">
        <f>IF(OR('历史数据'!P35&lt;=0,'历史数据'!R35&lt;=0),"",POWER('历史数据'!P35/'历史数据'!R35,1/3)-1)</f>
        <v/>
      </c>
      <c r="R44" s="24">
        <f>IF('历史数据'!S35="","",'历史数据'!S35/100000000)</f>
        <v/>
      </c>
      <c r="S44" s="25">
        <f>IF('历史数据'!T35="","",'历史数据'!T35)</f>
        <v/>
      </c>
      <c r="T44" s="28">
        <f>IF('历史数据'!U35="","",'历史数据'!U35)</f>
        <v/>
      </c>
      <c r="U44" s="28">
        <f>IF('历史数据'!V35="","",'历史数据'!V35/100000000)</f>
        <v/>
      </c>
      <c r="V44" s="24">
        <f>IF('历史数据'!W35="","",'历史数据'!W35/100000000)</f>
        <v/>
      </c>
      <c r="W44" s="28">
        <f>IF('历史数据'!X35="","",'历史数据'!X35)</f>
        <v/>
      </c>
      <c r="X44" s="26">
        <f>IF(OR(R44="",V44&lt;=0),"",R44/V44-1)</f>
        <v/>
      </c>
      <c r="Y44" s="29">
        <f>IF('历史数据'!Y35="","",'历史数据'!Y35)</f>
        <v/>
      </c>
      <c r="Z44" s="24">
        <f>IF('历史数据'!Z35="","",'历史数据'!Z35/100000000)</f>
        <v/>
      </c>
      <c r="AA44" s="24">
        <f>IF('历史数据'!AA35="","",'历史数据'!AA35/100000000)</f>
        <v/>
      </c>
      <c r="AB44" s="24">
        <f>IF('历史数据'!AB35="","",'历史数据'!AB35/100000000)</f>
        <v/>
      </c>
      <c r="AC44" s="13" t="inlineStr">
        <is>
          <t>近五个交易日资金净额:optional_missing；近一月资金净额（最近22个交易日）:optional_missing</t>
        </is>
      </c>
      <c r="AD44" s="13" t="inlineStr">
        <is>
          <t>SUCCESS</t>
        </is>
      </c>
    </row>
    <row r="45" ht="21" customHeight="1" s="3">
      <c r="A45" s="12" t="inlineStr">
        <is>
          <t>920924</t>
        </is>
      </c>
      <c r="B45" s="13" t="inlineStr">
        <is>
          <t>广脉科技</t>
        </is>
      </c>
      <c r="C45" s="25">
        <f>IF('历史数据'!D23="","",'历史数据'!D23)</f>
        <v/>
      </c>
      <c r="D45" s="13">
        <f>IF('历史数据'!E23="","",'历史数据'!E23)</f>
        <v/>
      </c>
      <c r="E45" s="24">
        <f>IF('历史数据'!G23="","",'历史数据'!G23/100000000)</f>
        <v/>
      </c>
      <c r="F45" s="26">
        <f>IF(OR('历史数据'!G23="",'历史数据'!H23&lt;=0),"",'历史数据'!G23/'历史数据'!H23-1)</f>
        <v/>
      </c>
      <c r="G45" s="26">
        <f>IF(OR('历史数据'!G23&lt;=0,'历史数据'!I23&lt;=0),"",POWER('历史数据'!G23/'历史数据'!I23,1/3)-1)</f>
        <v/>
      </c>
      <c r="H45" s="26">
        <f>IF(OR('历史数据'!G23&lt;=0,'历史数据'!J23=""),"",('历史数据'!G23-'历史数据'!J23)/'历史数据'!G23)</f>
        <v/>
      </c>
      <c r="I45" s="27">
        <f>IF(OR(H45="",'历史数据'!H23&lt;=0,'历史数据'!K23=""),"",(H45-('历史数据'!H23-'历史数据'!K23)/'历史数据'!H23)*100)</f>
        <v/>
      </c>
      <c r="J45" s="27">
        <f>IF(OR(H45="",'历史数据'!I23&lt;=0,'历史数据'!L23=""),"",(H45-('历史数据'!I23-'历史数据'!L23)/'历史数据'!I23)*100)</f>
        <v/>
      </c>
      <c r="K45" s="24">
        <f>IF('历史数据'!M23="","",'历史数据'!M23/100000000)</f>
        <v/>
      </c>
      <c r="L45" s="26">
        <f>IF(OR('历史数据'!G23=0,'历史数据'!M23=""),"",'历史数据'!M23/'历史数据'!G23)</f>
        <v/>
      </c>
      <c r="M45" s="26">
        <f>IF(OR('历史数据'!M23="",'历史数据'!N23=0),"",('历史数据'!M23-'历史数据'!N23)/ABS('历史数据'!N23))</f>
        <v/>
      </c>
      <c r="N45" s="26">
        <f>IF(OR('历史数据'!M23&lt;=0,'历史数据'!O23&lt;=0),"",POWER('历史数据'!M23/'历史数据'!O23,1/3)-1)</f>
        <v/>
      </c>
      <c r="O45" s="24">
        <f>IF('历史数据'!P23="","",'历史数据'!P23/100000000)</f>
        <v/>
      </c>
      <c r="P45" s="26">
        <f>IF(OR('历史数据'!P23="",'历史数据'!Q23=0),"",('历史数据'!P23-'历史数据'!Q23)/ABS('历史数据'!Q23))</f>
        <v/>
      </c>
      <c r="Q45" s="26">
        <f>IF(OR('历史数据'!P23&lt;=0,'历史数据'!R23&lt;=0),"",POWER('历史数据'!P23/'历史数据'!R23,1/3)-1)</f>
        <v/>
      </c>
      <c r="R45" s="24">
        <f>IF('历史数据'!S23="","",'历史数据'!S23/100000000)</f>
        <v/>
      </c>
      <c r="S45" s="25">
        <f>IF('历史数据'!T23="","",'历史数据'!T23)</f>
        <v/>
      </c>
      <c r="T45" s="28">
        <f>IF('历史数据'!U23="","",'历史数据'!U23)</f>
        <v/>
      </c>
      <c r="U45" s="28">
        <f>IF('历史数据'!V23="","",'历史数据'!V23/100000000)</f>
        <v/>
      </c>
      <c r="V45" s="24">
        <f>IF('历史数据'!W23="","",'历史数据'!W23/100000000)</f>
        <v/>
      </c>
      <c r="W45" s="28">
        <f>IF('历史数据'!X23="","",'历史数据'!X23)</f>
        <v/>
      </c>
      <c r="X45" s="26">
        <f>IF(OR(R45="",V45&lt;=0),"",R45/V45-1)</f>
        <v/>
      </c>
      <c r="Y45" s="29">
        <f>IF('历史数据'!Y23="","",'历史数据'!Y23)</f>
        <v/>
      </c>
      <c r="Z45" s="24">
        <f>IF('历史数据'!Z23="","",'历史数据'!Z23/100000000)</f>
        <v/>
      </c>
      <c r="AA45" s="24">
        <f>IF('历史数据'!AA23="","",'历史数据'!AA23/100000000)</f>
        <v/>
      </c>
      <c r="AB45" s="24">
        <f>IF('历史数据'!AB23="","",'历史数据'!AB23/100000000)</f>
        <v/>
      </c>
      <c r="AC45" s="13" t="inlineStr">
        <is>
          <t>近五个交易日资金净额:optional_missing；近一月资金净额（最近22个交易日）:optional_missing</t>
        </is>
      </c>
      <c r="AD45" s="13" t="inlineStr">
        <is>
          <t>SUCCESS</t>
        </is>
      </c>
    </row>
    <row r="46" ht="21" customHeight="1" s="3">
      <c r="A46" s="12" t="inlineStr">
        <is>
          <t>920799</t>
        </is>
      </c>
      <c r="B46" s="13" t="inlineStr">
        <is>
          <t>艾融软件</t>
        </is>
      </c>
      <c r="C46" s="25">
        <f>IF('历史数据'!D53="","",'历史数据'!D53)</f>
        <v/>
      </c>
      <c r="D46" s="13">
        <f>IF('历史数据'!E53="","",'历史数据'!E53)</f>
        <v/>
      </c>
      <c r="E46" s="24">
        <f>IF('历史数据'!G53="","",'历史数据'!G53/100000000)</f>
        <v/>
      </c>
      <c r="F46" s="26">
        <f>IF(OR('历史数据'!G53="",'历史数据'!H53&lt;=0),"",'历史数据'!G53/'历史数据'!H53-1)</f>
        <v/>
      </c>
      <c r="G46" s="26">
        <f>IF(OR('历史数据'!G53&lt;=0,'历史数据'!I53&lt;=0),"",POWER('历史数据'!G53/'历史数据'!I53,1/3)-1)</f>
        <v/>
      </c>
      <c r="H46" s="26">
        <f>IF(OR('历史数据'!G53&lt;=0,'历史数据'!J53=""),"",('历史数据'!G53-'历史数据'!J53)/'历史数据'!G53)</f>
        <v/>
      </c>
      <c r="I46" s="27">
        <f>IF(OR(H46="",'历史数据'!H53&lt;=0,'历史数据'!K53=""),"",(H46-('历史数据'!H53-'历史数据'!K53)/'历史数据'!H53)*100)</f>
        <v/>
      </c>
      <c r="J46" s="27">
        <f>IF(OR(H46="",'历史数据'!I53&lt;=0,'历史数据'!L53=""),"",(H46-('历史数据'!I53-'历史数据'!L53)/'历史数据'!I53)*100)</f>
        <v/>
      </c>
      <c r="K46" s="24">
        <f>IF('历史数据'!M53="","",'历史数据'!M53/100000000)</f>
        <v/>
      </c>
      <c r="L46" s="26">
        <f>IF(OR('历史数据'!G53=0,'历史数据'!M53=""),"",'历史数据'!M53/'历史数据'!G53)</f>
        <v/>
      </c>
      <c r="M46" s="26">
        <f>IF(OR('历史数据'!M53="",'历史数据'!N53=0),"",('历史数据'!M53-'历史数据'!N53)/ABS('历史数据'!N53))</f>
        <v/>
      </c>
      <c r="N46" s="26">
        <f>IF(OR('历史数据'!M53&lt;=0,'历史数据'!O53&lt;=0),"",POWER('历史数据'!M53/'历史数据'!O53,1/3)-1)</f>
        <v/>
      </c>
      <c r="O46" s="24">
        <f>IF('历史数据'!P53="","",'历史数据'!P53/100000000)</f>
        <v/>
      </c>
      <c r="P46" s="26">
        <f>IF(OR('历史数据'!P53="",'历史数据'!Q53=0),"",('历史数据'!P53-'历史数据'!Q53)/ABS('历史数据'!Q53))</f>
        <v/>
      </c>
      <c r="Q46" s="26">
        <f>IF(OR('历史数据'!P53&lt;=0,'历史数据'!R53&lt;=0),"",POWER('历史数据'!P53/'历史数据'!R53,1/3)-1)</f>
        <v/>
      </c>
      <c r="R46" s="24">
        <f>IF('历史数据'!S53="","",'历史数据'!S53/100000000)</f>
        <v/>
      </c>
      <c r="S46" s="25">
        <f>IF('历史数据'!T53="","",'历史数据'!T53)</f>
        <v/>
      </c>
      <c r="T46" s="28">
        <f>IF('历史数据'!U53="","",'历史数据'!U53)</f>
        <v/>
      </c>
      <c r="U46" s="28">
        <f>IF('历史数据'!V53="","",'历史数据'!V53/100000000)</f>
        <v/>
      </c>
      <c r="V46" s="24">
        <f>IF('历史数据'!W53="","",'历史数据'!W53/100000000)</f>
        <v/>
      </c>
      <c r="W46" s="28">
        <f>IF('历史数据'!X53="","",'历史数据'!X53)</f>
        <v/>
      </c>
      <c r="X46" s="26">
        <f>IF(OR(R46="",V46&lt;=0),"",R46/V46-1)</f>
        <v/>
      </c>
      <c r="Y46" s="29">
        <f>IF('历史数据'!Y53="","",'历史数据'!Y53)</f>
        <v/>
      </c>
      <c r="Z46" s="24">
        <f>IF('历史数据'!Z53="","",'历史数据'!Z53/100000000)</f>
        <v/>
      </c>
      <c r="AA46" s="24">
        <f>IF('历史数据'!AA53="","",'历史数据'!AA53/100000000)</f>
        <v/>
      </c>
      <c r="AB46" s="24">
        <f>IF('历史数据'!AB53="","",'历史数据'!AB53/100000000)</f>
        <v/>
      </c>
      <c r="AC46" s="13" t="inlineStr">
        <is>
          <t>近五个交易日资金净额:optional_missing；近一月资金净额（最近22个交易日）:optional_missing</t>
        </is>
      </c>
      <c r="AD46" s="13" t="inlineStr">
        <is>
          <t>SUCCESS</t>
        </is>
      </c>
    </row>
    <row r="47" ht="21" customHeight="1" s="3">
      <c r="A47" s="12" t="inlineStr">
        <is>
          <t>920926</t>
        </is>
      </c>
      <c r="B47" s="13" t="inlineStr">
        <is>
          <t>鸿智科技</t>
        </is>
      </c>
      <c r="C47" s="25">
        <f>IF('历史数据'!D21="","",'历史数据'!D21)</f>
        <v/>
      </c>
      <c r="D47" s="13">
        <f>IF('历史数据'!E21="","",'历史数据'!E21)</f>
        <v/>
      </c>
      <c r="E47" s="24">
        <f>IF('历史数据'!G21="","",'历史数据'!G21/100000000)</f>
        <v/>
      </c>
      <c r="F47" s="26">
        <f>IF(OR('历史数据'!G21="",'历史数据'!H21&lt;=0),"",'历史数据'!G21/'历史数据'!H21-1)</f>
        <v/>
      </c>
      <c r="G47" s="26">
        <f>IF(OR('历史数据'!G21&lt;=0,'历史数据'!I21&lt;=0),"",POWER('历史数据'!G21/'历史数据'!I21,1/3)-1)</f>
        <v/>
      </c>
      <c r="H47" s="26">
        <f>IF(OR('历史数据'!G21&lt;=0,'历史数据'!J21=""),"",('历史数据'!G21-'历史数据'!J21)/'历史数据'!G21)</f>
        <v/>
      </c>
      <c r="I47" s="27">
        <f>IF(OR(H47="",'历史数据'!H21&lt;=0,'历史数据'!K21=""),"",(H47-('历史数据'!H21-'历史数据'!K21)/'历史数据'!H21)*100)</f>
        <v/>
      </c>
      <c r="J47" s="27">
        <f>IF(OR(H47="",'历史数据'!I21&lt;=0,'历史数据'!L21=""),"",(H47-('历史数据'!I21-'历史数据'!L21)/'历史数据'!I21)*100)</f>
        <v/>
      </c>
      <c r="K47" s="24">
        <f>IF('历史数据'!M21="","",'历史数据'!M21/100000000)</f>
        <v/>
      </c>
      <c r="L47" s="26">
        <f>IF(OR('历史数据'!G21=0,'历史数据'!M21=""),"",'历史数据'!M21/'历史数据'!G21)</f>
        <v/>
      </c>
      <c r="M47" s="26">
        <f>IF(OR('历史数据'!M21="",'历史数据'!N21=0),"",('历史数据'!M21-'历史数据'!N21)/ABS('历史数据'!N21))</f>
        <v/>
      </c>
      <c r="N47" s="26">
        <f>IF(OR('历史数据'!M21&lt;=0,'历史数据'!O21&lt;=0),"",POWER('历史数据'!M21/'历史数据'!O21,1/3)-1)</f>
        <v/>
      </c>
      <c r="O47" s="24">
        <f>IF('历史数据'!P21="","",'历史数据'!P21/100000000)</f>
        <v/>
      </c>
      <c r="P47" s="26">
        <f>IF(OR('历史数据'!P21="",'历史数据'!Q21=0),"",('历史数据'!P21-'历史数据'!Q21)/ABS('历史数据'!Q21))</f>
        <v/>
      </c>
      <c r="Q47" s="26">
        <f>IF(OR('历史数据'!P21&lt;=0,'历史数据'!R21&lt;=0),"",POWER('历史数据'!P21/'历史数据'!R21,1/3)-1)</f>
        <v/>
      </c>
      <c r="R47" s="24">
        <f>IF('历史数据'!S21="","",'历史数据'!S21/100000000)</f>
        <v/>
      </c>
      <c r="S47" s="25">
        <f>IF('历史数据'!T21="","",'历史数据'!T21)</f>
        <v/>
      </c>
      <c r="T47" s="28">
        <f>IF('历史数据'!U21="","",'历史数据'!U21)</f>
        <v/>
      </c>
      <c r="U47" s="28">
        <f>IF('历史数据'!V21="","",'历史数据'!V21/100000000)</f>
        <v/>
      </c>
      <c r="V47" s="24">
        <f>IF('历史数据'!W21="","",'历史数据'!W21/100000000)</f>
        <v/>
      </c>
      <c r="W47" s="28">
        <f>IF('历史数据'!X21="","",'历史数据'!X21)</f>
        <v/>
      </c>
      <c r="X47" s="26">
        <f>IF(OR(R47="",V47&lt;=0),"",R47/V47-1)</f>
        <v/>
      </c>
      <c r="Y47" s="29">
        <f>IF('历史数据'!Y21="","",'历史数据'!Y21)</f>
        <v/>
      </c>
      <c r="Z47" s="24">
        <f>IF('历史数据'!Z21="","",'历史数据'!Z21/100000000)</f>
        <v/>
      </c>
      <c r="AA47" s="24">
        <f>IF('历史数据'!AA21="","",'历史数据'!AA21/100000000)</f>
        <v/>
      </c>
      <c r="AB47" s="24">
        <f>IF('历史数据'!AB21="","",'历史数据'!AB21/100000000)</f>
        <v/>
      </c>
      <c r="AC47" s="13" t="inlineStr">
        <is>
          <t>近五个交易日资金净额:optional_missing；近一月资金净额（最近22个交易日）:optional_missing</t>
        </is>
      </c>
      <c r="AD47" s="13" t="inlineStr">
        <is>
          <t>SUCCESS</t>
        </is>
      </c>
    </row>
    <row r="48" ht="21" customHeight="1" s="3">
      <c r="A48" s="12" t="inlineStr">
        <is>
          <t>920896</t>
        </is>
      </c>
      <c r="B48" s="13" t="inlineStr">
        <is>
          <t>旺成科技</t>
        </is>
      </c>
      <c r="C48" s="25">
        <f>IF('历史数据'!D26="","",'历史数据'!D26)</f>
        <v/>
      </c>
      <c r="D48" s="13">
        <f>IF('历史数据'!E26="","",'历史数据'!E26)</f>
        <v/>
      </c>
      <c r="E48" s="24">
        <f>IF('历史数据'!G26="","",'历史数据'!G26/100000000)</f>
        <v/>
      </c>
      <c r="F48" s="26">
        <f>IF(OR('历史数据'!G26="",'历史数据'!H26&lt;=0),"",'历史数据'!G26/'历史数据'!H26-1)</f>
        <v/>
      </c>
      <c r="G48" s="26">
        <f>IF(OR('历史数据'!G26&lt;=0,'历史数据'!I26&lt;=0),"",POWER('历史数据'!G26/'历史数据'!I26,1/3)-1)</f>
        <v/>
      </c>
      <c r="H48" s="26">
        <f>IF(OR('历史数据'!G26&lt;=0,'历史数据'!J26=""),"",('历史数据'!G26-'历史数据'!J26)/'历史数据'!G26)</f>
        <v/>
      </c>
      <c r="I48" s="27">
        <f>IF(OR(H48="",'历史数据'!H26&lt;=0,'历史数据'!K26=""),"",(H48-('历史数据'!H26-'历史数据'!K26)/'历史数据'!H26)*100)</f>
        <v/>
      </c>
      <c r="J48" s="27">
        <f>IF(OR(H48="",'历史数据'!I26&lt;=0,'历史数据'!L26=""),"",(H48-('历史数据'!I26-'历史数据'!L26)/'历史数据'!I26)*100)</f>
        <v/>
      </c>
      <c r="K48" s="24">
        <f>IF('历史数据'!M26="","",'历史数据'!M26/100000000)</f>
        <v/>
      </c>
      <c r="L48" s="26">
        <f>IF(OR('历史数据'!G26=0,'历史数据'!M26=""),"",'历史数据'!M26/'历史数据'!G26)</f>
        <v/>
      </c>
      <c r="M48" s="26">
        <f>IF(OR('历史数据'!M26="",'历史数据'!N26=0),"",('历史数据'!M26-'历史数据'!N26)/ABS('历史数据'!N26))</f>
        <v/>
      </c>
      <c r="N48" s="26">
        <f>IF(OR('历史数据'!M26&lt;=0,'历史数据'!O26&lt;=0),"",POWER('历史数据'!M26/'历史数据'!O26,1/3)-1)</f>
        <v/>
      </c>
      <c r="O48" s="24">
        <f>IF('历史数据'!P26="","",'历史数据'!P26/100000000)</f>
        <v/>
      </c>
      <c r="P48" s="26">
        <f>IF(OR('历史数据'!P26="",'历史数据'!Q26=0),"",('历史数据'!P26-'历史数据'!Q26)/ABS('历史数据'!Q26))</f>
        <v/>
      </c>
      <c r="Q48" s="26">
        <f>IF(OR('历史数据'!P26&lt;=0,'历史数据'!R26&lt;=0),"",POWER('历史数据'!P26/'历史数据'!R26,1/3)-1)</f>
        <v/>
      </c>
      <c r="R48" s="24">
        <f>IF('历史数据'!S26="","",'历史数据'!S26/100000000)</f>
        <v/>
      </c>
      <c r="S48" s="25">
        <f>IF('历史数据'!T26="","",'历史数据'!T26)</f>
        <v/>
      </c>
      <c r="T48" s="28">
        <f>IF('历史数据'!U26="","",'历史数据'!U26)</f>
        <v/>
      </c>
      <c r="U48" s="28">
        <f>IF('历史数据'!V26="","",'历史数据'!V26/100000000)</f>
        <v/>
      </c>
      <c r="V48" s="24">
        <f>IF('历史数据'!W26="","",'历史数据'!W26/100000000)</f>
        <v/>
      </c>
      <c r="W48" s="28">
        <f>IF('历史数据'!X26="","",'历史数据'!X26)</f>
        <v/>
      </c>
      <c r="X48" s="26">
        <f>IF(OR(R48="",V48&lt;=0),"",R48/V48-1)</f>
        <v/>
      </c>
      <c r="Y48" s="29">
        <f>IF('历史数据'!Y26="","",'历史数据'!Y26)</f>
        <v/>
      </c>
      <c r="Z48" s="24">
        <f>IF('历史数据'!Z26="","",'历史数据'!Z26/100000000)</f>
        <v/>
      </c>
      <c r="AA48" s="24">
        <f>IF('历史数据'!AA26="","",'历史数据'!AA26/100000000)</f>
        <v/>
      </c>
      <c r="AB48" s="24">
        <f>IF('历史数据'!AB26="","",'历史数据'!AB26/100000000)</f>
        <v/>
      </c>
      <c r="AC48" s="13" t="inlineStr">
        <is>
          <t>近五个交易日资金净额:optional_missing；近一月资金净额（最近22个交易日）:optional_missing</t>
        </is>
      </c>
      <c r="AD48" s="13" t="inlineStr">
        <is>
          <t>SUCCESS</t>
        </is>
      </c>
    </row>
    <row r="49" ht="21" customHeight="1" s="3">
      <c r="A49" s="12" t="inlineStr">
        <is>
          <t>920833</t>
        </is>
      </c>
      <c r="B49" s="13" t="inlineStr">
        <is>
          <t>美心翼申</t>
        </is>
      </c>
      <c r="C49" s="25">
        <f>IF('历史数据'!D42="","",'历史数据'!D42)</f>
        <v/>
      </c>
      <c r="D49" s="13">
        <f>IF('历史数据'!E42="","",'历史数据'!E42)</f>
        <v/>
      </c>
      <c r="E49" s="24">
        <f>IF('历史数据'!G42="","",'历史数据'!G42/100000000)</f>
        <v/>
      </c>
      <c r="F49" s="26">
        <f>IF(OR('历史数据'!G42="",'历史数据'!H42&lt;=0),"",'历史数据'!G42/'历史数据'!H42-1)</f>
        <v/>
      </c>
      <c r="G49" s="26">
        <f>IF(OR('历史数据'!G42&lt;=0,'历史数据'!I42&lt;=0),"",POWER('历史数据'!G42/'历史数据'!I42,1/3)-1)</f>
        <v/>
      </c>
      <c r="H49" s="26">
        <f>IF(OR('历史数据'!G42&lt;=0,'历史数据'!J42=""),"",('历史数据'!G42-'历史数据'!J42)/'历史数据'!G42)</f>
        <v/>
      </c>
      <c r="I49" s="27">
        <f>IF(OR(H49="",'历史数据'!H42&lt;=0,'历史数据'!K42=""),"",(H49-('历史数据'!H42-'历史数据'!K42)/'历史数据'!H42)*100)</f>
        <v/>
      </c>
      <c r="J49" s="27">
        <f>IF(OR(H49="",'历史数据'!I42&lt;=0,'历史数据'!L42=""),"",(H49-('历史数据'!I42-'历史数据'!L42)/'历史数据'!I42)*100)</f>
        <v/>
      </c>
      <c r="K49" s="24">
        <f>IF('历史数据'!M42="","",'历史数据'!M42/100000000)</f>
        <v/>
      </c>
      <c r="L49" s="26">
        <f>IF(OR('历史数据'!G42=0,'历史数据'!M42=""),"",'历史数据'!M42/'历史数据'!G42)</f>
        <v/>
      </c>
      <c r="M49" s="26">
        <f>IF(OR('历史数据'!M42="",'历史数据'!N42=0),"",('历史数据'!M42-'历史数据'!N42)/ABS('历史数据'!N42))</f>
        <v/>
      </c>
      <c r="N49" s="26">
        <f>IF(OR('历史数据'!M42&lt;=0,'历史数据'!O42&lt;=0),"",POWER('历史数据'!M42/'历史数据'!O42,1/3)-1)</f>
        <v/>
      </c>
      <c r="O49" s="24">
        <f>IF('历史数据'!P42="","",'历史数据'!P42/100000000)</f>
        <v/>
      </c>
      <c r="P49" s="26">
        <f>IF(OR('历史数据'!P42="",'历史数据'!Q42=0),"",('历史数据'!P42-'历史数据'!Q42)/ABS('历史数据'!Q42))</f>
        <v/>
      </c>
      <c r="Q49" s="26">
        <f>IF(OR('历史数据'!P42&lt;=0,'历史数据'!R42&lt;=0),"",POWER('历史数据'!P42/'历史数据'!R42,1/3)-1)</f>
        <v/>
      </c>
      <c r="R49" s="24">
        <f>IF('历史数据'!S42="","",'历史数据'!S42/100000000)</f>
        <v/>
      </c>
      <c r="S49" s="25">
        <f>IF('历史数据'!T42="","",'历史数据'!T42)</f>
        <v/>
      </c>
      <c r="T49" s="28">
        <f>IF('历史数据'!U42="","",'历史数据'!U42)</f>
        <v/>
      </c>
      <c r="U49" s="28">
        <f>IF('历史数据'!V42="","",'历史数据'!V42/100000000)</f>
        <v/>
      </c>
      <c r="V49" s="24">
        <f>IF('历史数据'!W42="","",'历史数据'!W42/100000000)</f>
        <v/>
      </c>
      <c r="W49" s="28">
        <f>IF('历史数据'!X42="","",'历史数据'!X42)</f>
        <v/>
      </c>
      <c r="X49" s="26">
        <f>IF(OR(R49="",V49&lt;=0),"",R49/V49-1)</f>
        <v/>
      </c>
      <c r="Y49" s="29">
        <f>IF('历史数据'!Y42="","",'历史数据'!Y42)</f>
        <v/>
      </c>
      <c r="Z49" s="24">
        <f>IF('历史数据'!Z42="","",'历史数据'!Z42/100000000)</f>
        <v/>
      </c>
      <c r="AA49" s="24">
        <f>IF('历史数据'!AA42="","",'历史数据'!AA42/100000000)</f>
        <v/>
      </c>
      <c r="AB49" s="24">
        <f>IF('历史数据'!AB42="","",'历史数据'!AB42/100000000)</f>
        <v/>
      </c>
      <c r="AC49" s="13" t="inlineStr">
        <is>
          <t>近五个交易日资金净额:optional_missing；近一月资金净额（最近22个交易日）:optional_missing</t>
        </is>
      </c>
      <c r="AD49" s="13" t="inlineStr">
        <is>
          <t>SUCCESS</t>
        </is>
      </c>
    </row>
    <row r="50" ht="21" customHeight="1" s="3">
      <c r="A50" s="12" t="inlineStr">
        <is>
          <t>920856</t>
        </is>
      </c>
      <c r="B50" s="13" t="inlineStr">
        <is>
          <t>浩淼科技</t>
        </is>
      </c>
      <c r="C50" s="25">
        <f>IF('历史数据'!D37="","",'历史数据'!D37)</f>
        <v/>
      </c>
      <c r="D50" s="13">
        <f>IF('历史数据'!E37="","",'历史数据'!E37)</f>
        <v/>
      </c>
      <c r="E50" s="24">
        <f>IF('历史数据'!G37="","",'历史数据'!G37/100000000)</f>
        <v/>
      </c>
      <c r="F50" s="26">
        <f>IF(OR('历史数据'!G37="",'历史数据'!H37&lt;=0),"",'历史数据'!G37/'历史数据'!H37-1)</f>
        <v/>
      </c>
      <c r="G50" s="26">
        <f>IF(OR('历史数据'!G37&lt;=0,'历史数据'!I37&lt;=0),"",POWER('历史数据'!G37/'历史数据'!I37,1/3)-1)</f>
        <v/>
      </c>
      <c r="H50" s="26">
        <f>IF(OR('历史数据'!G37&lt;=0,'历史数据'!J37=""),"",('历史数据'!G37-'历史数据'!J37)/'历史数据'!G37)</f>
        <v/>
      </c>
      <c r="I50" s="27">
        <f>IF(OR(H50="",'历史数据'!H37&lt;=0,'历史数据'!K37=""),"",(H50-('历史数据'!H37-'历史数据'!K37)/'历史数据'!H37)*100)</f>
        <v/>
      </c>
      <c r="J50" s="27">
        <f>IF(OR(H50="",'历史数据'!I37&lt;=0,'历史数据'!L37=""),"",(H50-('历史数据'!I37-'历史数据'!L37)/'历史数据'!I37)*100)</f>
        <v/>
      </c>
      <c r="K50" s="24">
        <f>IF('历史数据'!M37="","",'历史数据'!M37/100000000)</f>
        <v/>
      </c>
      <c r="L50" s="26">
        <f>IF(OR('历史数据'!G37=0,'历史数据'!M37=""),"",'历史数据'!M37/'历史数据'!G37)</f>
        <v/>
      </c>
      <c r="M50" s="26">
        <f>IF(OR('历史数据'!M37="",'历史数据'!N37=0),"",('历史数据'!M37-'历史数据'!N37)/ABS('历史数据'!N37))</f>
        <v/>
      </c>
      <c r="N50" s="26">
        <f>IF(OR('历史数据'!M37&lt;=0,'历史数据'!O37&lt;=0),"",POWER('历史数据'!M37/'历史数据'!O37,1/3)-1)</f>
        <v/>
      </c>
      <c r="O50" s="24">
        <f>IF('历史数据'!P37="","",'历史数据'!P37/100000000)</f>
        <v/>
      </c>
      <c r="P50" s="26">
        <f>IF(OR('历史数据'!P37="",'历史数据'!Q37=0),"",('历史数据'!P37-'历史数据'!Q37)/ABS('历史数据'!Q37))</f>
        <v/>
      </c>
      <c r="Q50" s="26">
        <f>IF(OR('历史数据'!P37&lt;=0,'历史数据'!R37&lt;=0),"",POWER('历史数据'!P37/'历史数据'!R37,1/3)-1)</f>
        <v/>
      </c>
      <c r="R50" s="24">
        <f>IF('历史数据'!S37="","",'历史数据'!S37/100000000)</f>
        <v/>
      </c>
      <c r="S50" s="25">
        <f>IF('历史数据'!T37="","",'历史数据'!T37)</f>
        <v/>
      </c>
      <c r="T50" s="28">
        <f>IF('历史数据'!U37="","",'历史数据'!U37)</f>
        <v/>
      </c>
      <c r="U50" s="28">
        <f>IF('历史数据'!V37="","",'历史数据'!V37/100000000)</f>
        <v/>
      </c>
      <c r="V50" s="24">
        <f>IF('历史数据'!W37="","",'历史数据'!W37/100000000)</f>
        <v/>
      </c>
      <c r="W50" s="28">
        <f>IF('历史数据'!X37="","",'历史数据'!X37)</f>
        <v/>
      </c>
      <c r="X50" s="26">
        <f>IF(OR(R50="",V50&lt;=0),"",R50/V50-1)</f>
        <v/>
      </c>
      <c r="Y50" s="29">
        <f>IF('历史数据'!Y37="","",'历史数据'!Y37)</f>
        <v/>
      </c>
      <c r="Z50" s="24">
        <f>IF('历史数据'!Z37="","",'历史数据'!Z37/100000000)</f>
        <v/>
      </c>
      <c r="AA50" s="24">
        <f>IF('历史数据'!AA37="","",'历史数据'!AA37/100000000)</f>
        <v/>
      </c>
      <c r="AB50" s="24">
        <f>IF('历史数据'!AB37="","",'历史数据'!AB37/100000000)</f>
        <v/>
      </c>
      <c r="AC50" s="13" t="inlineStr">
        <is>
          <t>近五个交易日资金净额:optional_missing；近一月资金净额（最近22个交易日）:optional_missing</t>
        </is>
      </c>
      <c r="AD50" s="13" t="inlineStr">
        <is>
          <t>SUCCESS</t>
        </is>
      </c>
    </row>
    <row r="51" ht="21" customHeight="1" s="3">
      <c r="A51" s="12" t="inlineStr">
        <is>
          <t>920879</t>
        </is>
      </c>
      <c r="B51" s="13" t="inlineStr">
        <is>
          <t>基康技术</t>
        </is>
      </c>
      <c r="C51" s="25">
        <f>IF('历史数据'!D30="","",'历史数据'!D30)</f>
        <v/>
      </c>
      <c r="D51" s="13">
        <f>IF('历史数据'!E30="","",'历史数据'!E30)</f>
        <v/>
      </c>
      <c r="E51" s="24">
        <f>IF('历史数据'!G30="","",'历史数据'!G30/100000000)</f>
        <v/>
      </c>
      <c r="F51" s="26">
        <f>IF(OR('历史数据'!G30="",'历史数据'!H30&lt;=0),"",'历史数据'!G30/'历史数据'!H30-1)</f>
        <v/>
      </c>
      <c r="G51" s="26">
        <f>IF(OR('历史数据'!G30&lt;=0,'历史数据'!I30&lt;=0),"",POWER('历史数据'!G30/'历史数据'!I30,1/3)-1)</f>
        <v/>
      </c>
      <c r="H51" s="26">
        <f>IF(OR('历史数据'!G30&lt;=0,'历史数据'!J30=""),"",('历史数据'!G30-'历史数据'!J30)/'历史数据'!G30)</f>
        <v/>
      </c>
      <c r="I51" s="27">
        <f>IF(OR(H51="",'历史数据'!H30&lt;=0,'历史数据'!K30=""),"",(H51-('历史数据'!H30-'历史数据'!K30)/'历史数据'!H30)*100)</f>
        <v/>
      </c>
      <c r="J51" s="27">
        <f>IF(OR(H51="",'历史数据'!I30&lt;=0,'历史数据'!L30=""),"",(H51-('历史数据'!I30-'历史数据'!L30)/'历史数据'!I30)*100)</f>
        <v/>
      </c>
      <c r="K51" s="24">
        <f>IF('历史数据'!M30="","",'历史数据'!M30/100000000)</f>
        <v/>
      </c>
      <c r="L51" s="26">
        <f>IF(OR('历史数据'!G30=0,'历史数据'!M30=""),"",'历史数据'!M30/'历史数据'!G30)</f>
        <v/>
      </c>
      <c r="M51" s="26">
        <f>IF(OR('历史数据'!M30="",'历史数据'!N30=0),"",('历史数据'!M30-'历史数据'!N30)/ABS('历史数据'!N30))</f>
        <v/>
      </c>
      <c r="N51" s="26">
        <f>IF(OR('历史数据'!M30&lt;=0,'历史数据'!O30&lt;=0),"",POWER('历史数据'!M30/'历史数据'!O30,1/3)-1)</f>
        <v/>
      </c>
      <c r="O51" s="24">
        <f>IF('历史数据'!P30="","",'历史数据'!P30/100000000)</f>
        <v/>
      </c>
      <c r="P51" s="26">
        <f>IF(OR('历史数据'!P30="",'历史数据'!Q30=0),"",('历史数据'!P30-'历史数据'!Q30)/ABS('历史数据'!Q30))</f>
        <v/>
      </c>
      <c r="Q51" s="26">
        <f>IF(OR('历史数据'!P30&lt;=0,'历史数据'!R30&lt;=0),"",POWER('历史数据'!P30/'历史数据'!R30,1/3)-1)</f>
        <v/>
      </c>
      <c r="R51" s="24">
        <f>IF('历史数据'!S30="","",'历史数据'!S30/100000000)</f>
        <v/>
      </c>
      <c r="S51" s="25">
        <f>IF('历史数据'!T30="","",'历史数据'!T30)</f>
        <v/>
      </c>
      <c r="T51" s="28">
        <f>IF('历史数据'!U30="","",'历史数据'!U30)</f>
        <v/>
      </c>
      <c r="U51" s="28">
        <f>IF('历史数据'!V30="","",'历史数据'!V30/100000000)</f>
        <v/>
      </c>
      <c r="V51" s="24">
        <f>IF('历史数据'!W30="","",'历史数据'!W30/100000000)</f>
        <v/>
      </c>
      <c r="W51" s="28">
        <f>IF('历史数据'!X30="","",'历史数据'!X30)</f>
        <v/>
      </c>
      <c r="X51" s="26">
        <f>IF(OR(R51="",V51&lt;=0),"",R51/V51-1)</f>
        <v/>
      </c>
      <c r="Y51" s="29">
        <f>IF('历史数据'!Y30="","",'历史数据'!Y30)</f>
        <v/>
      </c>
      <c r="Z51" s="24">
        <f>IF('历史数据'!Z30="","",'历史数据'!Z30/100000000)</f>
        <v/>
      </c>
      <c r="AA51" s="24">
        <f>IF('历史数据'!AA30="","",'历史数据'!AA30/100000000)</f>
        <v/>
      </c>
      <c r="AB51" s="24">
        <f>IF('历史数据'!AB30="","",'历史数据'!AB30/100000000)</f>
        <v/>
      </c>
      <c r="AC51" s="13" t="inlineStr">
        <is>
          <t>近五个交易日资金净额:optional_missing；近一月资金净额（最近22个交易日）:optional_missing</t>
        </is>
      </c>
      <c r="AD51" s="13" t="inlineStr">
        <is>
          <t>SUCCESS</t>
        </is>
      </c>
    </row>
    <row r="52" ht="21" customHeight="1" s="3">
      <c r="A52" s="12" t="inlineStr">
        <is>
          <t>920832</t>
        </is>
      </c>
      <c r="B52" s="13" t="inlineStr">
        <is>
          <t>齐鲁华信</t>
        </is>
      </c>
      <c r="C52" s="25">
        <f>IF('历史数据'!D43="","",'历史数据'!D43)</f>
        <v/>
      </c>
      <c r="D52" s="13">
        <f>IF('历史数据'!E43="","",'历史数据'!E43)</f>
        <v/>
      </c>
      <c r="E52" s="24">
        <f>IF('历史数据'!G43="","",'历史数据'!G43/100000000)</f>
        <v/>
      </c>
      <c r="F52" s="26">
        <f>IF(OR('历史数据'!G43="",'历史数据'!H43&lt;=0),"",'历史数据'!G43/'历史数据'!H43-1)</f>
        <v/>
      </c>
      <c r="G52" s="26">
        <f>IF(OR('历史数据'!G43&lt;=0,'历史数据'!I43&lt;=0),"",POWER('历史数据'!G43/'历史数据'!I43,1/3)-1)</f>
        <v/>
      </c>
      <c r="H52" s="26">
        <f>IF(OR('历史数据'!G43&lt;=0,'历史数据'!J43=""),"",('历史数据'!G43-'历史数据'!J43)/'历史数据'!G43)</f>
        <v/>
      </c>
      <c r="I52" s="27">
        <f>IF(OR(H52="",'历史数据'!H43&lt;=0,'历史数据'!K43=""),"",(H52-('历史数据'!H43-'历史数据'!K43)/'历史数据'!H43)*100)</f>
        <v/>
      </c>
      <c r="J52" s="27">
        <f>IF(OR(H52="",'历史数据'!I43&lt;=0,'历史数据'!L43=""),"",(H52-('历史数据'!I43-'历史数据'!L43)/'历史数据'!I43)*100)</f>
        <v/>
      </c>
      <c r="K52" s="24">
        <f>IF('历史数据'!M43="","",'历史数据'!M43/100000000)</f>
        <v/>
      </c>
      <c r="L52" s="26">
        <f>IF(OR('历史数据'!G43=0,'历史数据'!M43=""),"",'历史数据'!M43/'历史数据'!G43)</f>
        <v/>
      </c>
      <c r="M52" s="26">
        <f>IF(OR('历史数据'!M43="",'历史数据'!N43=0),"",('历史数据'!M43-'历史数据'!N43)/ABS('历史数据'!N43))</f>
        <v/>
      </c>
      <c r="N52" s="26">
        <f>IF(OR('历史数据'!M43&lt;=0,'历史数据'!O43&lt;=0),"",POWER('历史数据'!M43/'历史数据'!O43,1/3)-1)</f>
        <v/>
      </c>
      <c r="O52" s="24">
        <f>IF('历史数据'!P43="","",'历史数据'!P43/100000000)</f>
        <v/>
      </c>
      <c r="P52" s="26">
        <f>IF(OR('历史数据'!P43="",'历史数据'!Q43=0),"",('历史数据'!P43-'历史数据'!Q43)/ABS('历史数据'!Q43))</f>
        <v/>
      </c>
      <c r="Q52" s="26">
        <f>IF(OR('历史数据'!P43&lt;=0,'历史数据'!R43&lt;=0),"",POWER('历史数据'!P43/'历史数据'!R43,1/3)-1)</f>
        <v/>
      </c>
      <c r="R52" s="24">
        <f>IF('历史数据'!S43="","",'历史数据'!S43/100000000)</f>
        <v/>
      </c>
      <c r="S52" s="25">
        <f>IF('历史数据'!T43="","",'历史数据'!T43)</f>
        <v/>
      </c>
      <c r="T52" s="28">
        <f>IF('历史数据'!U43="","",'历史数据'!U43)</f>
        <v/>
      </c>
      <c r="U52" s="28">
        <f>IF('历史数据'!V43="","",'历史数据'!V43/100000000)</f>
        <v/>
      </c>
      <c r="V52" s="24">
        <f>IF('历史数据'!W43="","",'历史数据'!W43/100000000)</f>
        <v/>
      </c>
      <c r="W52" s="28">
        <f>IF('历史数据'!X43="","",'历史数据'!X43)</f>
        <v/>
      </c>
      <c r="X52" s="26">
        <f>IF(OR(R52="",V52&lt;=0),"",R52/V52-1)</f>
        <v/>
      </c>
      <c r="Y52" s="29">
        <f>IF('历史数据'!Y43="","",'历史数据'!Y43)</f>
        <v/>
      </c>
      <c r="Z52" s="24">
        <f>IF('历史数据'!Z43="","",'历史数据'!Z43/100000000)</f>
        <v/>
      </c>
      <c r="AA52" s="24">
        <f>IF('历史数据'!AA43="","",'历史数据'!AA43/100000000)</f>
        <v/>
      </c>
      <c r="AB52" s="24">
        <f>IF('历史数据'!AB43="","",'历史数据'!AB43/100000000)</f>
        <v/>
      </c>
      <c r="AC52" s="13" t="inlineStr">
        <is>
          <t>近五个交易日资金净额:optional_missing；近一月资金净额（最近22个交易日）:optional_missing</t>
        </is>
      </c>
      <c r="AD52" s="13" t="inlineStr">
        <is>
          <t>SUCCESS</t>
        </is>
      </c>
    </row>
    <row r="53" ht="21" customHeight="1" s="3">
      <c r="A53" s="12" t="inlineStr">
        <is>
          <t>920857</t>
        </is>
      </c>
      <c r="B53" s="13" t="inlineStr">
        <is>
          <t>泓禧科技</t>
        </is>
      </c>
      <c r="C53" s="25">
        <f>IF('历史数据'!D36="","",'历史数据'!D36)</f>
        <v/>
      </c>
      <c r="D53" s="13">
        <f>IF('历史数据'!E36="","",'历史数据'!E36)</f>
        <v/>
      </c>
      <c r="E53" s="24">
        <f>IF('历史数据'!G36="","",'历史数据'!G36/100000000)</f>
        <v/>
      </c>
      <c r="F53" s="26">
        <f>IF(OR('历史数据'!G36="",'历史数据'!H36&lt;=0),"",'历史数据'!G36/'历史数据'!H36-1)</f>
        <v/>
      </c>
      <c r="G53" s="26">
        <f>IF(OR('历史数据'!G36&lt;=0,'历史数据'!I36&lt;=0),"",POWER('历史数据'!G36/'历史数据'!I36,1/3)-1)</f>
        <v/>
      </c>
      <c r="H53" s="26">
        <f>IF(OR('历史数据'!G36&lt;=0,'历史数据'!J36=""),"",('历史数据'!G36-'历史数据'!J36)/'历史数据'!G36)</f>
        <v/>
      </c>
      <c r="I53" s="27">
        <f>IF(OR(H53="",'历史数据'!H36&lt;=0,'历史数据'!K36=""),"",(H53-('历史数据'!H36-'历史数据'!K36)/'历史数据'!H36)*100)</f>
        <v/>
      </c>
      <c r="J53" s="27">
        <f>IF(OR(H53="",'历史数据'!I36&lt;=0,'历史数据'!L36=""),"",(H53-('历史数据'!I36-'历史数据'!L36)/'历史数据'!I36)*100)</f>
        <v/>
      </c>
      <c r="K53" s="24">
        <f>IF('历史数据'!M36="","",'历史数据'!M36/100000000)</f>
        <v/>
      </c>
      <c r="L53" s="26">
        <f>IF(OR('历史数据'!G36=0,'历史数据'!M36=""),"",'历史数据'!M36/'历史数据'!G36)</f>
        <v/>
      </c>
      <c r="M53" s="26">
        <f>IF(OR('历史数据'!M36="",'历史数据'!N36=0),"",('历史数据'!M36-'历史数据'!N36)/ABS('历史数据'!N36))</f>
        <v/>
      </c>
      <c r="N53" s="26">
        <f>IF(OR('历史数据'!M36&lt;=0,'历史数据'!O36&lt;=0),"",POWER('历史数据'!M36/'历史数据'!O36,1/3)-1)</f>
        <v/>
      </c>
      <c r="O53" s="24">
        <f>IF('历史数据'!P36="","",'历史数据'!P36/100000000)</f>
        <v/>
      </c>
      <c r="P53" s="26">
        <f>IF(OR('历史数据'!P36="",'历史数据'!Q36=0),"",('历史数据'!P36-'历史数据'!Q36)/ABS('历史数据'!Q36))</f>
        <v/>
      </c>
      <c r="Q53" s="26">
        <f>IF(OR('历史数据'!P36&lt;=0,'历史数据'!R36&lt;=0),"",POWER('历史数据'!P36/'历史数据'!R36,1/3)-1)</f>
        <v/>
      </c>
      <c r="R53" s="24">
        <f>IF('历史数据'!S36="","",'历史数据'!S36/100000000)</f>
        <v/>
      </c>
      <c r="S53" s="25">
        <f>IF('历史数据'!T36="","",'历史数据'!T36)</f>
        <v/>
      </c>
      <c r="T53" s="28">
        <f>IF('历史数据'!U36="","",'历史数据'!U36)</f>
        <v/>
      </c>
      <c r="U53" s="28">
        <f>IF('历史数据'!V36="","",'历史数据'!V36/100000000)</f>
        <v/>
      </c>
      <c r="V53" s="24">
        <f>IF('历史数据'!W36="","",'历史数据'!W36/100000000)</f>
        <v/>
      </c>
      <c r="W53" s="28">
        <f>IF('历史数据'!X36="","",'历史数据'!X36)</f>
        <v/>
      </c>
      <c r="X53" s="26">
        <f>IF(OR(R53="",V53&lt;=0),"",R53/V53-1)</f>
        <v/>
      </c>
      <c r="Y53" s="29">
        <f>IF('历史数据'!Y36="","",'历史数据'!Y36)</f>
        <v/>
      </c>
      <c r="Z53" s="24">
        <f>IF('历史数据'!Z36="","",'历史数据'!Z36/100000000)</f>
        <v/>
      </c>
      <c r="AA53" s="24">
        <f>IF('历史数据'!AA36="","",'历史数据'!AA36/100000000)</f>
        <v/>
      </c>
      <c r="AB53" s="24">
        <f>IF('历史数据'!AB36="","",'历史数据'!AB36/100000000)</f>
        <v/>
      </c>
      <c r="AC53" s="13" t="inlineStr">
        <is>
          <t>近五个交易日资金净额:optional_missing；近一月资金净额（最近22个交易日）:optional_missing</t>
        </is>
      </c>
      <c r="AD53" s="13" t="inlineStr">
        <is>
          <t>SUCCESS</t>
        </is>
      </c>
    </row>
    <row r="54" ht="21" customHeight="1" s="3">
      <c r="A54" s="12" t="inlineStr">
        <is>
          <t>920821</t>
        </is>
      </c>
      <c r="B54" s="13" t="inlineStr">
        <is>
          <t>则成电子</t>
        </is>
      </c>
      <c r="C54" s="25">
        <f>IF('历史数据'!D45="","",'历史数据'!D45)</f>
        <v/>
      </c>
      <c r="D54" s="13">
        <f>IF('历史数据'!E45="","",'历史数据'!E45)</f>
        <v/>
      </c>
      <c r="E54" s="24">
        <f>IF('历史数据'!G45="","",'历史数据'!G45/100000000)</f>
        <v/>
      </c>
      <c r="F54" s="26">
        <f>IF(OR('历史数据'!G45="",'历史数据'!H45&lt;=0),"",'历史数据'!G45/'历史数据'!H45-1)</f>
        <v/>
      </c>
      <c r="G54" s="26">
        <f>IF(OR('历史数据'!G45&lt;=0,'历史数据'!I45&lt;=0),"",POWER('历史数据'!G45/'历史数据'!I45,1/3)-1)</f>
        <v/>
      </c>
      <c r="H54" s="26">
        <f>IF(OR('历史数据'!G45&lt;=0,'历史数据'!J45=""),"",('历史数据'!G45-'历史数据'!J45)/'历史数据'!G45)</f>
        <v/>
      </c>
      <c r="I54" s="27">
        <f>IF(OR(H54="",'历史数据'!H45&lt;=0,'历史数据'!K45=""),"",(H54-('历史数据'!H45-'历史数据'!K45)/'历史数据'!H45)*100)</f>
        <v/>
      </c>
      <c r="J54" s="27">
        <f>IF(OR(H54="",'历史数据'!I45&lt;=0,'历史数据'!L45=""),"",(H54-('历史数据'!I45-'历史数据'!L45)/'历史数据'!I45)*100)</f>
        <v/>
      </c>
      <c r="K54" s="24">
        <f>IF('历史数据'!M45="","",'历史数据'!M45/100000000)</f>
        <v/>
      </c>
      <c r="L54" s="26">
        <f>IF(OR('历史数据'!G45=0,'历史数据'!M45=""),"",'历史数据'!M45/'历史数据'!G45)</f>
        <v/>
      </c>
      <c r="M54" s="26">
        <f>IF(OR('历史数据'!M45="",'历史数据'!N45=0),"",('历史数据'!M45-'历史数据'!N45)/ABS('历史数据'!N45))</f>
        <v/>
      </c>
      <c r="N54" s="26">
        <f>IF(OR('历史数据'!M45&lt;=0,'历史数据'!O45&lt;=0),"",POWER('历史数据'!M45/'历史数据'!O45,1/3)-1)</f>
        <v/>
      </c>
      <c r="O54" s="24">
        <f>IF('历史数据'!P45="","",'历史数据'!P45/100000000)</f>
        <v/>
      </c>
      <c r="P54" s="26">
        <f>IF(OR('历史数据'!P45="",'历史数据'!Q45=0),"",('历史数据'!P45-'历史数据'!Q45)/ABS('历史数据'!Q45))</f>
        <v/>
      </c>
      <c r="Q54" s="26">
        <f>IF(OR('历史数据'!P45&lt;=0,'历史数据'!R45&lt;=0),"",POWER('历史数据'!P45/'历史数据'!R45,1/3)-1)</f>
        <v/>
      </c>
      <c r="R54" s="24">
        <f>IF('历史数据'!S45="","",'历史数据'!S45/100000000)</f>
        <v/>
      </c>
      <c r="S54" s="25">
        <f>IF('历史数据'!T45="","",'历史数据'!T45)</f>
        <v/>
      </c>
      <c r="T54" s="28">
        <f>IF('历史数据'!U45="","",'历史数据'!U45)</f>
        <v/>
      </c>
      <c r="U54" s="28">
        <f>IF('历史数据'!V45="","",'历史数据'!V45/100000000)</f>
        <v/>
      </c>
      <c r="V54" s="24">
        <f>IF('历史数据'!W45="","",'历史数据'!W45/100000000)</f>
        <v/>
      </c>
      <c r="W54" s="28">
        <f>IF('历史数据'!X45="","",'历史数据'!X45)</f>
        <v/>
      </c>
      <c r="X54" s="26">
        <f>IF(OR(R54="",V54&lt;=0),"",R54/V54-1)</f>
        <v/>
      </c>
      <c r="Y54" s="29">
        <f>IF('历史数据'!Y45="","",'历史数据'!Y45)</f>
        <v/>
      </c>
      <c r="Z54" s="24">
        <f>IF('历史数据'!Z45="","",'历史数据'!Z45/100000000)</f>
        <v/>
      </c>
      <c r="AA54" s="24">
        <f>IF('历史数据'!AA45="","",'历史数据'!AA45/100000000)</f>
        <v/>
      </c>
      <c r="AB54" s="24">
        <f>IF('历史数据'!AB45="","",'历史数据'!AB45/100000000)</f>
        <v/>
      </c>
      <c r="AC54" s="13" t="inlineStr">
        <is>
          <t>近五个交易日资金净额:optional_missing；近一月资金净额（最近22个交易日）:optional_missing</t>
        </is>
      </c>
      <c r="AD54" s="13" t="inlineStr">
        <is>
          <t>SUCCESS</t>
        </is>
      </c>
    </row>
    <row r="55" ht="21" customHeight="1" s="3">
      <c r="A55" s="12" t="inlineStr">
        <is>
          <t>920690</t>
        </is>
      </c>
      <c r="B55" s="13" t="inlineStr">
        <is>
          <t>捷众科技</t>
        </is>
      </c>
      <c r="C55" s="25">
        <f>IF('历史数据'!D79="","",'历史数据'!D79)</f>
        <v/>
      </c>
      <c r="D55" s="13">
        <f>IF('历史数据'!E79="","",'历史数据'!E79)</f>
        <v/>
      </c>
      <c r="E55" s="24">
        <f>IF('历史数据'!G79="","",'历史数据'!G79/100000000)</f>
        <v/>
      </c>
      <c r="F55" s="26">
        <f>IF(OR('历史数据'!G79="",'历史数据'!H79&lt;=0),"",'历史数据'!G79/'历史数据'!H79-1)</f>
        <v/>
      </c>
      <c r="G55" s="26">
        <f>IF(OR('历史数据'!G79&lt;=0,'历史数据'!I79&lt;=0),"",POWER('历史数据'!G79/'历史数据'!I79,1/3)-1)</f>
        <v/>
      </c>
      <c r="H55" s="26">
        <f>IF(OR('历史数据'!G79&lt;=0,'历史数据'!J79=""),"",('历史数据'!G79-'历史数据'!J79)/'历史数据'!G79)</f>
        <v/>
      </c>
      <c r="I55" s="27">
        <f>IF(OR(H55="",'历史数据'!H79&lt;=0,'历史数据'!K79=""),"",(H55-('历史数据'!H79-'历史数据'!K79)/'历史数据'!H79)*100)</f>
        <v/>
      </c>
      <c r="J55" s="27">
        <f>IF(OR(H55="",'历史数据'!I79&lt;=0,'历史数据'!L79=""),"",(H55-('历史数据'!I79-'历史数据'!L79)/'历史数据'!I79)*100)</f>
        <v/>
      </c>
      <c r="K55" s="24">
        <f>IF('历史数据'!M79="","",'历史数据'!M79/100000000)</f>
        <v/>
      </c>
      <c r="L55" s="26">
        <f>IF(OR('历史数据'!G79=0,'历史数据'!M79=""),"",'历史数据'!M79/'历史数据'!G79)</f>
        <v/>
      </c>
      <c r="M55" s="26">
        <f>IF(OR('历史数据'!M79="",'历史数据'!N79=0),"",('历史数据'!M79-'历史数据'!N79)/ABS('历史数据'!N79))</f>
        <v/>
      </c>
      <c r="N55" s="26">
        <f>IF(OR('历史数据'!M79&lt;=0,'历史数据'!O79&lt;=0),"",POWER('历史数据'!M79/'历史数据'!O79,1/3)-1)</f>
        <v/>
      </c>
      <c r="O55" s="24">
        <f>IF('历史数据'!P79="","",'历史数据'!P79/100000000)</f>
        <v/>
      </c>
      <c r="P55" s="26">
        <f>IF(OR('历史数据'!P79="",'历史数据'!Q79=0),"",('历史数据'!P79-'历史数据'!Q79)/ABS('历史数据'!Q79))</f>
        <v/>
      </c>
      <c r="Q55" s="26">
        <f>IF(OR('历史数据'!P79&lt;=0,'历史数据'!R79&lt;=0),"",POWER('历史数据'!P79/'历史数据'!R79,1/3)-1)</f>
        <v/>
      </c>
      <c r="R55" s="24">
        <f>IF('历史数据'!S79="","",'历史数据'!S79/100000000)</f>
        <v/>
      </c>
      <c r="S55" s="25">
        <f>IF('历史数据'!T79="","",'历史数据'!T79)</f>
        <v/>
      </c>
      <c r="T55" s="28">
        <f>IF('历史数据'!U79="","",'历史数据'!U79)</f>
        <v/>
      </c>
      <c r="U55" s="28">
        <f>IF('历史数据'!V79="","",'历史数据'!V79/100000000)</f>
        <v/>
      </c>
      <c r="V55" s="24">
        <f>IF('历史数据'!W79="","",'历史数据'!W79/100000000)</f>
        <v/>
      </c>
      <c r="W55" s="28">
        <f>IF('历史数据'!X79="","",'历史数据'!X79)</f>
        <v/>
      </c>
      <c r="X55" s="26">
        <f>IF(OR(R55="",V55&lt;=0),"",R55/V55-1)</f>
        <v/>
      </c>
      <c r="Y55" s="29">
        <f>IF('历史数据'!Y79="","",'历史数据'!Y79)</f>
        <v/>
      </c>
      <c r="Z55" s="24">
        <f>IF('历史数据'!Z79="","",'历史数据'!Z79/100000000)</f>
        <v/>
      </c>
      <c r="AA55" s="24">
        <f>IF('历史数据'!AA79="","",'历史数据'!AA79/100000000)</f>
        <v/>
      </c>
      <c r="AB55" s="24">
        <f>IF('历史数据'!AB79="","",'历史数据'!AB79/100000000)</f>
        <v/>
      </c>
      <c r="AC55" s="13" t="inlineStr">
        <is>
          <t>近五个交易日资金净额:optional_missing；近一月资金净额（最近22个交易日）:optional_missing</t>
        </is>
      </c>
      <c r="AD55" s="13" t="inlineStr">
        <is>
          <t>SUCCESS</t>
        </is>
      </c>
    </row>
    <row r="56" ht="21" customHeight="1" s="3">
      <c r="A56" s="12" t="inlineStr">
        <is>
          <t>920663</t>
        </is>
      </c>
      <c r="B56" s="13" t="inlineStr">
        <is>
          <t>明阳科技</t>
        </is>
      </c>
      <c r="C56" s="25">
        <f>IF('历史数据'!D88="","",'历史数据'!D88)</f>
        <v/>
      </c>
      <c r="D56" s="13">
        <f>IF('历史数据'!E88="","",'历史数据'!E88)</f>
        <v/>
      </c>
      <c r="E56" s="24">
        <f>IF('历史数据'!G88="","",'历史数据'!G88/100000000)</f>
        <v/>
      </c>
      <c r="F56" s="26">
        <f>IF(OR('历史数据'!G88="",'历史数据'!H88&lt;=0),"",'历史数据'!G88/'历史数据'!H88-1)</f>
        <v/>
      </c>
      <c r="G56" s="26">
        <f>IF(OR('历史数据'!G88&lt;=0,'历史数据'!I88&lt;=0),"",POWER('历史数据'!G88/'历史数据'!I88,1/3)-1)</f>
        <v/>
      </c>
      <c r="H56" s="26">
        <f>IF(OR('历史数据'!G88&lt;=0,'历史数据'!J88=""),"",('历史数据'!G88-'历史数据'!J88)/'历史数据'!G88)</f>
        <v/>
      </c>
      <c r="I56" s="27">
        <f>IF(OR(H56="",'历史数据'!H88&lt;=0,'历史数据'!K88=""),"",(H56-('历史数据'!H88-'历史数据'!K88)/'历史数据'!H88)*100)</f>
        <v/>
      </c>
      <c r="J56" s="27">
        <f>IF(OR(H56="",'历史数据'!I88&lt;=0,'历史数据'!L88=""),"",(H56-('历史数据'!I88-'历史数据'!L88)/'历史数据'!I88)*100)</f>
        <v/>
      </c>
      <c r="K56" s="24">
        <f>IF('历史数据'!M88="","",'历史数据'!M88/100000000)</f>
        <v/>
      </c>
      <c r="L56" s="26">
        <f>IF(OR('历史数据'!G88=0,'历史数据'!M88=""),"",'历史数据'!M88/'历史数据'!G88)</f>
        <v/>
      </c>
      <c r="M56" s="26">
        <f>IF(OR('历史数据'!M88="",'历史数据'!N88=0),"",('历史数据'!M88-'历史数据'!N88)/ABS('历史数据'!N88))</f>
        <v/>
      </c>
      <c r="N56" s="26">
        <f>IF(OR('历史数据'!M88&lt;=0,'历史数据'!O88&lt;=0),"",POWER('历史数据'!M88/'历史数据'!O88,1/3)-1)</f>
        <v/>
      </c>
      <c r="O56" s="24">
        <f>IF('历史数据'!P88="","",'历史数据'!P88/100000000)</f>
        <v/>
      </c>
      <c r="P56" s="26">
        <f>IF(OR('历史数据'!P88="",'历史数据'!Q88=0),"",('历史数据'!P88-'历史数据'!Q88)/ABS('历史数据'!Q88))</f>
        <v/>
      </c>
      <c r="Q56" s="26">
        <f>IF(OR('历史数据'!P88&lt;=0,'历史数据'!R88&lt;=0),"",POWER('历史数据'!P88/'历史数据'!R88,1/3)-1)</f>
        <v/>
      </c>
      <c r="R56" s="24">
        <f>IF('历史数据'!S88="","",'历史数据'!S88/100000000)</f>
        <v/>
      </c>
      <c r="S56" s="25">
        <f>IF('历史数据'!T88="","",'历史数据'!T88)</f>
        <v/>
      </c>
      <c r="T56" s="28">
        <f>IF('历史数据'!U88="","",'历史数据'!U88)</f>
        <v/>
      </c>
      <c r="U56" s="28">
        <f>IF('历史数据'!V88="","",'历史数据'!V88/100000000)</f>
        <v/>
      </c>
      <c r="V56" s="24">
        <f>IF('历史数据'!W88="","",'历史数据'!W88/100000000)</f>
        <v/>
      </c>
      <c r="W56" s="28">
        <f>IF('历史数据'!X88="","",'历史数据'!X88)</f>
        <v/>
      </c>
      <c r="X56" s="26">
        <f>IF(OR(R56="",V56&lt;=0),"",R56/V56-1)</f>
        <v/>
      </c>
      <c r="Y56" s="29">
        <f>IF('历史数据'!Y88="","",'历史数据'!Y88)</f>
        <v/>
      </c>
      <c r="Z56" s="24">
        <f>IF('历史数据'!Z88="","",'历史数据'!Z88/100000000)</f>
        <v/>
      </c>
      <c r="AA56" s="24">
        <f>IF('历史数据'!AA88="","",'历史数据'!AA88/100000000)</f>
        <v/>
      </c>
      <c r="AB56" s="24">
        <f>IF('历史数据'!AB88="","",'历史数据'!AB88/100000000)</f>
        <v/>
      </c>
      <c r="AC56" s="13" t="inlineStr">
        <is>
          <t>近五个交易日资金净额:optional_missing；近一月资金净额（最近22个交易日）:optional_missing</t>
        </is>
      </c>
      <c r="AD56" s="13" t="inlineStr">
        <is>
          <t>SUCCESS</t>
        </is>
      </c>
    </row>
    <row r="57" ht="21" customHeight="1" s="3">
      <c r="A57" s="12" t="inlineStr">
        <is>
          <t>920662</t>
        </is>
      </c>
      <c r="B57" s="13" t="inlineStr">
        <is>
          <t>方盛股份</t>
        </is>
      </c>
      <c r="C57" s="25">
        <f>IF('历史数据'!D89="","",'历史数据'!D89)</f>
        <v/>
      </c>
      <c r="D57" s="13">
        <f>IF('历史数据'!E89="","",'历史数据'!E89)</f>
        <v/>
      </c>
      <c r="E57" s="24">
        <f>IF('历史数据'!G89="","",'历史数据'!G89/100000000)</f>
        <v/>
      </c>
      <c r="F57" s="26">
        <f>IF(OR('历史数据'!G89="",'历史数据'!H89&lt;=0),"",'历史数据'!G89/'历史数据'!H89-1)</f>
        <v/>
      </c>
      <c r="G57" s="26">
        <f>IF(OR('历史数据'!G89&lt;=0,'历史数据'!I89&lt;=0),"",POWER('历史数据'!G89/'历史数据'!I89,1/3)-1)</f>
        <v/>
      </c>
      <c r="H57" s="26">
        <f>IF(OR('历史数据'!G89&lt;=0,'历史数据'!J89=""),"",('历史数据'!G89-'历史数据'!J89)/'历史数据'!G89)</f>
        <v/>
      </c>
      <c r="I57" s="27">
        <f>IF(OR(H57="",'历史数据'!H89&lt;=0,'历史数据'!K89=""),"",(H57-('历史数据'!H89-'历史数据'!K89)/'历史数据'!H89)*100)</f>
        <v/>
      </c>
      <c r="J57" s="27">
        <f>IF(OR(H57="",'历史数据'!I89&lt;=0,'历史数据'!L89=""),"",(H57-('历史数据'!I89-'历史数据'!L89)/'历史数据'!I89)*100)</f>
        <v/>
      </c>
      <c r="K57" s="24">
        <f>IF('历史数据'!M89="","",'历史数据'!M89/100000000)</f>
        <v/>
      </c>
      <c r="L57" s="26">
        <f>IF(OR('历史数据'!G89=0,'历史数据'!M89=""),"",'历史数据'!M89/'历史数据'!G89)</f>
        <v/>
      </c>
      <c r="M57" s="26">
        <f>IF(OR('历史数据'!M89="",'历史数据'!N89=0),"",('历史数据'!M89-'历史数据'!N89)/ABS('历史数据'!N89))</f>
        <v/>
      </c>
      <c r="N57" s="26">
        <f>IF(OR('历史数据'!M89&lt;=0,'历史数据'!O89&lt;=0),"",POWER('历史数据'!M89/'历史数据'!O89,1/3)-1)</f>
        <v/>
      </c>
      <c r="O57" s="24">
        <f>IF('历史数据'!P89="","",'历史数据'!P89/100000000)</f>
        <v/>
      </c>
      <c r="P57" s="26">
        <f>IF(OR('历史数据'!P89="",'历史数据'!Q89=0),"",('历史数据'!P89-'历史数据'!Q89)/ABS('历史数据'!Q89))</f>
        <v/>
      </c>
      <c r="Q57" s="26">
        <f>IF(OR('历史数据'!P89&lt;=0,'历史数据'!R89&lt;=0),"",POWER('历史数据'!P89/'历史数据'!R89,1/3)-1)</f>
        <v/>
      </c>
      <c r="R57" s="24">
        <f>IF('历史数据'!S89="","",'历史数据'!S89/100000000)</f>
        <v/>
      </c>
      <c r="S57" s="25">
        <f>IF('历史数据'!T89="","",'历史数据'!T89)</f>
        <v/>
      </c>
      <c r="T57" s="28">
        <f>IF('历史数据'!U89="","",'历史数据'!U89)</f>
        <v/>
      </c>
      <c r="U57" s="28">
        <f>IF('历史数据'!V89="","",'历史数据'!V89/100000000)</f>
        <v/>
      </c>
      <c r="V57" s="24">
        <f>IF('历史数据'!W89="","",'历史数据'!W89/100000000)</f>
        <v/>
      </c>
      <c r="W57" s="28">
        <f>IF('历史数据'!X89="","",'历史数据'!X89)</f>
        <v/>
      </c>
      <c r="X57" s="26">
        <f>IF(OR(R57="",V57&lt;=0),"",R57/V57-1)</f>
        <v/>
      </c>
      <c r="Y57" s="29">
        <f>IF('历史数据'!Y89="","",'历史数据'!Y89)</f>
        <v/>
      </c>
      <c r="Z57" s="24">
        <f>IF('历史数据'!Z89="","",'历史数据'!Z89/100000000)</f>
        <v/>
      </c>
      <c r="AA57" s="24">
        <f>IF('历史数据'!AA89="","",'历史数据'!AA89/100000000)</f>
        <v/>
      </c>
      <c r="AB57" s="24">
        <f>IF('历史数据'!AB89="","",'历史数据'!AB89/100000000)</f>
        <v/>
      </c>
      <c r="AC57" s="13" t="inlineStr">
        <is>
          <t>近五个交易日资金净额:optional_missing；近一月资金净额（最近22个交易日）:optional_missing</t>
        </is>
      </c>
      <c r="AD57" s="13" t="inlineStr">
        <is>
          <t>SUCCESS</t>
        </is>
      </c>
    </row>
    <row r="58" ht="21" customHeight="1" s="3">
      <c r="A58" s="12" t="inlineStr">
        <is>
          <t>920706</t>
        </is>
      </c>
      <c r="B58" s="13" t="inlineStr">
        <is>
          <t>铁拓机械</t>
        </is>
      </c>
      <c r="C58" s="25">
        <f>IF('历史数据'!D73="","",'历史数据'!D73)</f>
        <v/>
      </c>
      <c r="D58" s="13">
        <f>IF('历史数据'!E73="","",'历史数据'!E73)</f>
        <v/>
      </c>
      <c r="E58" s="24">
        <f>IF('历史数据'!G73="","",'历史数据'!G73/100000000)</f>
        <v/>
      </c>
      <c r="F58" s="26">
        <f>IF(OR('历史数据'!G73="",'历史数据'!H73&lt;=0),"",'历史数据'!G73/'历史数据'!H73-1)</f>
        <v/>
      </c>
      <c r="G58" s="26">
        <f>IF(OR('历史数据'!G73&lt;=0,'历史数据'!I73&lt;=0),"",POWER('历史数据'!G73/'历史数据'!I73,1/3)-1)</f>
        <v/>
      </c>
      <c r="H58" s="26">
        <f>IF(OR('历史数据'!G73&lt;=0,'历史数据'!J73=""),"",('历史数据'!G73-'历史数据'!J73)/'历史数据'!G73)</f>
        <v/>
      </c>
      <c r="I58" s="27">
        <f>IF(OR(H58="",'历史数据'!H73&lt;=0,'历史数据'!K73=""),"",(H58-('历史数据'!H73-'历史数据'!K73)/'历史数据'!H73)*100)</f>
        <v/>
      </c>
      <c r="J58" s="27">
        <f>IF(OR(H58="",'历史数据'!I73&lt;=0,'历史数据'!L73=""),"",(H58-('历史数据'!I73-'历史数据'!L73)/'历史数据'!I73)*100)</f>
        <v/>
      </c>
      <c r="K58" s="24">
        <f>IF('历史数据'!M73="","",'历史数据'!M73/100000000)</f>
        <v/>
      </c>
      <c r="L58" s="26">
        <f>IF(OR('历史数据'!G73=0,'历史数据'!M73=""),"",'历史数据'!M73/'历史数据'!G73)</f>
        <v/>
      </c>
      <c r="M58" s="26">
        <f>IF(OR('历史数据'!M73="",'历史数据'!N73=0),"",('历史数据'!M73-'历史数据'!N73)/ABS('历史数据'!N73))</f>
        <v/>
      </c>
      <c r="N58" s="26">
        <f>IF(OR('历史数据'!M73&lt;=0,'历史数据'!O73&lt;=0),"",POWER('历史数据'!M73/'历史数据'!O73,1/3)-1)</f>
        <v/>
      </c>
      <c r="O58" s="24">
        <f>IF('历史数据'!P73="","",'历史数据'!P73/100000000)</f>
        <v/>
      </c>
      <c r="P58" s="26">
        <f>IF(OR('历史数据'!P73="",'历史数据'!Q73=0),"",('历史数据'!P73-'历史数据'!Q73)/ABS('历史数据'!Q73))</f>
        <v/>
      </c>
      <c r="Q58" s="26">
        <f>IF(OR('历史数据'!P73&lt;=0,'历史数据'!R73&lt;=0),"",POWER('历史数据'!P73/'历史数据'!R73,1/3)-1)</f>
        <v/>
      </c>
      <c r="R58" s="24">
        <f>IF('历史数据'!S73="","",'历史数据'!S73/100000000)</f>
        <v/>
      </c>
      <c r="S58" s="25">
        <f>IF('历史数据'!T73="","",'历史数据'!T73)</f>
        <v/>
      </c>
      <c r="T58" s="28">
        <f>IF('历史数据'!U73="","",'历史数据'!U73)</f>
        <v/>
      </c>
      <c r="U58" s="28">
        <f>IF('历史数据'!V73="","",'历史数据'!V73/100000000)</f>
        <v/>
      </c>
      <c r="V58" s="24">
        <f>IF('历史数据'!W73="","",'历史数据'!W73/100000000)</f>
        <v/>
      </c>
      <c r="W58" s="28">
        <f>IF('历史数据'!X73="","",'历史数据'!X73)</f>
        <v/>
      </c>
      <c r="X58" s="26">
        <f>IF(OR(R58="",V58&lt;=0),"",R58/V58-1)</f>
        <v/>
      </c>
      <c r="Y58" s="29">
        <f>IF('历史数据'!Y73="","",'历史数据'!Y73)</f>
        <v/>
      </c>
      <c r="Z58" s="24">
        <f>IF('历史数据'!Z73="","",'历史数据'!Z73/100000000)</f>
        <v/>
      </c>
      <c r="AA58" s="24">
        <f>IF('历史数据'!AA73="","",'历史数据'!AA73/100000000)</f>
        <v/>
      </c>
      <c r="AB58" s="24">
        <f>IF('历史数据'!AB73="","",'历史数据'!AB73/100000000)</f>
        <v/>
      </c>
      <c r="AC58" s="13" t="inlineStr">
        <is>
          <t>近五个交易日资金净额:optional_missing；近一月资金净额（最近22个交易日）:optional_missing</t>
        </is>
      </c>
      <c r="AD58" s="13" t="inlineStr">
        <is>
          <t>SUCCESS</t>
        </is>
      </c>
    </row>
    <row r="59" ht="21" customHeight="1" s="3">
      <c r="A59" s="12" t="inlineStr">
        <is>
          <t>920699</t>
        </is>
      </c>
      <c r="B59" s="13" t="inlineStr">
        <is>
          <t>海达尔</t>
        </is>
      </c>
      <c r="C59" s="25">
        <f>IF('历史数据'!D76="","",'历史数据'!D76)</f>
        <v/>
      </c>
      <c r="D59" s="13">
        <f>IF('历史数据'!E76="","",'历史数据'!E76)</f>
        <v/>
      </c>
      <c r="E59" s="24">
        <f>IF('历史数据'!G76="","",'历史数据'!G76/100000000)</f>
        <v/>
      </c>
      <c r="F59" s="26">
        <f>IF(OR('历史数据'!G76="",'历史数据'!H76&lt;=0),"",'历史数据'!G76/'历史数据'!H76-1)</f>
        <v/>
      </c>
      <c r="G59" s="26">
        <f>IF(OR('历史数据'!G76&lt;=0,'历史数据'!I76&lt;=0),"",POWER('历史数据'!G76/'历史数据'!I76,1/3)-1)</f>
        <v/>
      </c>
      <c r="H59" s="26">
        <f>IF(OR('历史数据'!G76&lt;=0,'历史数据'!J76=""),"",('历史数据'!G76-'历史数据'!J76)/'历史数据'!G76)</f>
        <v/>
      </c>
      <c r="I59" s="27">
        <f>IF(OR(H59="",'历史数据'!H76&lt;=0,'历史数据'!K76=""),"",(H59-('历史数据'!H76-'历史数据'!K76)/'历史数据'!H76)*100)</f>
        <v/>
      </c>
      <c r="J59" s="27">
        <f>IF(OR(H59="",'历史数据'!I76&lt;=0,'历史数据'!L76=""),"",(H59-('历史数据'!I76-'历史数据'!L76)/'历史数据'!I76)*100)</f>
        <v/>
      </c>
      <c r="K59" s="24">
        <f>IF('历史数据'!M76="","",'历史数据'!M76/100000000)</f>
        <v/>
      </c>
      <c r="L59" s="26">
        <f>IF(OR('历史数据'!G76=0,'历史数据'!M76=""),"",'历史数据'!M76/'历史数据'!G76)</f>
        <v/>
      </c>
      <c r="M59" s="26">
        <f>IF(OR('历史数据'!M76="",'历史数据'!N76=0),"",('历史数据'!M76-'历史数据'!N76)/ABS('历史数据'!N76))</f>
        <v/>
      </c>
      <c r="N59" s="26">
        <f>IF(OR('历史数据'!M76&lt;=0,'历史数据'!O76&lt;=0),"",POWER('历史数据'!M76/'历史数据'!O76,1/3)-1)</f>
        <v/>
      </c>
      <c r="O59" s="24">
        <f>IF('历史数据'!P76="","",'历史数据'!P76/100000000)</f>
        <v/>
      </c>
      <c r="P59" s="26">
        <f>IF(OR('历史数据'!P76="",'历史数据'!Q76=0),"",('历史数据'!P76-'历史数据'!Q76)/ABS('历史数据'!Q76))</f>
        <v/>
      </c>
      <c r="Q59" s="26">
        <f>IF(OR('历史数据'!P76&lt;=0,'历史数据'!R76&lt;=0),"",POWER('历史数据'!P76/'历史数据'!R76,1/3)-1)</f>
        <v/>
      </c>
      <c r="R59" s="24">
        <f>IF('历史数据'!S76="","",'历史数据'!S76/100000000)</f>
        <v/>
      </c>
      <c r="S59" s="25">
        <f>IF('历史数据'!T76="","",'历史数据'!T76)</f>
        <v/>
      </c>
      <c r="T59" s="28">
        <f>IF('历史数据'!U76="","",'历史数据'!U76)</f>
        <v/>
      </c>
      <c r="U59" s="28">
        <f>IF('历史数据'!V76="","",'历史数据'!V76/100000000)</f>
        <v/>
      </c>
      <c r="V59" s="24">
        <f>IF('历史数据'!W76="","",'历史数据'!W76/100000000)</f>
        <v/>
      </c>
      <c r="W59" s="28">
        <f>IF('历史数据'!X76="","",'历史数据'!X76)</f>
        <v/>
      </c>
      <c r="X59" s="26">
        <f>IF(OR(R59="",V59&lt;=0),"",R59/V59-1)</f>
        <v/>
      </c>
      <c r="Y59" s="29">
        <f>IF('历史数据'!Y76="","",'历史数据'!Y76)</f>
        <v/>
      </c>
      <c r="Z59" s="24">
        <f>IF('历史数据'!Z76="","",'历史数据'!Z76/100000000)</f>
        <v/>
      </c>
      <c r="AA59" s="24">
        <f>IF('历史数据'!AA76="","",'历史数据'!AA76/100000000)</f>
        <v/>
      </c>
      <c r="AB59" s="24">
        <f>IF('历史数据'!AB76="","",'历史数据'!AB76/100000000)</f>
        <v/>
      </c>
      <c r="AC59" s="13" t="inlineStr">
        <is>
          <t>近五个交易日资金净额:optional_missing；近一月资金净额（最近22个交易日）:optional_missing</t>
        </is>
      </c>
      <c r="AD59" s="13" t="inlineStr">
        <is>
          <t>SUCCESS</t>
        </is>
      </c>
    </row>
    <row r="60" ht="21" customHeight="1" s="3">
      <c r="A60" s="12" t="inlineStr">
        <is>
          <t>920703</t>
        </is>
      </c>
      <c r="B60" s="13" t="inlineStr">
        <is>
          <t>广厦环能</t>
        </is>
      </c>
      <c r="C60" s="25">
        <f>IF('历史数据'!D74="","",'历史数据'!D74)</f>
        <v/>
      </c>
      <c r="D60" s="13">
        <f>IF('历史数据'!E74="","",'历史数据'!E74)</f>
        <v/>
      </c>
      <c r="E60" s="24">
        <f>IF('历史数据'!G74="","",'历史数据'!G74/100000000)</f>
        <v/>
      </c>
      <c r="F60" s="26">
        <f>IF(OR('历史数据'!G74="",'历史数据'!H74&lt;=0),"",'历史数据'!G74/'历史数据'!H74-1)</f>
        <v/>
      </c>
      <c r="G60" s="26">
        <f>IF(OR('历史数据'!G74&lt;=0,'历史数据'!I74&lt;=0),"",POWER('历史数据'!G74/'历史数据'!I74,1/3)-1)</f>
        <v/>
      </c>
      <c r="H60" s="26">
        <f>IF(OR('历史数据'!G74&lt;=0,'历史数据'!J74=""),"",('历史数据'!G74-'历史数据'!J74)/'历史数据'!G74)</f>
        <v/>
      </c>
      <c r="I60" s="27">
        <f>IF(OR(H60="",'历史数据'!H74&lt;=0,'历史数据'!K74=""),"",(H60-('历史数据'!H74-'历史数据'!K74)/'历史数据'!H74)*100)</f>
        <v/>
      </c>
      <c r="J60" s="27">
        <f>IF(OR(H60="",'历史数据'!I74&lt;=0,'历史数据'!L74=""),"",(H60-('历史数据'!I74-'历史数据'!L74)/'历史数据'!I74)*100)</f>
        <v/>
      </c>
      <c r="K60" s="24">
        <f>IF('历史数据'!M74="","",'历史数据'!M74/100000000)</f>
        <v/>
      </c>
      <c r="L60" s="26">
        <f>IF(OR('历史数据'!G74=0,'历史数据'!M74=""),"",'历史数据'!M74/'历史数据'!G74)</f>
        <v/>
      </c>
      <c r="M60" s="26">
        <f>IF(OR('历史数据'!M74="",'历史数据'!N74=0),"",('历史数据'!M74-'历史数据'!N74)/ABS('历史数据'!N74))</f>
        <v/>
      </c>
      <c r="N60" s="26">
        <f>IF(OR('历史数据'!M74&lt;=0,'历史数据'!O74&lt;=0),"",POWER('历史数据'!M74/'历史数据'!O74,1/3)-1)</f>
        <v/>
      </c>
      <c r="O60" s="24">
        <f>IF('历史数据'!P74="","",'历史数据'!P74/100000000)</f>
        <v/>
      </c>
      <c r="P60" s="26">
        <f>IF(OR('历史数据'!P74="",'历史数据'!Q74=0),"",('历史数据'!P74-'历史数据'!Q74)/ABS('历史数据'!Q74))</f>
        <v/>
      </c>
      <c r="Q60" s="26">
        <f>IF(OR('历史数据'!P74&lt;=0,'历史数据'!R74&lt;=0),"",POWER('历史数据'!P74/'历史数据'!R74,1/3)-1)</f>
        <v/>
      </c>
      <c r="R60" s="24">
        <f>IF('历史数据'!S74="","",'历史数据'!S74/100000000)</f>
        <v/>
      </c>
      <c r="S60" s="25">
        <f>IF('历史数据'!T74="","",'历史数据'!T74)</f>
        <v/>
      </c>
      <c r="T60" s="28">
        <f>IF('历史数据'!U74="","",'历史数据'!U74)</f>
        <v/>
      </c>
      <c r="U60" s="28">
        <f>IF('历史数据'!V74="","",'历史数据'!V74/100000000)</f>
        <v/>
      </c>
      <c r="V60" s="24">
        <f>IF('历史数据'!W74="","",'历史数据'!W74/100000000)</f>
        <v/>
      </c>
      <c r="W60" s="28">
        <f>IF('历史数据'!X74="","",'历史数据'!X74)</f>
        <v/>
      </c>
      <c r="X60" s="26">
        <f>IF(OR(R60="",V60&lt;=0),"",R60/V60-1)</f>
        <v/>
      </c>
      <c r="Y60" s="29">
        <f>IF('历史数据'!Y74="","",'历史数据'!Y74)</f>
        <v/>
      </c>
      <c r="Z60" s="24">
        <f>IF('历史数据'!Z74="","",'历史数据'!Z74/100000000)</f>
        <v/>
      </c>
      <c r="AA60" s="24">
        <f>IF('历史数据'!AA74="","",'历史数据'!AA74/100000000)</f>
        <v/>
      </c>
      <c r="AB60" s="24">
        <f>IF('历史数据'!AB74="","",'历史数据'!AB74/100000000)</f>
        <v/>
      </c>
      <c r="AC60" s="13" t="inlineStr">
        <is>
          <t>近五个交易日资金净额:optional_missing；近一月资金净额（最近22个交易日）:optional_missing</t>
        </is>
      </c>
      <c r="AD60" s="13" t="inlineStr">
        <is>
          <t>SUCCESS</t>
        </is>
      </c>
    </row>
    <row r="61" ht="21" customHeight="1" s="3">
      <c r="A61" s="12" t="inlineStr">
        <is>
          <t>920651</t>
        </is>
      </c>
      <c r="B61" s="13" t="inlineStr">
        <is>
          <t>天罡股份</t>
        </is>
      </c>
      <c r="C61" s="25">
        <f>IF('历史数据'!D91="","",'历史数据'!D91)</f>
        <v/>
      </c>
      <c r="D61" s="13">
        <f>IF('历史数据'!E91="","",'历史数据'!E91)</f>
        <v/>
      </c>
      <c r="E61" s="24">
        <f>IF('历史数据'!G91="","",'历史数据'!G91/100000000)</f>
        <v/>
      </c>
      <c r="F61" s="26">
        <f>IF(OR('历史数据'!G91="",'历史数据'!H91&lt;=0),"",'历史数据'!G91/'历史数据'!H91-1)</f>
        <v/>
      </c>
      <c r="G61" s="26">
        <f>IF(OR('历史数据'!G91&lt;=0,'历史数据'!I91&lt;=0),"",POWER('历史数据'!G91/'历史数据'!I91,1/3)-1)</f>
        <v/>
      </c>
      <c r="H61" s="26">
        <f>IF(OR('历史数据'!G91&lt;=0,'历史数据'!J91=""),"",('历史数据'!G91-'历史数据'!J91)/'历史数据'!G91)</f>
        <v/>
      </c>
      <c r="I61" s="27">
        <f>IF(OR(H61="",'历史数据'!H91&lt;=0,'历史数据'!K91=""),"",(H61-('历史数据'!H91-'历史数据'!K91)/'历史数据'!H91)*100)</f>
        <v/>
      </c>
      <c r="J61" s="27">
        <f>IF(OR(H61="",'历史数据'!I91&lt;=0,'历史数据'!L91=""),"",(H61-('历史数据'!I91-'历史数据'!L91)/'历史数据'!I91)*100)</f>
        <v/>
      </c>
      <c r="K61" s="24">
        <f>IF('历史数据'!M91="","",'历史数据'!M91/100000000)</f>
        <v/>
      </c>
      <c r="L61" s="26">
        <f>IF(OR('历史数据'!G91=0,'历史数据'!M91=""),"",'历史数据'!M91/'历史数据'!G91)</f>
        <v/>
      </c>
      <c r="M61" s="26">
        <f>IF(OR('历史数据'!M91="",'历史数据'!N91=0),"",('历史数据'!M91-'历史数据'!N91)/ABS('历史数据'!N91))</f>
        <v/>
      </c>
      <c r="N61" s="26">
        <f>IF(OR('历史数据'!M91&lt;=0,'历史数据'!O91&lt;=0),"",POWER('历史数据'!M91/'历史数据'!O91,1/3)-1)</f>
        <v/>
      </c>
      <c r="O61" s="24">
        <f>IF('历史数据'!P91="","",'历史数据'!P91/100000000)</f>
        <v/>
      </c>
      <c r="P61" s="26">
        <f>IF(OR('历史数据'!P91="",'历史数据'!Q91=0),"",('历史数据'!P91-'历史数据'!Q91)/ABS('历史数据'!Q91))</f>
        <v/>
      </c>
      <c r="Q61" s="26">
        <f>IF(OR('历史数据'!P91&lt;=0,'历史数据'!R91&lt;=0),"",POWER('历史数据'!P91/'历史数据'!R91,1/3)-1)</f>
        <v/>
      </c>
      <c r="R61" s="24">
        <f>IF('历史数据'!S91="","",'历史数据'!S91/100000000)</f>
        <v/>
      </c>
      <c r="S61" s="25">
        <f>IF('历史数据'!T91="","",'历史数据'!T91)</f>
        <v/>
      </c>
      <c r="T61" s="28">
        <f>IF('历史数据'!U91="","",'历史数据'!U91)</f>
        <v/>
      </c>
      <c r="U61" s="28">
        <f>IF('历史数据'!V91="","",'历史数据'!V91/100000000)</f>
        <v/>
      </c>
      <c r="V61" s="24">
        <f>IF('历史数据'!W91="","",'历史数据'!W91/100000000)</f>
        <v/>
      </c>
      <c r="W61" s="28">
        <f>IF('历史数据'!X91="","",'历史数据'!X91)</f>
        <v/>
      </c>
      <c r="X61" s="26">
        <f>IF(OR(R61="",V61&lt;=0),"",R61/V61-1)</f>
        <v/>
      </c>
      <c r="Y61" s="29">
        <f>IF('历史数据'!Y91="","",'历史数据'!Y91)</f>
        <v/>
      </c>
      <c r="Z61" s="24">
        <f>IF('历史数据'!Z91="","",'历史数据'!Z91/100000000)</f>
        <v/>
      </c>
      <c r="AA61" s="24">
        <f>IF('历史数据'!AA91="","",'历史数据'!AA91/100000000)</f>
        <v/>
      </c>
      <c r="AB61" s="24">
        <f>IF('历史数据'!AB91="","",'历史数据'!AB91/100000000)</f>
        <v/>
      </c>
      <c r="AC61" s="13" t="inlineStr">
        <is>
          <t>近五个交易日资金净额:optional_missing；近一月资金净额（最近22个交易日）:optional_missing</t>
        </is>
      </c>
      <c r="AD61" s="13" t="inlineStr">
        <is>
          <t>SUCCESS</t>
        </is>
      </c>
    </row>
    <row r="62" ht="21" customHeight="1" s="3">
      <c r="A62" s="12" t="inlineStr">
        <is>
          <t>920665</t>
        </is>
      </c>
      <c r="B62" s="13" t="inlineStr">
        <is>
          <t>科强股份</t>
        </is>
      </c>
      <c r="C62" s="25">
        <f>IF('历史数据'!D87="","",'历史数据'!D87)</f>
        <v/>
      </c>
      <c r="D62" s="13">
        <f>IF('历史数据'!E87="","",'历史数据'!E87)</f>
        <v/>
      </c>
      <c r="E62" s="24">
        <f>IF('历史数据'!G87="","",'历史数据'!G87/100000000)</f>
        <v/>
      </c>
      <c r="F62" s="26">
        <f>IF(OR('历史数据'!G87="",'历史数据'!H87&lt;=0),"",'历史数据'!G87/'历史数据'!H87-1)</f>
        <v/>
      </c>
      <c r="G62" s="26">
        <f>IF(OR('历史数据'!G87&lt;=0,'历史数据'!I87&lt;=0),"",POWER('历史数据'!G87/'历史数据'!I87,1/3)-1)</f>
        <v/>
      </c>
      <c r="H62" s="26">
        <f>IF(OR('历史数据'!G87&lt;=0,'历史数据'!J87=""),"",('历史数据'!G87-'历史数据'!J87)/'历史数据'!G87)</f>
        <v/>
      </c>
      <c r="I62" s="27">
        <f>IF(OR(H62="",'历史数据'!H87&lt;=0,'历史数据'!K87=""),"",(H62-('历史数据'!H87-'历史数据'!K87)/'历史数据'!H87)*100)</f>
        <v/>
      </c>
      <c r="J62" s="27">
        <f>IF(OR(H62="",'历史数据'!I87&lt;=0,'历史数据'!L87=""),"",(H62-('历史数据'!I87-'历史数据'!L87)/'历史数据'!I87)*100)</f>
        <v/>
      </c>
      <c r="K62" s="24">
        <f>IF('历史数据'!M87="","",'历史数据'!M87/100000000)</f>
        <v/>
      </c>
      <c r="L62" s="26">
        <f>IF(OR('历史数据'!G87=0,'历史数据'!M87=""),"",'历史数据'!M87/'历史数据'!G87)</f>
        <v/>
      </c>
      <c r="M62" s="26">
        <f>IF(OR('历史数据'!M87="",'历史数据'!N87=0),"",('历史数据'!M87-'历史数据'!N87)/ABS('历史数据'!N87))</f>
        <v/>
      </c>
      <c r="N62" s="26">
        <f>IF(OR('历史数据'!M87&lt;=0,'历史数据'!O87&lt;=0),"",POWER('历史数据'!M87/'历史数据'!O87,1/3)-1)</f>
        <v/>
      </c>
      <c r="O62" s="24">
        <f>IF('历史数据'!P87="","",'历史数据'!P87/100000000)</f>
        <v/>
      </c>
      <c r="P62" s="26">
        <f>IF(OR('历史数据'!P87="",'历史数据'!Q87=0),"",('历史数据'!P87-'历史数据'!Q87)/ABS('历史数据'!Q87))</f>
        <v/>
      </c>
      <c r="Q62" s="26">
        <f>IF(OR('历史数据'!P87&lt;=0,'历史数据'!R87&lt;=0),"",POWER('历史数据'!P87/'历史数据'!R87,1/3)-1)</f>
        <v/>
      </c>
      <c r="R62" s="24">
        <f>IF('历史数据'!S87="","",'历史数据'!S87/100000000)</f>
        <v/>
      </c>
      <c r="S62" s="25">
        <f>IF('历史数据'!T87="","",'历史数据'!T87)</f>
        <v/>
      </c>
      <c r="T62" s="28">
        <f>IF('历史数据'!U87="","",'历史数据'!U87)</f>
        <v/>
      </c>
      <c r="U62" s="28">
        <f>IF('历史数据'!V87="","",'历史数据'!V87/100000000)</f>
        <v/>
      </c>
      <c r="V62" s="24">
        <f>IF('历史数据'!W87="","",'历史数据'!W87/100000000)</f>
        <v/>
      </c>
      <c r="W62" s="28">
        <f>IF('历史数据'!X87="","",'历史数据'!X87)</f>
        <v/>
      </c>
      <c r="X62" s="26">
        <f>IF(OR(R62="",V62&lt;=0),"",R62/V62-1)</f>
        <v/>
      </c>
      <c r="Y62" s="29">
        <f>IF('历史数据'!Y87="","",'历史数据'!Y87)</f>
        <v/>
      </c>
      <c r="Z62" s="24">
        <f>IF('历史数据'!Z87="","",'历史数据'!Z87/100000000)</f>
        <v/>
      </c>
      <c r="AA62" s="24">
        <f>IF('历史数据'!AA87="","",'历史数据'!AA87/100000000)</f>
        <v/>
      </c>
      <c r="AB62" s="24">
        <f>IF('历史数据'!AB87="","",'历史数据'!AB87/100000000)</f>
        <v/>
      </c>
      <c r="AC62" s="13" t="inlineStr">
        <is>
          <t>近五个交易日资金净额:optional_missing；近一月资金净额（最近22个交易日）:optional_missing</t>
        </is>
      </c>
      <c r="AD62" s="13" t="inlineStr">
        <is>
          <t>SUCCESS</t>
        </is>
      </c>
    </row>
    <row r="63" ht="21" customHeight="1" s="3">
      <c r="A63" s="12" t="inlineStr">
        <is>
          <t>920953</t>
        </is>
      </c>
      <c r="B63" s="13" t="inlineStr">
        <is>
          <t>国子软件</t>
        </is>
      </c>
      <c r="C63" s="25">
        <f>IF('历史数据'!D14="","",'历史数据'!D14)</f>
        <v/>
      </c>
      <c r="D63" s="13">
        <f>IF('历史数据'!E14="","",'历史数据'!E14)</f>
        <v/>
      </c>
      <c r="E63" s="24">
        <f>IF('历史数据'!G14="","",'历史数据'!G14/100000000)</f>
        <v/>
      </c>
      <c r="F63" s="26">
        <f>IF(OR('历史数据'!G14="",'历史数据'!H14&lt;=0),"",'历史数据'!G14/'历史数据'!H14-1)</f>
        <v/>
      </c>
      <c r="G63" s="26">
        <f>IF(OR('历史数据'!G14&lt;=0,'历史数据'!I14&lt;=0),"",POWER('历史数据'!G14/'历史数据'!I14,1/3)-1)</f>
        <v/>
      </c>
      <c r="H63" s="26">
        <f>IF(OR('历史数据'!G14&lt;=0,'历史数据'!J14=""),"",('历史数据'!G14-'历史数据'!J14)/'历史数据'!G14)</f>
        <v/>
      </c>
      <c r="I63" s="27">
        <f>IF(OR(H63="",'历史数据'!H14&lt;=0,'历史数据'!K14=""),"",(H63-('历史数据'!H14-'历史数据'!K14)/'历史数据'!H14)*100)</f>
        <v/>
      </c>
      <c r="J63" s="27">
        <f>IF(OR(H63="",'历史数据'!I14&lt;=0,'历史数据'!L14=""),"",(H63-('历史数据'!I14-'历史数据'!L14)/'历史数据'!I14)*100)</f>
        <v/>
      </c>
      <c r="K63" s="24">
        <f>IF('历史数据'!M14="","",'历史数据'!M14/100000000)</f>
        <v/>
      </c>
      <c r="L63" s="26">
        <f>IF(OR('历史数据'!G14=0,'历史数据'!M14=""),"",'历史数据'!M14/'历史数据'!G14)</f>
        <v/>
      </c>
      <c r="M63" s="26">
        <f>IF(OR('历史数据'!M14="",'历史数据'!N14=0),"",('历史数据'!M14-'历史数据'!N14)/ABS('历史数据'!N14))</f>
        <v/>
      </c>
      <c r="N63" s="26">
        <f>IF(OR('历史数据'!M14&lt;=0,'历史数据'!O14&lt;=0),"",POWER('历史数据'!M14/'历史数据'!O14,1/3)-1)</f>
        <v/>
      </c>
      <c r="O63" s="24">
        <f>IF('历史数据'!P14="","",'历史数据'!P14/100000000)</f>
        <v/>
      </c>
      <c r="P63" s="26">
        <f>IF(OR('历史数据'!P14="",'历史数据'!Q14=0),"",('历史数据'!P14-'历史数据'!Q14)/ABS('历史数据'!Q14))</f>
        <v/>
      </c>
      <c r="Q63" s="26">
        <f>IF(OR('历史数据'!P14&lt;=0,'历史数据'!R14&lt;=0),"",POWER('历史数据'!P14/'历史数据'!R14,1/3)-1)</f>
        <v/>
      </c>
      <c r="R63" s="24">
        <f>IF('历史数据'!S14="","",'历史数据'!S14/100000000)</f>
        <v/>
      </c>
      <c r="S63" s="25">
        <f>IF('历史数据'!T14="","",'历史数据'!T14)</f>
        <v/>
      </c>
      <c r="T63" s="28">
        <f>IF('历史数据'!U14="","",'历史数据'!U14)</f>
        <v/>
      </c>
      <c r="U63" s="28">
        <f>IF('历史数据'!V14="","",'历史数据'!V14/100000000)</f>
        <v/>
      </c>
      <c r="V63" s="24">
        <f>IF('历史数据'!W14="","",'历史数据'!W14/100000000)</f>
        <v/>
      </c>
      <c r="W63" s="28">
        <f>IF('历史数据'!X14="","",'历史数据'!X14)</f>
        <v/>
      </c>
      <c r="X63" s="26">
        <f>IF(OR(R63="",V63&lt;=0),"",R63/V63-1)</f>
        <v/>
      </c>
      <c r="Y63" s="29">
        <f>IF('历史数据'!Y14="","",'历史数据'!Y14)</f>
        <v/>
      </c>
      <c r="Z63" s="24">
        <f>IF('历史数据'!Z14="","",'历史数据'!Z14/100000000)</f>
        <v/>
      </c>
      <c r="AA63" s="24">
        <f>IF('历史数据'!AA14="","",'历史数据'!AA14/100000000)</f>
        <v/>
      </c>
      <c r="AB63" s="24">
        <f>IF('历史数据'!AB14="","",'历史数据'!AB14/100000000)</f>
        <v/>
      </c>
      <c r="AC63" s="13" t="inlineStr">
        <is>
          <t>近五个交易日资金净额:optional_missing；近一月资金净额（最近22个交易日）:optional_missing</t>
        </is>
      </c>
      <c r="AD63" s="13" t="inlineStr">
        <is>
          <t>SUCCESS</t>
        </is>
      </c>
    </row>
    <row r="64" ht="21" customHeight="1" s="3">
      <c r="A64" s="12" t="inlineStr">
        <is>
          <t>920931</t>
        </is>
      </c>
      <c r="B64" s="13" t="inlineStr">
        <is>
          <t>无锡鼎邦</t>
        </is>
      </c>
      <c r="C64" s="25">
        <f>IF('历史数据'!D20="","",'历史数据'!D20)</f>
        <v/>
      </c>
      <c r="D64" s="13">
        <f>IF('历史数据'!E20="","",'历史数据'!E20)</f>
        <v/>
      </c>
      <c r="E64" s="24">
        <f>IF('历史数据'!G20="","",'历史数据'!G20/100000000)</f>
        <v/>
      </c>
      <c r="F64" s="26">
        <f>IF(OR('历史数据'!G20="",'历史数据'!H20&lt;=0),"",'历史数据'!G20/'历史数据'!H20-1)</f>
        <v/>
      </c>
      <c r="G64" s="26">
        <f>IF(OR('历史数据'!G20&lt;=0,'历史数据'!I20&lt;=0),"",POWER('历史数据'!G20/'历史数据'!I20,1/3)-1)</f>
        <v/>
      </c>
      <c r="H64" s="26">
        <f>IF(OR('历史数据'!G20&lt;=0,'历史数据'!J20=""),"",('历史数据'!G20-'历史数据'!J20)/'历史数据'!G20)</f>
        <v/>
      </c>
      <c r="I64" s="27">
        <f>IF(OR(H64="",'历史数据'!H20&lt;=0,'历史数据'!K20=""),"",(H64-('历史数据'!H20-'历史数据'!K20)/'历史数据'!H20)*100)</f>
        <v/>
      </c>
      <c r="J64" s="27">
        <f>IF(OR(H64="",'历史数据'!I20&lt;=0,'历史数据'!L20=""),"",(H64-('历史数据'!I20-'历史数据'!L20)/'历史数据'!I20)*100)</f>
        <v/>
      </c>
      <c r="K64" s="24">
        <f>IF('历史数据'!M20="","",'历史数据'!M20/100000000)</f>
        <v/>
      </c>
      <c r="L64" s="26">
        <f>IF(OR('历史数据'!G20=0,'历史数据'!M20=""),"",'历史数据'!M20/'历史数据'!G20)</f>
        <v/>
      </c>
      <c r="M64" s="26">
        <f>IF(OR('历史数据'!M20="",'历史数据'!N20=0),"",('历史数据'!M20-'历史数据'!N20)/ABS('历史数据'!N20))</f>
        <v/>
      </c>
      <c r="N64" s="26">
        <f>IF(OR('历史数据'!M20&lt;=0,'历史数据'!O20&lt;=0),"",POWER('历史数据'!M20/'历史数据'!O20,1/3)-1)</f>
        <v/>
      </c>
      <c r="O64" s="24">
        <f>IF('历史数据'!P20="","",'历史数据'!P20/100000000)</f>
        <v/>
      </c>
      <c r="P64" s="26">
        <f>IF(OR('历史数据'!P20="",'历史数据'!Q20=0),"",('历史数据'!P20-'历史数据'!Q20)/ABS('历史数据'!Q20))</f>
        <v/>
      </c>
      <c r="Q64" s="26">
        <f>IF(OR('历史数据'!P20&lt;=0,'历史数据'!R20&lt;=0),"",POWER('历史数据'!P20/'历史数据'!R20,1/3)-1)</f>
        <v/>
      </c>
      <c r="R64" s="24">
        <f>IF('历史数据'!S20="","",'历史数据'!S20/100000000)</f>
        <v/>
      </c>
      <c r="S64" s="25">
        <f>IF('历史数据'!T20="","",'历史数据'!T20)</f>
        <v/>
      </c>
      <c r="T64" s="28">
        <f>IF('历史数据'!U20="","",'历史数据'!U20)</f>
        <v/>
      </c>
      <c r="U64" s="28">
        <f>IF('历史数据'!V20="","",'历史数据'!V20/100000000)</f>
        <v/>
      </c>
      <c r="V64" s="24">
        <f>IF('历史数据'!W20="","",'历史数据'!W20/100000000)</f>
        <v/>
      </c>
      <c r="W64" s="28">
        <f>IF('历史数据'!X20="","",'历史数据'!X20)</f>
        <v/>
      </c>
      <c r="X64" s="26">
        <f>IF(OR(R64="",V64&lt;=0),"",R64/V64-1)</f>
        <v/>
      </c>
      <c r="Y64" s="29">
        <f>IF('历史数据'!Y20="","",'历史数据'!Y20)</f>
        <v/>
      </c>
      <c r="Z64" s="24">
        <f>IF('历史数据'!Z20="","",'历史数据'!Z20/100000000)</f>
        <v/>
      </c>
      <c r="AA64" s="24">
        <f>IF('历史数据'!AA20="","",'历史数据'!AA20/100000000)</f>
        <v/>
      </c>
      <c r="AB64" s="24">
        <f>IF('历史数据'!AB20="","",'历史数据'!AB20/100000000)</f>
        <v/>
      </c>
      <c r="AC64" s="13" t="inlineStr">
        <is>
          <t>近五个交易日资金净额:optional_missing；近一月资金净额（最近22个交易日）:optional_missing</t>
        </is>
      </c>
      <c r="AD64" s="13" t="inlineStr">
        <is>
          <t>SUCCESS</t>
        </is>
      </c>
    </row>
    <row r="65" ht="21" customHeight="1" s="3">
      <c r="A65" s="12" t="inlineStr">
        <is>
          <t>920992</t>
        </is>
      </c>
      <c r="B65" s="13" t="inlineStr">
        <is>
          <t>中科美菱</t>
        </is>
      </c>
      <c r="C65" s="25">
        <f>IF('历史数据'!D2="","",'历史数据'!D2)</f>
        <v/>
      </c>
      <c r="D65" s="13">
        <f>IF('历史数据'!E2="","",'历史数据'!E2)</f>
        <v/>
      </c>
      <c r="E65" s="24">
        <f>IF('历史数据'!G2="","",'历史数据'!G2/100000000)</f>
        <v/>
      </c>
      <c r="F65" s="26">
        <f>IF(OR('历史数据'!G2="",'历史数据'!H2&lt;=0),"",'历史数据'!G2/'历史数据'!H2-1)</f>
        <v/>
      </c>
      <c r="G65" s="26">
        <f>IF(OR('历史数据'!G2&lt;=0,'历史数据'!I2&lt;=0),"",POWER('历史数据'!G2/'历史数据'!I2,1/3)-1)</f>
        <v/>
      </c>
      <c r="H65" s="26">
        <f>IF(OR('历史数据'!G2&lt;=0,'历史数据'!J2=""),"",('历史数据'!G2-'历史数据'!J2)/'历史数据'!G2)</f>
        <v/>
      </c>
      <c r="I65" s="27">
        <f>IF(OR(H65="",'历史数据'!H2&lt;=0,'历史数据'!K2=""),"",(H65-('历史数据'!H2-'历史数据'!K2)/'历史数据'!H2)*100)</f>
        <v/>
      </c>
      <c r="J65" s="27">
        <f>IF(OR(H65="",'历史数据'!I2&lt;=0,'历史数据'!L2=""),"",(H65-('历史数据'!I2-'历史数据'!L2)/'历史数据'!I2)*100)</f>
        <v/>
      </c>
      <c r="K65" s="24">
        <f>IF('历史数据'!M2="","",'历史数据'!M2/100000000)</f>
        <v/>
      </c>
      <c r="L65" s="26">
        <f>IF(OR('历史数据'!G2=0,'历史数据'!M2=""),"",'历史数据'!M2/'历史数据'!G2)</f>
        <v/>
      </c>
      <c r="M65" s="26">
        <f>IF(OR('历史数据'!M2="",'历史数据'!N2=0),"",('历史数据'!M2-'历史数据'!N2)/ABS('历史数据'!N2))</f>
        <v/>
      </c>
      <c r="N65" s="26">
        <f>IF(OR('历史数据'!M2&lt;=0,'历史数据'!O2&lt;=0),"",POWER('历史数据'!M2/'历史数据'!O2,1/3)-1)</f>
        <v/>
      </c>
      <c r="O65" s="24">
        <f>IF('历史数据'!P2="","",'历史数据'!P2/100000000)</f>
        <v/>
      </c>
      <c r="P65" s="26">
        <f>IF(OR('历史数据'!P2="",'历史数据'!Q2=0),"",('历史数据'!P2-'历史数据'!Q2)/ABS('历史数据'!Q2))</f>
        <v/>
      </c>
      <c r="Q65" s="26">
        <f>IF(OR('历史数据'!P2&lt;=0,'历史数据'!R2&lt;=0),"",POWER('历史数据'!P2/'历史数据'!R2,1/3)-1)</f>
        <v/>
      </c>
      <c r="R65" s="24">
        <f>IF('历史数据'!S2="","",'历史数据'!S2/100000000)</f>
        <v/>
      </c>
      <c r="S65" s="25">
        <f>IF('历史数据'!T2="","",'历史数据'!T2)</f>
        <v/>
      </c>
      <c r="T65" s="28">
        <f>IF('历史数据'!U2="","",'历史数据'!U2)</f>
        <v/>
      </c>
      <c r="U65" s="28">
        <f>IF('历史数据'!V2="","",'历史数据'!V2/100000000)</f>
        <v/>
      </c>
      <c r="V65" s="24">
        <f>IF('历史数据'!W2="","",'历史数据'!W2/100000000)</f>
        <v/>
      </c>
      <c r="W65" s="28">
        <f>IF('历史数据'!X2="","",'历史数据'!X2)</f>
        <v/>
      </c>
      <c r="X65" s="26">
        <f>IF(OR(R65="",V65&lt;=0),"",R65/V65-1)</f>
        <v/>
      </c>
      <c r="Y65" s="29">
        <f>IF('历史数据'!Y2="","",'历史数据'!Y2)</f>
        <v/>
      </c>
      <c r="Z65" s="24">
        <f>IF('历史数据'!Z2="","",'历史数据'!Z2/100000000)</f>
        <v/>
      </c>
      <c r="AA65" s="24">
        <f>IF('历史数据'!AA2="","",'历史数据'!AA2/100000000)</f>
        <v/>
      </c>
      <c r="AB65" s="24">
        <f>IF('历史数据'!AB2="","",'历史数据'!AB2/100000000)</f>
        <v/>
      </c>
      <c r="AC65" s="13" t="inlineStr">
        <is>
          <t>近五个交易日资金净额:optional_missing；近一月资金净额（最近22个交易日）:optional_missing</t>
        </is>
      </c>
      <c r="AD65" s="13" t="inlineStr">
        <is>
          <t>SUCCESS</t>
        </is>
      </c>
    </row>
    <row r="66" ht="21" customHeight="1" s="3">
      <c r="A66" s="12" t="inlineStr">
        <is>
          <t>920834</t>
        </is>
      </c>
      <c r="B66" s="13" t="inlineStr">
        <is>
          <t>三维装备</t>
        </is>
      </c>
      <c r="C66" s="25">
        <f>IF('历史数据'!D41="","",'历史数据'!D41)</f>
        <v/>
      </c>
      <c r="D66" s="13">
        <f>IF('历史数据'!E41="","",'历史数据'!E41)</f>
        <v/>
      </c>
      <c r="E66" s="24">
        <f>IF('历史数据'!G41="","",'历史数据'!G41/100000000)</f>
        <v/>
      </c>
      <c r="F66" s="26">
        <f>IF(OR('历史数据'!G41="",'历史数据'!H41&lt;=0),"",'历史数据'!G41/'历史数据'!H41-1)</f>
        <v/>
      </c>
      <c r="G66" s="26">
        <f>IF(OR('历史数据'!G41&lt;=0,'历史数据'!I41&lt;=0),"",POWER('历史数据'!G41/'历史数据'!I41,1/3)-1)</f>
        <v/>
      </c>
      <c r="H66" s="26">
        <f>IF(OR('历史数据'!G41&lt;=0,'历史数据'!J41=""),"",('历史数据'!G41-'历史数据'!J41)/'历史数据'!G41)</f>
        <v/>
      </c>
      <c r="I66" s="27">
        <f>IF(OR(H66="",'历史数据'!H41&lt;=0,'历史数据'!K41=""),"",(H66-('历史数据'!H41-'历史数据'!K41)/'历史数据'!H41)*100)</f>
        <v/>
      </c>
      <c r="J66" s="27">
        <f>IF(OR(H66="",'历史数据'!I41&lt;=0,'历史数据'!L41=""),"",(H66-('历史数据'!I41-'历史数据'!L41)/'历史数据'!I41)*100)</f>
        <v/>
      </c>
      <c r="K66" s="24">
        <f>IF('历史数据'!M41="","",'历史数据'!M41/100000000)</f>
        <v/>
      </c>
      <c r="L66" s="26">
        <f>IF(OR('历史数据'!G41=0,'历史数据'!M41=""),"",'历史数据'!M41/'历史数据'!G41)</f>
        <v/>
      </c>
      <c r="M66" s="26">
        <f>IF(OR('历史数据'!M41="",'历史数据'!N41=0),"",('历史数据'!M41-'历史数据'!N41)/ABS('历史数据'!N41))</f>
        <v/>
      </c>
      <c r="N66" s="26">
        <f>IF(OR('历史数据'!M41&lt;=0,'历史数据'!O41&lt;=0),"",POWER('历史数据'!M41/'历史数据'!O41,1/3)-1)</f>
        <v/>
      </c>
      <c r="O66" s="24">
        <f>IF('历史数据'!P41="","",'历史数据'!P41/100000000)</f>
        <v/>
      </c>
      <c r="P66" s="26">
        <f>IF(OR('历史数据'!P41="",'历史数据'!Q41=0),"",('历史数据'!P41-'历史数据'!Q41)/ABS('历史数据'!Q41))</f>
        <v/>
      </c>
      <c r="Q66" s="26">
        <f>IF(OR('历史数据'!P41&lt;=0,'历史数据'!R41&lt;=0),"",POWER('历史数据'!P41/'历史数据'!R41,1/3)-1)</f>
        <v/>
      </c>
      <c r="R66" s="24">
        <f>IF('历史数据'!S41="","",'历史数据'!S41/100000000)</f>
        <v/>
      </c>
      <c r="S66" s="25">
        <f>IF('历史数据'!T41="","",'历史数据'!T41)</f>
        <v/>
      </c>
      <c r="T66" s="28">
        <f>IF('历史数据'!U41="","",'历史数据'!U41)</f>
        <v/>
      </c>
      <c r="U66" s="28">
        <f>IF('历史数据'!V41="","",'历史数据'!V41/100000000)</f>
        <v/>
      </c>
      <c r="V66" s="24">
        <f>IF('历史数据'!W41="","",'历史数据'!W41/100000000)</f>
        <v/>
      </c>
      <c r="W66" s="28">
        <f>IF('历史数据'!X41="","",'历史数据'!X41)</f>
        <v/>
      </c>
      <c r="X66" s="26">
        <f>IF(OR(R66="",V66&lt;=0),"",R66/V66-1)</f>
        <v/>
      </c>
      <c r="Y66" s="29">
        <f>IF('历史数据'!Y41="","",'历史数据'!Y41)</f>
        <v/>
      </c>
      <c r="Z66" s="24">
        <f>IF('历史数据'!Z41="","",'历史数据'!Z41/100000000)</f>
        <v/>
      </c>
      <c r="AA66" s="24">
        <f>IF('历史数据'!AA41="","",'历史数据'!AA41/100000000)</f>
        <v/>
      </c>
      <c r="AB66" s="24">
        <f>IF('历史数据'!AB41="","",'历史数据'!AB41/100000000)</f>
        <v/>
      </c>
      <c r="AC66" s="13" t="inlineStr">
        <is>
          <t>近五个交易日资金净额:optional_missing；近一月资金净额（最近22个交易日）:optional_missing</t>
        </is>
      </c>
      <c r="AD66" s="13" t="inlineStr">
        <is>
          <t>SUCCESS</t>
        </is>
      </c>
    </row>
    <row r="67" ht="21" customHeight="1" s="3">
      <c r="A67" s="12" t="inlineStr">
        <is>
          <t>920925</t>
        </is>
      </c>
      <c r="B67" s="13" t="inlineStr">
        <is>
          <t>锦好医疗</t>
        </is>
      </c>
      <c r="C67" s="25">
        <f>IF('历史数据'!D22="","",'历史数据'!D22)</f>
        <v/>
      </c>
      <c r="D67" s="13">
        <f>IF('历史数据'!E22="","",'历史数据'!E22)</f>
        <v/>
      </c>
      <c r="E67" s="24">
        <f>IF('历史数据'!G22="","",'历史数据'!G22/100000000)</f>
        <v/>
      </c>
      <c r="F67" s="26">
        <f>IF(OR('历史数据'!G22="",'历史数据'!H22&lt;=0),"",'历史数据'!G22/'历史数据'!H22-1)</f>
        <v/>
      </c>
      <c r="G67" s="26">
        <f>IF(OR('历史数据'!G22&lt;=0,'历史数据'!I22&lt;=0),"",POWER('历史数据'!G22/'历史数据'!I22,1/3)-1)</f>
        <v/>
      </c>
      <c r="H67" s="26">
        <f>IF(OR('历史数据'!G22&lt;=0,'历史数据'!J22=""),"",('历史数据'!G22-'历史数据'!J22)/'历史数据'!G22)</f>
        <v/>
      </c>
      <c r="I67" s="27">
        <f>IF(OR(H67="",'历史数据'!H22&lt;=0,'历史数据'!K22=""),"",(H67-('历史数据'!H22-'历史数据'!K22)/'历史数据'!H22)*100)</f>
        <v/>
      </c>
      <c r="J67" s="27">
        <f>IF(OR(H67="",'历史数据'!I22&lt;=0,'历史数据'!L22=""),"",(H67-('历史数据'!I22-'历史数据'!L22)/'历史数据'!I22)*100)</f>
        <v/>
      </c>
      <c r="K67" s="24">
        <f>IF('历史数据'!M22="","",'历史数据'!M22/100000000)</f>
        <v/>
      </c>
      <c r="L67" s="26">
        <f>IF(OR('历史数据'!G22=0,'历史数据'!M22=""),"",'历史数据'!M22/'历史数据'!G22)</f>
        <v/>
      </c>
      <c r="M67" s="26">
        <f>IF(OR('历史数据'!M22="",'历史数据'!N22=0),"",('历史数据'!M22-'历史数据'!N22)/ABS('历史数据'!N22))</f>
        <v/>
      </c>
      <c r="N67" s="26">
        <f>IF(OR('历史数据'!M22&lt;=0,'历史数据'!O22&lt;=0),"",POWER('历史数据'!M22/'历史数据'!O22,1/3)-1)</f>
        <v/>
      </c>
      <c r="O67" s="24">
        <f>IF('历史数据'!P22="","",'历史数据'!P22/100000000)</f>
        <v/>
      </c>
      <c r="P67" s="26">
        <f>IF(OR('历史数据'!P22="",'历史数据'!Q22=0),"",('历史数据'!P22-'历史数据'!Q22)/ABS('历史数据'!Q22))</f>
        <v/>
      </c>
      <c r="Q67" s="26">
        <f>IF(OR('历史数据'!P22&lt;=0,'历史数据'!R22&lt;=0),"",POWER('历史数据'!P22/'历史数据'!R22,1/3)-1)</f>
        <v/>
      </c>
      <c r="R67" s="24">
        <f>IF('历史数据'!S22="","",'历史数据'!S22/100000000)</f>
        <v/>
      </c>
      <c r="S67" s="25">
        <f>IF('历史数据'!T22="","",'历史数据'!T22)</f>
        <v/>
      </c>
      <c r="T67" s="28">
        <f>IF('历史数据'!U22="","",'历史数据'!U22)</f>
        <v/>
      </c>
      <c r="U67" s="28">
        <f>IF('历史数据'!V22="","",'历史数据'!V22/100000000)</f>
        <v/>
      </c>
      <c r="V67" s="24">
        <f>IF('历史数据'!W22="","",'历史数据'!W22/100000000)</f>
        <v/>
      </c>
      <c r="W67" s="28">
        <f>IF('历史数据'!X22="","",'历史数据'!X22)</f>
        <v/>
      </c>
      <c r="X67" s="26">
        <f>IF(OR(R67="",V67&lt;=0),"",R67/V67-1)</f>
        <v/>
      </c>
      <c r="Y67" s="29">
        <f>IF('历史数据'!Y22="","",'历史数据'!Y22)</f>
        <v/>
      </c>
      <c r="Z67" s="24">
        <f>IF('历史数据'!Z22="","",'历史数据'!Z22/100000000)</f>
        <v/>
      </c>
      <c r="AA67" s="24">
        <f>IF('历史数据'!AA22="","",'历史数据'!AA22/100000000)</f>
        <v/>
      </c>
      <c r="AB67" s="24">
        <f>IF('历史数据'!AB22="","",'历史数据'!AB22/100000000)</f>
        <v/>
      </c>
      <c r="AC67" s="13" t="inlineStr">
        <is>
          <t>近五个交易日资金净额:optional_missing；近一月资金净额（最近22个交易日）:optional_missing</t>
        </is>
      </c>
      <c r="AD67" s="13" t="inlineStr">
        <is>
          <t>SUCCESS</t>
        </is>
      </c>
    </row>
    <row r="68" ht="21" customHeight="1" s="3">
      <c r="A68" s="12" t="inlineStr">
        <is>
          <t>920976</t>
        </is>
      </c>
      <c r="B68" s="13" t="inlineStr">
        <is>
          <t>视声智能</t>
        </is>
      </c>
      <c r="C68" s="25">
        <f>IF('历史数据'!D7="","",'历史数据'!D7)</f>
        <v/>
      </c>
      <c r="D68" s="13">
        <f>IF('历史数据'!E7="","",'历史数据'!E7)</f>
        <v/>
      </c>
      <c r="E68" s="24">
        <f>IF('历史数据'!G7="","",'历史数据'!G7/100000000)</f>
        <v/>
      </c>
      <c r="F68" s="26">
        <f>IF(OR('历史数据'!G7="",'历史数据'!H7&lt;=0),"",'历史数据'!G7/'历史数据'!H7-1)</f>
        <v/>
      </c>
      <c r="G68" s="26">
        <f>IF(OR('历史数据'!G7&lt;=0,'历史数据'!I7&lt;=0),"",POWER('历史数据'!G7/'历史数据'!I7,1/3)-1)</f>
        <v/>
      </c>
      <c r="H68" s="26">
        <f>IF(OR('历史数据'!G7&lt;=0,'历史数据'!J7=""),"",('历史数据'!G7-'历史数据'!J7)/'历史数据'!G7)</f>
        <v/>
      </c>
      <c r="I68" s="27">
        <f>IF(OR(H68="",'历史数据'!H7&lt;=0,'历史数据'!K7=""),"",(H68-('历史数据'!H7-'历史数据'!K7)/'历史数据'!H7)*100)</f>
        <v/>
      </c>
      <c r="J68" s="27">
        <f>IF(OR(H68="",'历史数据'!I7&lt;=0,'历史数据'!L7=""),"",(H68-('历史数据'!I7-'历史数据'!L7)/'历史数据'!I7)*100)</f>
        <v/>
      </c>
      <c r="K68" s="24">
        <f>IF('历史数据'!M7="","",'历史数据'!M7/100000000)</f>
        <v/>
      </c>
      <c r="L68" s="26">
        <f>IF(OR('历史数据'!G7=0,'历史数据'!M7=""),"",'历史数据'!M7/'历史数据'!G7)</f>
        <v/>
      </c>
      <c r="M68" s="26">
        <f>IF(OR('历史数据'!M7="",'历史数据'!N7=0),"",('历史数据'!M7-'历史数据'!N7)/ABS('历史数据'!N7))</f>
        <v/>
      </c>
      <c r="N68" s="26">
        <f>IF(OR('历史数据'!M7&lt;=0,'历史数据'!O7&lt;=0),"",POWER('历史数据'!M7/'历史数据'!O7,1/3)-1)</f>
        <v/>
      </c>
      <c r="O68" s="24">
        <f>IF('历史数据'!P7="","",'历史数据'!P7/100000000)</f>
        <v/>
      </c>
      <c r="P68" s="26">
        <f>IF(OR('历史数据'!P7="",'历史数据'!Q7=0),"",('历史数据'!P7-'历史数据'!Q7)/ABS('历史数据'!Q7))</f>
        <v/>
      </c>
      <c r="Q68" s="26">
        <f>IF(OR('历史数据'!P7&lt;=0,'历史数据'!R7&lt;=0),"",POWER('历史数据'!P7/'历史数据'!R7,1/3)-1)</f>
        <v/>
      </c>
      <c r="R68" s="24">
        <f>IF('历史数据'!S7="","",'历史数据'!S7/100000000)</f>
        <v/>
      </c>
      <c r="S68" s="25">
        <f>IF('历史数据'!T7="","",'历史数据'!T7)</f>
        <v/>
      </c>
      <c r="T68" s="28">
        <f>IF('历史数据'!U7="","",'历史数据'!U7)</f>
        <v/>
      </c>
      <c r="U68" s="28">
        <f>IF('历史数据'!V7="","",'历史数据'!V7/100000000)</f>
        <v/>
      </c>
      <c r="V68" s="24">
        <f>IF('历史数据'!W7="","",'历史数据'!W7/100000000)</f>
        <v/>
      </c>
      <c r="W68" s="28">
        <f>IF('历史数据'!X7="","",'历史数据'!X7)</f>
        <v/>
      </c>
      <c r="X68" s="26">
        <f>IF(OR(R68="",V68&lt;=0),"",R68/V68-1)</f>
        <v/>
      </c>
      <c r="Y68" s="29">
        <f>IF('历史数据'!Y7="","",'历史数据'!Y7)</f>
        <v/>
      </c>
      <c r="Z68" s="24">
        <f>IF('历史数据'!Z7="","",'历史数据'!Z7/100000000)</f>
        <v/>
      </c>
      <c r="AA68" s="24">
        <f>IF('历史数据'!AA7="","",'历史数据'!AA7/100000000)</f>
        <v/>
      </c>
      <c r="AB68" s="24">
        <f>IF('历史数据'!AB7="","",'历史数据'!AB7/100000000)</f>
        <v/>
      </c>
      <c r="AC68" s="13" t="inlineStr">
        <is>
          <t>近五个交易日资金净额:optional_missing；近一月资金净额（最近22个交易日）:optional_missing</t>
        </is>
      </c>
      <c r="AD68" s="13" t="inlineStr">
        <is>
          <t>SUCCESS</t>
        </is>
      </c>
    </row>
    <row r="69" ht="21" customHeight="1" s="3">
      <c r="A69" s="12" t="inlineStr">
        <is>
          <t>920693</t>
        </is>
      </c>
      <c r="B69" s="13" t="inlineStr">
        <is>
          <t>阿为特</t>
        </is>
      </c>
      <c r="C69" s="25">
        <f>IF('历史数据'!D78="","",'历史数据'!D78)</f>
        <v/>
      </c>
      <c r="D69" s="13">
        <f>IF('历史数据'!E78="","",'历史数据'!E78)</f>
        <v/>
      </c>
      <c r="E69" s="24">
        <f>IF('历史数据'!G78="","",'历史数据'!G78/100000000)</f>
        <v/>
      </c>
      <c r="F69" s="26">
        <f>IF(OR('历史数据'!G78="",'历史数据'!H78&lt;=0),"",'历史数据'!G78/'历史数据'!H78-1)</f>
        <v/>
      </c>
      <c r="G69" s="26">
        <f>IF(OR('历史数据'!G78&lt;=0,'历史数据'!I78&lt;=0),"",POWER('历史数据'!G78/'历史数据'!I78,1/3)-1)</f>
        <v/>
      </c>
      <c r="H69" s="26">
        <f>IF(OR('历史数据'!G78&lt;=0,'历史数据'!J78=""),"",('历史数据'!G78-'历史数据'!J78)/'历史数据'!G78)</f>
        <v/>
      </c>
      <c r="I69" s="27">
        <f>IF(OR(H69="",'历史数据'!H78&lt;=0,'历史数据'!K78=""),"",(H69-('历史数据'!H78-'历史数据'!K78)/'历史数据'!H78)*100)</f>
        <v/>
      </c>
      <c r="J69" s="27">
        <f>IF(OR(H69="",'历史数据'!I78&lt;=0,'历史数据'!L78=""),"",(H69-('历史数据'!I78-'历史数据'!L78)/'历史数据'!I78)*100)</f>
        <v/>
      </c>
      <c r="K69" s="24">
        <f>IF('历史数据'!M78="","",'历史数据'!M78/100000000)</f>
        <v/>
      </c>
      <c r="L69" s="26">
        <f>IF(OR('历史数据'!G78=0,'历史数据'!M78=""),"",'历史数据'!M78/'历史数据'!G78)</f>
        <v/>
      </c>
      <c r="M69" s="26">
        <f>IF(OR('历史数据'!M78="",'历史数据'!N78=0),"",('历史数据'!M78-'历史数据'!N78)/ABS('历史数据'!N78))</f>
        <v/>
      </c>
      <c r="N69" s="26">
        <f>IF(OR('历史数据'!M78&lt;=0,'历史数据'!O78&lt;=0),"",POWER('历史数据'!M78/'历史数据'!O78,1/3)-1)</f>
        <v/>
      </c>
      <c r="O69" s="24">
        <f>IF('历史数据'!P78="","",'历史数据'!P78/100000000)</f>
        <v/>
      </c>
      <c r="P69" s="26">
        <f>IF(OR('历史数据'!P78="",'历史数据'!Q78=0),"",('历史数据'!P78-'历史数据'!Q78)/ABS('历史数据'!Q78))</f>
        <v/>
      </c>
      <c r="Q69" s="26">
        <f>IF(OR('历史数据'!P78&lt;=0,'历史数据'!R78&lt;=0),"",POWER('历史数据'!P78/'历史数据'!R78,1/3)-1)</f>
        <v/>
      </c>
      <c r="R69" s="24">
        <f>IF('历史数据'!S78="","",'历史数据'!S78/100000000)</f>
        <v/>
      </c>
      <c r="S69" s="25">
        <f>IF('历史数据'!T78="","",'历史数据'!T78)</f>
        <v/>
      </c>
      <c r="T69" s="28">
        <f>IF('历史数据'!U78="","",'历史数据'!U78)</f>
        <v/>
      </c>
      <c r="U69" s="28">
        <f>IF('历史数据'!V78="","",'历史数据'!V78/100000000)</f>
        <v/>
      </c>
      <c r="V69" s="24">
        <f>IF('历史数据'!W78="","",'历史数据'!W78/100000000)</f>
        <v/>
      </c>
      <c r="W69" s="28">
        <f>IF('历史数据'!X78="","",'历史数据'!X78)</f>
        <v/>
      </c>
      <c r="X69" s="26">
        <f>IF(OR(R69="",V69&lt;=0),"",R69/V69-1)</f>
        <v/>
      </c>
      <c r="Y69" s="29">
        <f>IF('历史数据'!Y78="","",'历史数据'!Y78)</f>
        <v/>
      </c>
      <c r="Z69" s="24">
        <f>IF('历史数据'!Z78="","",'历史数据'!Z78/100000000)</f>
        <v/>
      </c>
      <c r="AA69" s="24">
        <f>IF('历史数据'!AA78="","",'历史数据'!AA78/100000000)</f>
        <v/>
      </c>
      <c r="AB69" s="24">
        <f>IF('历史数据'!AB78="","",'历史数据'!AB78/100000000)</f>
        <v/>
      </c>
      <c r="AC69" s="13" t="inlineStr">
        <is>
          <t>近五个交易日资金净额:optional_missing；近一月资金净额（最近22个交易日）:optional_missing</t>
        </is>
      </c>
      <c r="AD69" s="13" t="inlineStr">
        <is>
          <t>SUCCESS</t>
        </is>
      </c>
    </row>
    <row r="70" ht="21" customHeight="1" s="3">
      <c r="A70" s="12" t="inlineStr">
        <is>
          <t>920932</t>
        </is>
      </c>
      <c r="B70" s="13" t="inlineStr">
        <is>
          <t>科达自控</t>
        </is>
      </c>
      <c r="C70" s="25">
        <f>IF('历史数据'!D19="","",'历史数据'!D19)</f>
        <v/>
      </c>
      <c r="D70" s="13">
        <f>IF('历史数据'!E19="","",'历史数据'!E19)</f>
        <v/>
      </c>
      <c r="E70" s="24">
        <f>IF('历史数据'!G19="","",'历史数据'!G19/100000000)</f>
        <v/>
      </c>
      <c r="F70" s="26">
        <f>IF(OR('历史数据'!G19="",'历史数据'!H19&lt;=0),"",'历史数据'!G19/'历史数据'!H19-1)</f>
        <v/>
      </c>
      <c r="G70" s="26">
        <f>IF(OR('历史数据'!G19&lt;=0,'历史数据'!I19&lt;=0),"",POWER('历史数据'!G19/'历史数据'!I19,1/3)-1)</f>
        <v/>
      </c>
      <c r="H70" s="26">
        <f>IF(OR('历史数据'!G19&lt;=0,'历史数据'!J19=""),"",('历史数据'!G19-'历史数据'!J19)/'历史数据'!G19)</f>
        <v/>
      </c>
      <c r="I70" s="27">
        <f>IF(OR(H70="",'历史数据'!H19&lt;=0,'历史数据'!K19=""),"",(H70-('历史数据'!H19-'历史数据'!K19)/'历史数据'!H19)*100)</f>
        <v/>
      </c>
      <c r="J70" s="27">
        <f>IF(OR(H70="",'历史数据'!I19&lt;=0,'历史数据'!L19=""),"",(H70-('历史数据'!I19-'历史数据'!L19)/'历史数据'!I19)*100)</f>
        <v/>
      </c>
      <c r="K70" s="24">
        <f>IF('历史数据'!M19="","",'历史数据'!M19/100000000)</f>
        <v/>
      </c>
      <c r="L70" s="26">
        <f>IF(OR('历史数据'!G19=0,'历史数据'!M19=""),"",'历史数据'!M19/'历史数据'!G19)</f>
        <v/>
      </c>
      <c r="M70" s="26">
        <f>IF(OR('历史数据'!M19="",'历史数据'!N19=0),"",('历史数据'!M19-'历史数据'!N19)/ABS('历史数据'!N19))</f>
        <v/>
      </c>
      <c r="N70" s="26">
        <f>IF(OR('历史数据'!M19&lt;=0,'历史数据'!O19&lt;=0),"",POWER('历史数据'!M19/'历史数据'!O19,1/3)-1)</f>
        <v/>
      </c>
      <c r="O70" s="24">
        <f>IF('历史数据'!P19="","",'历史数据'!P19/100000000)</f>
        <v/>
      </c>
      <c r="P70" s="26">
        <f>IF(OR('历史数据'!P19="",'历史数据'!Q19=0),"",('历史数据'!P19-'历史数据'!Q19)/ABS('历史数据'!Q19))</f>
        <v/>
      </c>
      <c r="Q70" s="26">
        <f>IF(OR('历史数据'!P19&lt;=0,'历史数据'!R19&lt;=0),"",POWER('历史数据'!P19/'历史数据'!R19,1/3)-1)</f>
        <v/>
      </c>
      <c r="R70" s="24">
        <f>IF('历史数据'!S19="","",'历史数据'!S19/100000000)</f>
        <v/>
      </c>
      <c r="S70" s="25">
        <f>IF('历史数据'!T19="","",'历史数据'!T19)</f>
        <v/>
      </c>
      <c r="T70" s="28">
        <f>IF('历史数据'!U19="","",'历史数据'!U19)</f>
        <v/>
      </c>
      <c r="U70" s="28">
        <f>IF('历史数据'!V19="","",'历史数据'!V19/100000000)</f>
        <v/>
      </c>
      <c r="V70" s="24">
        <f>IF('历史数据'!W19="","",'历史数据'!W19/100000000)</f>
        <v/>
      </c>
      <c r="W70" s="28">
        <f>IF('历史数据'!X19="","",'历史数据'!X19)</f>
        <v/>
      </c>
      <c r="X70" s="26">
        <f>IF(OR(R70="",V70&lt;=0),"",R70/V70-1)</f>
        <v/>
      </c>
      <c r="Y70" s="29">
        <f>IF('历史数据'!Y19="","",'历史数据'!Y19)</f>
        <v/>
      </c>
      <c r="Z70" s="24">
        <f>IF('历史数据'!Z19="","",'历史数据'!Z19/100000000)</f>
        <v/>
      </c>
      <c r="AA70" s="24">
        <f>IF('历史数据'!AA19="","",'历史数据'!AA19/100000000)</f>
        <v/>
      </c>
      <c r="AB70" s="24">
        <f>IF('历史数据'!AB19="","",'历史数据'!AB19/100000000)</f>
        <v/>
      </c>
      <c r="AC70" s="13" t="inlineStr">
        <is>
          <t>近五个交易日资金净额:optional_missing；近一月资金净额（最近22个交易日）:optional_missing</t>
        </is>
      </c>
      <c r="AD70" s="13" t="inlineStr">
        <is>
          <t>SUCCESS</t>
        </is>
      </c>
    </row>
    <row r="71" ht="21" customHeight="1" s="3">
      <c r="A71" s="12" t="inlineStr">
        <is>
          <t>920971</t>
        </is>
      </c>
      <c r="B71" s="13" t="inlineStr">
        <is>
          <t>天马新材</t>
        </is>
      </c>
      <c r="C71" s="25">
        <f>IF('历史数据'!D9="","",'历史数据'!D9)</f>
        <v/>
      </c>
      <c r="D71" s="13">
        <f>IF('历史数据'!E9="","",'历史数据'!E9)</f>
        <v/>
      </c>
      <c r="E71" s="24">
        <f>IF('历史数据'!G9="","",'历史数据'!G9/100000000)</f>
        <v/>
      </c>
      <c r="F71" s="26">
        <f>IF(OR('历史数据'!G9="",'历史数据'!H9&lt;=0),"",'历史数据'!G9/'历史数据'!H9-1)</f>
        <v/>
      </c>
      <c r="G71" s="26">
        <f>IF(OR('历史数据'!G9&lt;=0,'历史数据'!I9&lt;=0),"",POWER('历史数据'!G9/'历史数据'!I9,1/3)-1)</f>
        <v/>
      </c>
      <c r="H71" s="26">
        <f>IF(OR('历史数据'!G9&lt;=0,'历史数据'!J9=""),"",('历史数据'!G9-'历史数据'!J9)/'历史数据'!G9)</f>
        <v/>
      </c>
      <c r="I71" s="27">
        <f>IF(OR(H71="",'历史数据'!H9&lt;=0,'历史数据'!K9=""),"",(H71-('历史数据'!H9-'历史数据'!K9)/'历史数据'!H9)*100)</f>
        <v/>
      </c>
      <c r="J71" s="27">
        <f>IF(OR(H71="",'历史数据'!I9&lt;=0,'历史数据'!L9=""),"",(H71-('历史数据'!I9-'历史数据'!L9)/'历史数据'!I9)*100)</f>
        <v/>
      </c>
      <c r="K71" s="24">
        <f>IF('历史数据'!M9="","",'历史数据'!M9/100000000)</f>
        <v/>
      </c>
      <c r="L71" s="26">
        <f>IF(OR('历史数据'!G9=0,'历史数据'!M9=""),"",'历史数据'!M9/'历史数据'!G9)</f>
        <v/>
      </c>
      <c r="M71" s="26">
        <f>IF(OR('历史数据'!M9="",'历史数据'!N9=0),"",('历史数据'!M9-'历史数据'!N9)/ABS('历史数据'!N9))</f>
        <v/>
      </c>
      <c r="N71" s="26">
        <f>IF(OR('历史数据'!M9&lt;=0,'历史数据'!O9&lt;=0),"",POWER('历史数据'!M9/'历史数据'!O9,1/3)-1)</f>
        <v/>
      </c>
      <c r="O71" s="24">
        <f>IF('历史数据'!P9="","",'历史数据'!P9/100000000)</f>
        <v/>
      </c>
      <c r="P71" s="26">
        <f>IF(OR('历史数据'!P9="",'历史数据'!Q9=0),"",('历史数据'!P9-'历史数据'!Q9)/ABS('历史数据'!Q9))</f>
        <v/>
      </c>
      <c r="Q71" s="26">
        <f>IF(OR('历史数据'!P9&lt;=0,'历史数据'!R9&lt;=0),"",POWER('历史数据'!P9/'历史数据'!R9,1/3)-1)</f>
        <v/>
      </c>
      <c r="R71" s="24">
        <f>IF('历史数据'!S9="","",'历史数据'!S9/100000000)</f>
        <v/>
      </c>
      <c r="S71" s="25">
        <f>IF('历史数据'!T9="","",'历史数据'!T9)</f>
        <v/>
      </c>
      <c r="T71" s="28">
        <f>IF('历史数据'!U9="","",'历史数据'!U9)</f>
        <v/>
      </c>
      <c r="U71" s="28">
        <f>IF('历史数据'!V9="","",'历史数据'!V9/100000000)</f>
        <v/>
      </c>
      <c r="V71" s="24">
        <f>IF('历史数据'!W9="","",'历史数据'!W9/100000000)</f>
        <v/>
      </c>
      <c r="W71" s="28">
        <f>IF('历史数据'!X9="","",'历史数据'!X9)</f>
        <v/>
      </c>
      <c r="X71" s="26">
        <f>IF(OR(R71="",V71&lt;=0),"",R71/V71-1)</f>
        <v/>
      </c>
      <c r="Y71" s="29">
        <f>IF('历史数据'!Y9="","",'历史数据'!Y9)</f>
        <v/>
      </c>
      <c r="Z71" s="24">
        <f>IF('历史数据'!Z9="","",'历史数据'!Z9/100000000)</f>
        <v/>
      </c>
      <c r="AA71" s="24">
        <f>IF('历史数据'!AA9="","",'历史数据'!AA9/100000000)</f>
        <v/>
      </c>
      <c r="AB71" s="24">
        <f>IF('历史数据'!AB9="","",'历史数据'!AB9/100000000)</f>
        <v/>
      </c>
      <c r="AC71" s="13" t="inlineStr">
        <is>
          <t>近五个交易日资金净额:optional_missing；近一月资金净额（最近22个交易日）:optional_missing</t>
        </is>
      </c>
      <c r="AD71" s="13" t="inlineStr">
        <is>
          <t>SUCCESS</t>
        </is>
      </c>
    </row>
    <row r="72" ht="21" customHeight="1" s="3">
      <c r="A72" s="12" t="inlineStr">
        <is>
          <t>920593</t>
        </is>
      </c>
      <c r="B72" s="13" t="inlineStr">
        <is>
          <t>鼎智科技</t>
        </is>
      </c>
      <c r="C72" s="25">
        <f>IF('历史数据'!D100="","",'历史数据'!D100)</f>
        <v/>
      </c>
      <c r="D72" s="13">
        <f>IF('历史数据'!E100="","",'历史数据'!E100)</f>
        <v/>
      </c>
      <c r="E72" s="24">
        <f>IF('历史数据'!G100="","",'历史数据'!G100/100000000)</f>
        <v/>
      </c>
      <c r="F72" s="26">
        <f>IF(OR('历史数据'!G100="",'历史数据'!H100&lt;=0),"",'历史数据'!G100/'历史数据'!H100-1)</f>
        <v/>
      </c>
      <c r="G72" s="26">
        <f>IF(OR('历史数据'!G100&lt;=0,'历史数据'!I100&lt;=0),"",POWER('历史数据'!G100/'历史数据'!I100,1/3)-1)</f>
        <v/>
      </c>
      <c r="H72" s="26">
        <f>IF(OR('历史数据'!G100&lt;=0,'历史数据'!J100=""),"",('历史数据'!G100-'历史数据'!J100)/'历史数据'!G100)</f>
        <v/>
      </c>
      <c r="I72" s="27">
        <f>IF(OR(H72="",'历史数据'!H100&lt;=0,'历史数据'!K100=""),"",(H72-('历史数据'!H100-'历史数据'!K100)/'历史数据'!H100)*100)</f>
        <v/>
      </c>
      <c r="J72" s="27">
        <f>IF(OR(H72="",'历史数据'!I100&lt;=0,'历史数据'!L100=""),"",(H72-('历史数据'!I100-'历史数据'!L100)/'历史数据'!I100)*100)</f>
        <v/>
      </c>
      <c r="K72" s="24">
        <f>IF('历史数据'!M100="","",'历史数据'!M100/100000000)</f>
        <v/>
      </c>
      <c r="L72" s="26">
        <f>IF(OR('历史数据'!G100=0,'历史数据'!M100=""),"",'历史数据'!M100/'历史数据'!G100)</f>
        <v/>
      </c>
      <c r="M72" s="26">
        <f>IF(OR('历史数据'!M100="",'历史数据'!N100=0),"",('历史数据'!M100-'历史数据'!N100)/ABS('历史数据'!N100))</f>
        <v/>
      </c>
      <c r="N72" s="26">
        <f>IF(OR('历史数据'!M100&lt;=0,'历史数据'!O100&lt;=0),"",POWER('历史数据'!M100/'历史数据'!O100,1/3)-1)</f>
        <v/>
      </c>
      <c r="O72" s="24">
        <f>IF('历史数据'!P100="","",'历史数据'!P100/100000000)</f>
        <v/>
      </c>
      <c r="P72" s="26">
        <f>IF(OR('历史数据'!P100="",'历史数据'!Q100=0),"",('历史数据'!P100-'历史数据'!Q100)/ABS('历史数据'!Q100))</f>
        <v/>
      </c>
      <c r="Q72" s="26">
        <f>IF(OR('历史数据'!P100&lt;=0,'历史数据'!R100&lt;=0),"",POWER('历史数据'!P100/'历史数据'!R100,1/3)-1)</f>
        <v/>
      </c>
      <c r="R72" s="24">
        <f>IF('历史数据'!S100="","",'历史数据'!S100/100000000)</f>
        <v/>
      </c>
      <c r="S72" s="25">
        <f>IF('历史数据'!T100="","",'历史数据'!T100)</f>
        <v/>
      </c>
      <c r="T72" s="28">
        <f>IF('历史数据'!U100="","",'历史数据'!U100)</f>
        <v/>
      </c>
      <c r="U72" s="28">
        <f>IF('历史数据'!V100="","",'历史数据'!V100/100000000)</f>
        <v/>
      </c>
      <c r="V72" s="24">
        <f>IF('历史数据'!W100="","",'历史数据'!W100/100000000)</f>
        <v/>
      </c>
      <c r="W72" s="28">
        <f>IF('历史数据'!X100="","",'历史数据'!X100)</f>
        <v/>
      </c>
      <c r="X72" s="26">
        <f>IF(OR(R72="",V72&lt;=0),"",R72/V72-1)</f>
        <v/>
      </c>
      <c r="Y72" s="29">
        <f>IF('历史数据'!Y100="","",'历史数据'!Y100)</f>
        <v/>
      </c>
      <c r="Z72" s="24">
        <f>IF('历史数据'!Z100="","",'历史数据'!Z100/100000000)</f>
        <v/>
      </c>
      <c r="AA72" s="24">
        <f>IF('历史数据'!AA100="","",'历史数据'!AA100/100000000)</f>
        <v/>
      </c>
      <c r="AB72" s="24">
        <f>IF('历史数据'!AB100="","",'历史数据'!AB100/100000000)</f>
        <v/>
      </c>
      <c r="AC72" s="13" t="inlineStr">
        <is>
          <t>近五个交易日资金净额:optional_missing；近一月资金净额（最近22个交易日）:optional_missing</t>
        </is>
      </c>
      <c r="AD72" s="13" t="inlineStr">
        <is>
          <t>SUCCESS</t>
        </is>
      </c>
    </row>
    <row r="73" ht="21" customHeight="1" s="3">
      <c r="A73" s="12" t="inlineStr">
        <is>
          <t>920855</t>
        </is>
      </c>
      <c r="B73" s="13" t="inlineStr">
        <is>
          <t>浙江大农</t>
        </is>
      </c>
      <c r="C73" s="25">
        <f>IF('历史数据'!D38="","",'历史数据'!D38)</f>
        <v/>
      </c>
      <c r="D73" s="13">
        <f>IF('历史数据'!E38="","",'历史数据'!E38)</f>
        <v/>
      </c>
      <c r="E73" s="24">
        <f>IF('历史数据'!G38="","",'历史数据'!G38/100000000)</f>
        <v/>
      </c>
      <c r="F73" s="26">
        <f>IF(OR('历史数据'!G38="",'历史数据'!H38&lt;=0),"",'历史数据'!G38/'历史数据'!H38-1)</f>
        <v/>
      </c>
      <c r="G73" s="26">
        <f>IF(OR('历史数据'!G38&lt;=0,'历史数据'!I38&lt;=0),"",POWER('历史数据'!G38/'历史数据'!I38,1/3)-1)</f>
        <v/>
      </c>
      <c r="H73" s="26">
        <f>IF(OR('历史数据'!G38&lt;=0,'历史数据'!J38=""),"",('历史数据'!G38-'历史数据'!J38)/'历史数据'!G38)</f>
        <v/>
      </c>
      <c r="I73" s="27">
        <f>IF(OR(H73="",'历史数据'!H38&lt;=0,'历史数据'!K38=""),"",(H73-('历史数据'!H38-'历史数据'!K38)/'历史数据'!H38)*100)</f>
        <v/>
      </c>
      <c r="J73" s="27">
        <f>IF(OR(H73="",'历史数据'!I38&lt;=0,'历史数据'!L38=""),"",(H73-('历史数据'!I38-'历史数据'!L38)/'历史数据'!I38)*100)</f>
        <v/>
      </c>
      <c r="K73" s="24">
        <f>IF('历史数据'!M38="","",'历史数据'!M38/100000000)</f>
        <v/>
      </c>
      <c r="L73" s="26">
        <f>IF(OR('历史数据'!G38=0,'历史数据'!M38=""),"",'历史数据'!M38/'历史数据'!G38)</f>
        <v/>
      </c>
      <c r="M73" s="26">
        <f>IF(OR('历史数据'!M38="",'历史数据'!N38=0),"",('历史数据'!M38-'历史数据'!N38)/ABS('历史数据'!N38))</f>
        <v/>
      </c>
      <c r="N73" s="26">
        <f>IF(OR('历史数据'!M38&lt;=0,'历史数据'!O38&lt;=0),"",POWER('历史数据'!M38/'历史数据'!O38,1/3)-1)</f>
        <v/>
      </c>
      <c r="O73" s="24">
        <f>IF('历史数据'!P38="","",'历史数据'!P38/100000000)</f>
        <v/>
      </c>
      <c r="P73" s="26">
        <f>IF(OR('历史数据'!P38="",'历史数据'!Q38=0),"",('历史数据'!P38-'历史数据'!Q38)/ABS('历史数据'!Q38))</f>
        <v/>
      </c>
      <c r="Q73" s="26">
        <f>IF(OR('历史数据'!P38&lt;=0,'历史数据'!R38&lt;=0),"",POWER('历史数据'!P38/'历史数据'!R38,1/3)-1)</f>
        <v/>
      </c>
      <c r="R73" s="24">
        <f>IF('历史数据'!S38="","",'历史数据'!S38/100000000)</f>
        <v/>
      </c>
      <c r="S73" s="25">
        <f>IF('历史数据'!T38="","",'历史数据'!T38)</f>
        <v/>
      </c>
      <c r="T73" s="28">
        <f>IF('历史数据'!U38="","",'历史数据'!U38)</f>
        <v/>
      </c>
      <c r="U73" s="28">
        <f>IF('历史数据'!V38="","",'历史数据'!V38/100000000)</f>
        <v/>
      </c>
      <c r="V73" s="24">
        <f>IF('历史数据'!W38="","",'历史数据'!W38/100000000)</f>
        <v/>
      </c>
      <c r="W73" s="28">
        <f>IF('历史数据'!X38="","",'历史数据'!X38)</f>
        <v/>
      </c>
      <c r="X73" s="26">
        <f>IF(OR(R73="",V73&lt;=0),"",R73/V73-1)</f>
        <v/>
      </c>
      <c r="Y73" s="29">
        <f>IF('历史数据'!Y38="","",'历史数据'!Y38)</f>
        <v/>
      </c>
      <c r="Z73" s="24">
        <f>IF('历史数据'!Z38="","",'历史数据'!Z38/100000000)</f>
        <v/>
      </c>
      <c r="AA73" s="24">
        <f>IF('历史数据'!AA38="","",'历史数据'!AA38/100000000)</f>
        <v/>
      </c>
      <c r="AB73" s="24">
        <f>IF('历史数据'!AB38="","",'历史数据'!AB38/100000000)</f>
        <v/>
      </c>
      <c r="AC73" s="13" t="inlineStr">
        <is>
          <t>近五个交易日资金净额:optional_missing；近一月资金净额（最近22个交易日）:optional_missing</t>
        </is>
      </c>
      <c r="AD73" s="13" t="inlineStr">
        <is>
          <t>SUCCESS</t>
        </is>
      </c>
    </row>
    <row r="74" ht="21" customHeight="1" s="3">
      <c r="A74" s="12" t="inlineStr">
        <is>
          <t>920753</t>
        </is>
      </c>
      <c r="B74" s="13" t="inlineStr">
        <is>
          <t>天纺标</t>
        </is>
      </c>
      <c r="C74" s="25">
        <f>IF('历史数据'!D62="","",'历史数据'!D62)</f>
        <v/>
      </c>
      <c r="D74" s="13">
        <f>IF('历史数据'!E62="","",'历史数据'!E62)</f>
        <v/>
      </c>
      <c r="E74" s="24">
        <f>IF('历史数据'!G62="","",'历史数据'!G62/100000000)</f>
        <v/>
      </c>
      <c r="F74" s="26">
        <f>IF(OR('历史数据'!G62="",'历史数据'!H62&lt;=0),"",'历史数据'!G62/'历史数据'!H62-1)</f>
        <v/>
      </c>
      <c r="G74" s="26">
        <f>IF(OR('历史数据'!G62&lt;=0,'历史数据'!I62&lt;=0),"",POWER('历史数据'!G62/'历史数据'!I62,1/3)-1)</f>
        <v/>
      </c>
      <c r="H74" s="26">
        <f>IF(OR('历史数据'!G62&lt;=0,'历史数据'!J62=""),"",('历史数据'!G62-'历史数据'!J62)/'历史数据'!G62)</f>
        <v/>
      </c>
      <c r="I74" s="27">
        <f>IF(OR(H74="",'历史数据'!H62&lt;=0,'历史数据'!K62=""),"",(H74-('历史数据'!H62-'历史数据'!K62)/'历史数据'!H62)*100)</f>
        <v/>
      </c>
      <c r="J74" s="27">
        <f>IF(OR(H74="",'历史数据'!I62&lt;=0,'历史数据'!L62=""),"",(H74-('历史数据'!I62-'历史数据'!L62)/'历史数据'!I62)*100)</f>
        <v/>
      </c>
      <c r="K74" s="24">
        <f>IF('历史数据'!M62="","",'历史数据'!M62/100000000)</f>
        <v/>
      </c>
      <c r="L74" s="26">
        <f>IF(OR('历史数据'!G62=0,'历史数据'!M62=""),"",'历史数据'!M62/'历史数据'!G62)</f>
        <v/>
      </c>
      <c r="M74" s="26">
        <f>IF(OR('历史数据'!M62="",'历史数据'!N62=0),"",('历史数据'!M62-'历史数据'!N62)/ABS('历史数据'!N62))</f>
        <v/>
      </c>
      <c r="N74" s="26">
        <f>IF(OR('历史数据'!M62&lt;=0,'历史数据'!O62&lt;=0),"",POWER('历史数据'!M62/'历史数据'!O62,1/3)-1)</f>
        <v/>
      </c>
      <c r="O74" s="24">
        <f>IF('历史数据'!P62="","",'历史数据'!P62/100000000)</f>
        <v/>
      </c>
      <c r="P74" s="26">
        <f>IF(OR('历史数据'!P62="",'历史数据'!Q62=0),"",('历史数据'!P62-'历史数据'!Q62)/ABS('历史数据'!Q62))</f>
        <v/>
      </c>
      <c r="Q74" s="26">
        <f>IF(OR('历史数据'!P62&lt;=0,'历史数据'!R62&lt;=0),"",POWER('历史数据'!P62/'历史数据'!R62,1/3)-1)</f>
        <v/>
      </c>
      <c r="R74" s="24">
        <f>IF('历史数据'!S62="","",'历史数据'!S62/100000000)</f>
        <v/>
      </c>
      <c r="S74" s="25">
        <f>IF('历史数据'!T62="","",'历史数据'!T62)</f>
        <v/>
      </c>
      <c r="T74" s="28">
        <f>IF('历史数据'!U62="","",'历史数据'!U62)</f>
        <v/>
      </c>
      <c r="U74" s="28">
        <f>IF('历史数据'!V62="","",'历史数据'!V62/100000000)</f>
        <v/>
      </c>
      <c r="V74" s="24">
        <f>IF('历史数据'!W62="","",'历史数据'!W62/100000000)</f>
        <v/>
      </c>
      <c r="W74" s="28">
        <f>IF('历史数据'!X62="","",'历史数据'!X62)</f>
        <v/>
      </c>
      <c r="X74" s="26">
        <f>IF(OR(R74="",V74&lt;=0),"",R74/V74-1)</f>
        <v/>
      </c>
      <c r="Y74" s="29">
        <f>IF('历史数据'!Y62="","",'历史数据'!Y62)</f>
        <v/>
      </c>
      <c r="Z74" s="24">
        <f>IF('历史数据'!Z62="","",'历史数据'!Z62/100000000)</f>
        <v/>
      </c>
      <c r="AA74" s="24">
        <f>IF('历史数据'!AA62="","",'历史数据'!AA62/100000000)</f>
        <v/>
      </c>
      <c r="AB74" s="24">
        <f>IF('历史数据'!AB62="","",'历史数据'!AB62/100000000)</f>
        <v/>
      </c>
      <c r="AC74" s="13" t="inlineStr">
        <is>
          <t>近五个交易日资金净额:optional_missing；近一月资金净额（最近22个交易日）:optional_missing</t>
        </is>
      </c>
      <c r="AD74" s="13" t="inlineStr">
        <is>
          <t>SUCCESS</t>
        </is>
      </c>
    </row>
    <row r="75" ht="21" customHeight="1" s="3">
      <c r="A75" s="12" t="inlineStr">
        <is>
          <t>920781</t>
        </is>
      </c>
      <c r="B75" s="13" t="inlineStr">
        <is>
          <t>瑞奇智造</t>
        </is>
      </c>
      <c r="C75" s="25">
        <f>IF('历史数据'!D57="","",'历史数据'!D57)</f>
        <v/>
      </c>
      <c r="D75" s="13">
        <f>IF('历史数据'!E57="","",'历史数据'!E57)</f>
        <v/>
      </c>
      <c r="E75" s="24">
        <f>IF('历史数据'!G57="","",'历史数据'!G57/100000000)</f>
        <v/>
      </c>
      <c r="F75" s="26">
        <f>IF(OR('历史数据'!G57="",'历史数据'!H57&lt;=0),"",'历史数据'!G57/'历史数据'!H57-1)</f>
        <v/>
      </c>
      <c r="G75" s="26">
        <f>IF(OR('历史数据'!G57&lt;=0,'历史数据'!I57&lt;=0),"",POWER('历史数据'!G57/'历史数据'!I57,1/3)-1)</f>
        <v/>
      </c>
      <c r="H75" s="26">
        <f>IF(OR('历史数据'!G57&lt;=0,'历史数据'!J57=""),"",('历史数据'!G57-'历史数据'!J57)/'历史数据'!G57)</f>
        <v/>
      </c>
      <c r="I75" s="27">
        <f>IF(OR(H75="",'历史数据'!H57&lt;=0,'历史数据'!K57=""),"",(H75-('历史数据'!H57-'历史数据'!K57)/'历史数据'!H57)*100)</f>
        <v/>
      </c>
      <c r="J75" s="27">
        <f>IF(OR(H75="",'历史数据'!I57&lt;=0,'历史数据'!L57=""),"",(H75-('历史数据'!I57-'历史数据'!L57)/'历史数据'!I57)*100)</f>
        <v/>
      </c>
      <c r="K75" s="24">
        <f>IF('历史数据'!M57="","",'历史数据'!M57/100000000)</f>
        <v/>
      </c>
      <c r="L75" s="26">
        <f>IF(OR('历史数据'!G57=0,'历史数据'!M57=""),"",'历史数据'!M57/'历史数据'!G57)</f>
        <v/>
      </c>
      <c r="M75" s="26">
        <f>IF(OR('历史数据'!M57="",'历史数据'!N57=0),"",('历史数据'!M57-'历史数据'!N57)/ABS('历史数据'!N57))</f>
        <v/>
      </c>
      <c r="N75" s="26">
        <f>IF(OR('历史数据'!M57&lt;=0,'历史数据'!O57&lt;=0),"",POWER('历史数据'!M57/'历史数据'!O57,1/3)-1)</f>
        <v/>
      </c>
      <c r="O75" s="24">
        <f>IF('历史数据'!P57="","",'历史数据'!P57/100000000)</f>
        <v/>
      </c>
      <c r="P75" s="26">
        <f>IF(OR('历史数据'!P57="",'历史数据'!Q57=0),"",('历史数据'!P57-'历史数据'!Q57)/ABS('历史数据'!Q57))</f>
        <v/>
      </c>
      <c r="Q75" s="26">
        <f>IF(OR('历史数据'!P57&lt;=0,'历史数据'!R57&lt;=0),"",POWER('历史数据'!P57/'历史数据'!R57,1/3)-1)</f>
        <v/>
      </c>
      <c r="R75" s="24">
        <f>IF('历史数据'!S57="","",'历史数据'!S57/100000000)</f>
        <v/>
      </c>
      <c r="S75" s="25">
        <f>IF('历史数据'!T57="","",'历史数据'!T57)</f>
        <v/>
      </c>
      <c r="T75" s="28">
        <f>IF('历史数据'!U57="","",'历史数据'!U57)</f>
        <v/>
      </c>
      <c r="U75" s="28">
        <f>IF('历史数据'!V57="","",'历史数据'!V57/100000000)</f>
        <v/>
      </c>
      <c r="V75" s="24">
        <f>IF('历史数据'!W57="","",'历史数据'!W57/100000000)</f>
        <v/>
      </c>
      <c r="W75" s="28">
        <f>IF('历史数据'!X57="","",'历史数据'!X57)</f>
        <v/>
      </c>
      <c r="X75" s="26">
        <f>IF(OR(R75="",V75&lt;=0),"",R75/V75-1)</f>
        <v/>
      </c>
      <c r="Y75" s="29">
        <f>IF('历史数据'!Y57="","",'历史数据'!Y57)</f>
        <v/>
      </c>
      <c r="Z75" s="24">
        <f>IF('历史数据'!Z57="","",'历史数据'!Z57/100000000)</f>
        <v/>
      </c>
      <c r="AA75" s="24">
        <f>IF('历史数据'!AA57="","",'历史数据'!AA57/100000000)</f>
        <v/>
      </c>
      <c r="AB75" s="24">
        <f>IF('历史数据'!AB57="","",'历史数据'!AB57/100000000)</f>
        <v/>
      </c>
      <c r="AC75" s="13" t="inlineStr">
        <is>
          <t>近五个交易日资金净额:optional_missing；近一月资金净额（最近22个交易日）:optional_missing</t>
        </is>
      </c>
      <c r="AD75" s="13" t="inlineStr">
        <is>
          <t>SUCCESS</t>
        </is>
      </c>
    </row>
    <row r="76" ht="21" customHeight="1" s="3">
      <c r="A76" s="12" t="inlineStr">
        <is>
          <t>920729</t>
        </is>
      </c>
      <c r="B76" s="13" t="inlineStr">
        <is>
          <t>永顺生物</t>
        </is>
      </c>
      <c r="C76" s="25">
        <f>IF('历史数据'!D66="","",'历史数据'!D66)</f>
        <v/>
      </c>
      <c r="D76" s="13">
        <f>IF('历史数据'!E66="","",'历史数据'!E66)</f>
        <v/>
      </c>
      <c r="E76" s="24">
        <f>IF('历史数据'!G66="","",'历史数据'!G66/100000000)</f>
        <v/>
      </c>
      <c r="F76" s="26">
        <f>IF(OR('历史数据'!G66="",'历史数据'!H66&lt;=0),"",'历史数据'!G66/'历史数据'!H66-1)</f>
        <v/>
      </c>
      <c r="G76" s="26">
        <f>IF(OR('历史数据'!G66&lt;=0,'历史数据'!I66&lt;=0),"",POWER('历史数据'!G66/'历史数据'!I66,1/3)-1)</f>
        <v/>
      </c>
      <c r="H76" s="26">
        <f>IF(OR('历史数据'!G66&lt;=0,'历史数据'!J66=""),"",('历史数据'!G66-'历史数据'!J66)/'历史数据'!G66)</f>
        <v/>
      </c>
      <c r="I76" s="27">
        <f>IF(OR(H76="",'历史数据'!H66&lt;=0,'历史数据'!K66=""),"",(H76-('历史数据'!H66-'历史数据'!K66)/'历史数据'!H66)*100)</f>
        <v/>
      </c>
      <c r="J76" s="27">
        <f>IF(OR(H76="",'历史数据'!I66&lt;=0,'历史数据'!L66=""),"",(H76-('历史数据'!I66-'历史数据'!L66)/'历史数据'!I66)*100)</f>
        <v/>
      </c>
      <c r="K76" s="24">
        <f>IF('历史数据'!M66="","",'历史数据'!M66/100000000)</f>
        <v/>
      </c>
      <c r="L76" s="26">
        <f>IF(OR('历史数据'!G66=0,'历史数据'!M66=""),"",'历史数据'!M66/'历史数据'!G66)</f>
        <v/>
      </c>
      <c r="M76" s="26">
        <f>IF(OR('历史数据'!M66="",'历史数据'!N66=0),"",('历史数据'!M66-'历史数据'!N66)/ABS('历史数据'!N66))</f>
        <v/>
      </c>
      <c r="N76" s="26">
        <f>IF(OR('历史数据'!M66&lt;=0,'历史数据'!O66&lt;=0),"",POWER('历史数据'!M66/'历史数据'!O66,1/3)-1)</f>
        <v/>
      </c>
      <c r="O76" s="24">
        <f>IF('历史数据'!P66="","",'历史数据'!P66/100000000)</f>
        <v/>
      </c>
      <c r="P76" s="26">
        <f>IF(OR('历史数据'!P66="",'历史数据'!Q66=0),"",('历史数据'!P66-'历史数据'!Q66)/ABS('历史数据'!Q66))</f>
        <v/>
      </c>
      <c r="Q76" s="26">
        <f>IF(OR('历史数据'!P66&lt;=0,'历史数据'!R66&lt;=0),"",POWER('历史数据'!P66/'历史数据'!R66,1/3)-1)</f>
        <v/>
      </c>
      <c r="R76" s="24">
        <f>IF('历史数据'!S66="","",'历史数据'!S66/100000000)</f>
        <v/>
      </c>
      <c r="S76" s="25">
        <f>IF('历史数据'!T66="","",'历史数据'!T66)</f>
        <v/>
      </c>
      <c r="T76" s="28">
        <f>IF('历史数据'!U66="","",'历史数据'!U66)</f>
        <v/>
      </c>
      <c r="U76" s="28">
        <f>IF('历史数据'!V66="","",'历史数据'!V66/100000000)</f>
        <v/>
      </c>
      <c r="V76" s="24">
        <f>IF('历史数据'!W66="","",'历史数据'!W66/100000000)</f>
        <v/>
      </c>
      <c r="W76" s="28">
        <f>IF('历史数据'!X66="","",'历史数据'!X66)</f>
        <v/>
      </c>
      <c r="X76" s="26">
        <f>IF(OR(R76="",V76&lt;=0),"",R76/V76-1)</f>
        <v/>
      </c>
      <c r="Y76" s="29">
        <f>IF('历史数据'!Y66="","",'历史数据'!Y66)</f>
        <v/>
      </c>
      <c r="Z76" s="24">
        <f>IF('历史数据'!Z66="","",'历史数据'!Z66/100000000)</f>
        <v/>
      </c>
      <c r="AA76" s="24">
        <f>IF('历史数据'!AA66="","",'历史数据'!AA66/100000000)</f>
        <v/>
      </c>
      <c r="AB76" s="24">
        <f>IF('历史数据'!AB66="","",'历史数据'!AB66/100000000)</f>
        <v/>
      </c>
      <c r="AC76" s="13" t="inlineStr">
        <is>
          <t>近五个交易日资金净额:optional_missing；近一月资金净额（最近22个交易日）:optional_missing</t>
        </is>
      </c>
      <c r="AD76" s="13" t="inlineStr">
        <is>
          <t>SUCCESS</t>
        </is>
      </c>
    </row>
    <row r="77" ht="21" customHeight="1" s="3">
      <c r="A77" s="12" t="inlineStr">
        <is>
          <t>920751</t>
        </is>
      </c>
      <c r="B77" s="13" t="inlineStr">
        <is>
          <t>惠同新材</t>
        </is>
      </c>
      <c r="C77" s="25">
        <f>IF('历史数据'!D63="","",'历史数据'!D63)</f>
        <v/>
      </c>
      <c r="D77" s="13">
        <f>IF('历史数据'!E63="","",'历史数据'!E63)</f>
        <v/>
      </c>
      <c r="E77" s="24">
        <f>IF('历史数据'!G63="","",'历史数据'!G63/100000000)</f>
        <v/>
      </c>
      <c r="F77" s="26">
        <f>IF(OR('历史数据'!G63="",'历史数据'!H63&lt;=0),"",'历史数据'!G63/'历史数据'!H63-1)</f>
        <v/>
      </c>
      <c r="G77" s="26">
        <f>IF(OR('历史数据'!G63&lt;=0,'历史数据'!I63&lt;=0),"",POWER('历史数据'!G63/'历史数据'!I63,1/3)-1)</f>
        <v/>
      </c>
      <c r="H77" s="26">
        <f>IF(OR('历史数据'!G63&lt;=0,'历史数据'!J63=""),"",('历史数据'!G63-'历史数据'!J63)/'历史数据'!G63)</f>
        <v/>
      </c>
      <c r="I77" s="27">
        <f>IF(OR(H77="",'历史数据'!H63&lt;=0,'历史数据'!K63=""),"",(H77-('历史数据'!H63-'历史数据'!K63)/'历史数据'!H63)*100)</f>
        <v/>
      </c>
      <c r="J77" s="27">
        <f>IF(OR(H77="",'历史数据'!I63&lt;=0,'历史数据'!L63=""),"",(H77-('历史数据'!I63-'历史数据'!L63)/'历史数据'!I63)*100)</f>
        <v/>
      </c>
      <c r="K77" s="24">
        <f>IF('历史数据'!M63="","",'历史数据'!M63/100000000)</f>
        <v/>
      </c>
      <c r="L77" s="26">
        <f>IF(OR('历史数据'!G63=0,'历史数据'!M63=""),"",'历史数据'!M63/'历史数据'!G63)</f>
        <v/>
      </c>
      <c r="M77" s="26">
        <f>IF(OR('历史数据'!M63="",'历史数据'!N63=0),"",('历史数据'!M63-'历史数据'!N63)/ABS('历史数据'!N63))</f>
        <v/>
      </c>
      <c r="N77" s="26">
        <f>IF(OR('历史数据'!M63&lt;=0,'历史数据'!O63&lt;=0),"",POWER('历史数据'!M63/'历史数据'!O63,1/3)-1)</f>
        <v/>
      </c>
      <c r="O77" s="24">
        <f>IF('历史数据'!P63="","",'历史数据'!P63/100000000)</f>
        <v/>
      </c>
      <c r="P77" s="26">
        <f>IF(OR('历史数据'!P63="",'历史数据'!Q63=0),"",('历史数据'!P63-'历史数据'!Q63)/ABS('历史数据'!Q63))</f>
        <v/>
      </c>
      <c r="Q77" s="26">
        <f>IF(OR('历史数据'!P63&lt;=0,'历史数据'!R63&lt;=0),"",POWER('历史数据'!P63/'历史数据'!R63,1/3)-1)</f>
        <v/>
      </c>
      <c r="R77" s="24">
        <f>IF('历史数据'!S63="","",'历史数据'!S63/100000000)</f>
        <v/>
      </c>
      <c r="S77" s="25">
        <f>IF('历史数据'!T63="","",'历史数据'!T63)</f>
        <v/>
      </c>
      <c r="T77" s="28">
        <f>IF('历史数据'!U63="","",'历史数据'!U63)</f>
        <v/>
      </c>
      <c r="U77" s="28">
        <f>IF('历史数据'!V63="","",'历史数据'!V63/100000000)</f>
        <v/>
      </c>
      <c r="V77" s="24">
        <f>IF('历史数据'!W63="","",'历史数据'!W63/100000000)</f>
        <v/>
      </c>
      <c r="W77" s="28">
        <f>IF('历史数据'!X63="","",'历史数据'!X63)</f>
        <v/>
      </c>
      <c r="X77" s="26">
        <f>IF(OR(R77="",V77&lt;=0),"",R77/V77-1)</f>
        <v/>
      </c>
      <c r="Y77" s="29">
        <f>IF('历史数据'!Y63="","",'历史数据'!Y63)</f>
        <v/>
      </c>
      <c r="Z77" s="24">
        <f>IF('历史数据'!Z63="","",'历史数据'!Z63/100000000)</f>
        <v/>
      </c>
      <c r="AA77" s="24">
        <f>IF('历史数据'!AA63="","",'历史数据'!AA63/100000000)</f>
        <v/>
      </c>
      <c r="AB77" s="24">
        <f>IF('历史数据'!AB63="","",'历史数据'!AB63/100000000)</f>
        <v/>
      </c>
      <c r="AC77" s="13" t="inlineStr">
        <is>
          <t>近五个交易日资金净额:optional_missing；近一月资金净额（最近22个交易日）:optional_missing</t>
        </is>
      </c>
      <c r="AD77" s="13" t="inlineStr">
        <is>
          <t>SUCCESS</t>
        </is>
      </c>
    </row>
    <row r="78" ht="21" customHeight="1" s="3">
      <c r="A78" s="12" t="inlineStr">
        <is>
          <t>920656</t>
        </is>
      </c>
      <c r="B78" s="13" t="inlineStr">
        <is>
          <t>海昇药业</t>
        </is>
      </c>
      <c r="C78" s="25">
        <f>IF('历史数据'!D90="","",'历史数据'!D90)</f>
        <v/>
      </c>
      <c r="D78" s="13">
        <f>IF('历史数据'!E90="","",'历史数据'!E90)</f>
        <v/>
      </c>
      <c r="E78" s="24">
        <f>IF('历史数据'!G90="","",'历史数据'!G90/100000000)</f>
        <v/>
      </c>
      <c r="F78" s="26">
        <f>IF(OR('历史数据'!G90="",'历史数据'!H90&lt;=0),"",'历史数据'!G90/'历史数据'!H90-1)</f>
        <v/>
      </c>
      <c r="G78" s="26">
        <f>IF(OR('历史数据'!G90&lt;=0,'历史数据'!I90&lt;=0),"",POWER('历史数据'!G90/'历史数据'!I90,1/3)-1)</f>
        <v/>
      </c>
      <c r="H78" s="26">
        <f>IF(OR('历史数据'!G90&lt;=0,'历史数据'!J90=""),"",('历史数据'!G90-'历史数据'!J90)/'历史数据'!G90)</f>
        <v/>
      </c>
      <c r="I78" s="27">
        <f>IF(OR(H78="",'历史数据'!H90&lt;=0,'历史数据'!K90=""),"",(H78-('历史数据'!H90-'历史数据'!K90)/'历史数据'!H90)*100)</f>
        <v/>
      </c>
      <c r="J78" s="27">
        <f>IF(OR(H78="",'历史数据'!I90&lt;=0,'历史数据'!L90=""),"",(H78-('历史数据'!I90-'历史数据'!L90)/'历史数据'!I90)*100)</f>
        <v/>
      </c>
      <c r="K78" s="24">
        <f>IF('历史数据'!M90="","",'历史数据'!M90/100000000)</f>
        <v/>
      </c>
      <c r="L78" s="26">
        <f>IF(OR('历史数据'!G90=0,'历史数据'!M90=""),"",'历史数据'!M90/'历史数据'!G90)</f>
        <v/>
      </c>
      <c r="M78" s="26">
        <f>IF(OR('历史数据'!M90="",'历史数据'!N90=0),"",('历史数据'!M90-'历史数据'!N90)/ABS('历史数据'!N90))</f>
        <v/>
      </c>
      <c r="N78" s="26">
        <f>IF(OR('历史数据'!M90&lt;=0,'历史数据'!O90&lt;=0),"",POWER('历史数据'!M90/'历史数据'!O90,1/3)-1)</f>
        <v/>
      </c>
      <c r="O78" s="24">
        <f>IF('历史数据'!P90="","",'历史数据'!P90/100000000)</f>
        <v/>
      </c>
      <c r="P78" s="26">
        <f>IF(OR('历史数据'!P90="",'历史数据'!Q90=0),"",('历史数据'!P90-'历史数据'!Q90)/ABS('历史数据'!Q90))</f>
        <v/>
      </c>
      <c r="Q78" s="26">
        <f>IF(OR('历史数据'!P90&lt;=0,'历史数据'!R90&lt;=0),"",POWER('历史数据'!P90/'历史数据'!R90,1/3)-1)</f>
        <v/>
      </c>
      <c r="R78" s="24">
        <f>IF('历史数据'!S90="","",'历史数据'!S90/100000000)</f>
        <v/>
      </c>
      <c r="S78" s="25">
        <f>IF('历史数据'!T90="","",'历史数据'!T90)</f>
        <v/>
      </c>
      <c r="T78" s="28">
        <f>IF('历史数据'!U90="","",'历史数据'!U90)</f>
        <v/>
      </c>
      <c r="U78" s="28">
        <f>IF('历史数据'!V90="","",'历史数据'!V90/100000000)</f>
        <v/>
      </c>
      <c r="V78" s="24">
        <f>IF('历史数据'!W90="","",'历史数据'!W90/100000000)</f>
        <v/>
      </c>
      <c r="W78" s="28">
        <f>IF('历史数据'!X90="","",'历史数据'!X90)</f>
        <v/>
      </c>
      <c r="X78" s="26">
        <f>IF(OR(R78="",V78&lt;=0),"",R78/V78-1)</f>
        <v/>
      </c>
      <c r="Y78" s="29">
        <f>IF('历史数据'!Y90="","",'历史数据'!Y90)</f>
        <v/>
      </c>
      <c r="Z78" s="24">
        <f>IF('历史数据'!Z90="","",'历史数据'!Z90/100000000)</f>
        <v/>
      </c>
      <c r="AA78" s="24">
        <f>IF('历史数据'!AA90="","",'历史数据'!AA90/100000000)</f>
        <v/>
      </c>
      <c r="AB78" s="24">
        <f>IF('历史数据'!AB90="","",'历史数据'!AB90/100000000)</f>
        <v/>
      </c>
      <c r="AC78" s="13" t="inlineStr">
        <is>
          <t>近五个交易日资金净额:optional_missing；近一月资金净额（最近22个交易日）:optional_missing</t>
        </is>
      </c>
      <c r="AD78" s="13" t="inlineStr">
        <is>
          <t>SUCCESS</t>
        </is>
      </c>
    </row>
    <row r="79" ht="21" customHeight="1" s="3">
      <c r="A79" s="12" t="inlineStr">
        <is>
          <t>920726</t>
        </is>
      </c>
      <c r="B79" s="13" t="inlineStr">
        <is>
          <t>朱老六</t>
        </is>
      </c>
      <c r="C79" s="25">
        <f>IF('历史数据'!D67="","",'历史数据'!D67)</f>
        <v/>
      </c>
      <c r="D79" s="13">
        <f>IF('历史数据'!E67="","",'历史数据'!E67)</f>
        <v/>
      </c>
      <c r="E79" s="24">
        <f>IF('历史数据'!G67="","",'历史数据'!G67/100000000)</f>
        <v/>
      </c>
      <c r="F79" s="26">
        <f>IF(OR('历史数据'!G67="",'历史数据'!H67&lt;=0),"",'历史数据'!G67/'历史数据'!H67-1)</f>
        <v/>
      </c>
      <c r="G79" s="26">
        <f>IF(OR('历史数据'!G67&lt;=0,'历史数据'!I67&lt;=0),"",POWER('历史数据'!G67/'历史数据'!I67,1/3)-1)</f>
        <v/>
      </c>
      <c r="H79" s="26">
        <f>IF(OR('历史数据'!G67&lt;=0,'历史数据'!J67=""),"",('历史数据'!G67-'历史数据'!J67)/'历史数据'!G67)</f>
        <v/>
      </c>
      <c r="I79" s="27">
        <f>IF(OR(H79="",'历史数据'!H67&lt;=0,'历史数据'!K67=""),"",(H79-('历史数据'!H67-'历史数据'!K67)/'历史数据'!H67)*100)</f>
        <v/>
      </c>
      <c r="J79" s="27">
        <f>IF(OR(H79="",'历史数据'!I67&lt;=0,'历史数据'!L67=""),"",(H79-('历史数据'!I67-'历史数据'!L67)/'历史数据'!I67)*100)</f>
        <v/>
      </c>
      <c r="K79" s="24">
        <f>IF('历史数据'!M67="","",'历史数据'!M67/100000000)</f>
        <v/>
      </c>
      <c r="L79" s="26">
        <f>IF(OR('历史数据'!G67=0,'历史数据'!M67=""),"",'历史数据'!M67/'历史数据'!G67)</f>
        <v/>
      </c>
      <c r="M79" s="26">
        <f>IF(OR('历史数据'!M67="",'历史数据'!N67=0),"",('历史数据'!M67-'历史数据'!N67)/ABS('历史数据'!N67))</f>
        <v/>
      </c>
      <c r="N79" s="26">
        <f>IF(OR('历史数据'!M67&lt;=0,'历史数据'!O67&lt;=0),"",POWER('历史数据'!M67/'历史数据'!O67,1/3)-1)</f>
        <v/>
      </c>
      <c r="O79" s="24">
        <f>IF('历史数据'!P67="","",'历史数据'!P67/100000000)</f>
        <v/>
      </c>
      <c r="P79" s="26">
        <f>IF(OR('历史数据'!P67="",'历史数据'!Q67=0),"",('历史数据'!P67-'历史数据'!Q67)/ABS('历史数据'!Q67))</f>
        <v/>
      </c>
      <c r="Q79" s="26">
        <f>IF(OR('历史数据'!P67&lt;=0,'历史数据'!R67&lt;=0),"",POWER('历史数据'!P67/'历史数据'!R67,1/3)-1)</f>
        <v/>
      </c>
      <c r="R79" s="24">
        <f>IF('历史数据'!S67="","",'历史数据'!S67/100000000)</f>
        <v/>
      </c>
      <c r="S79" s="25">
        <f>IF('历史数据'!T67="","",'历史数据'!T67)</f>
        <v/>
      </c>
      <c r="T79" s="28">
        <f>IF('历史数据'!U67="","",'历史数据'!U67)</f>
        <v/>
      </c>
      <c r="U79" s="28">
        <f>IF('历史数据'!V67="","",'历史数据'!V67/100000000)</f>
        <v/>
      </c>
      <c r="V79" s="24">
        <f>IF('历史数据'!W67="","",'历史数据'!W67/100000000)</f>
        <v/>
      </c>
      <c r="W79" s="28">
        <f>IF('历史数据'!X67="","",'历史数据'!X67)</f>
        <v/>
      </c>
      <c r="X79" s="26">
        <f>IF(OR(R79="",V79&lt;=0),"",R79/V79-1)</f>
        <v/>
      </c>
      <c r="Y79" s="29">
        <f>IF('历史数据'!Y67="","",'历史数据'!Y67)</f>
        <v/>
      </c>
      <c r="Z79" s="24">
        <f>IF('历史数据'!Z67="","",'历史数据'!Z67/100000000)</f>
        <v/>
      </c>
      <c r="AA79" s="24">
        <f>IF('历史数据'!AA67="","",'历史数据'!AA67/100000000)</f>
        <v/>
      </c>
      <c r="AB79" s="24">
        <f>IF('历史数据'!AB67="","",'历史数据'!AB67/100000000)</f>
        <v/>
      </c>
      <c r="AC79" s="13" t="inlineStr">
        <is>
          <t>近五个交易日资金净额:optional_missing；近一月资金净额（最近22个交易日）:optional_missing</t>
        </is>
      </c>
      <c r="AD79" s="13" t="inlineStr">
        <is>
          <t>SUCCESS</t>
        </is>
      </c>
    </row>
    <row r="80" ht="21" customHeight="1" s="3">
      <c r="A80" s="12" t="inlineStr">
        <is>
          <t>920961</t>
        </is>
      </c>
      <c r="B80" s="13" t="inlineStr">
        <is>
          <t>创远信科</t>
        </is>
      </c>
      <c r="C80" s="25">
        <f>IF('历史数据'!D12="","",'历史数据'!D12)</f>
        <v/>
      </c>
      <c r="D80" s="13">
        <f>IF('历史数据'!E12="","",'历史数据'!E12)</f>
        <v/>
      </c>
      <c r="E80" s="24">
        <f>IF('历史数据'!G12="","",'历史数据'!G12/100000000)</f>
        <v/>
      </c>
      <c r="F80" s="26">
        <f>IF(OR('历史数据'!G12="",'历史数据'!H12&lt;=0),"",'历史数据'!G12/'历史数据'!H12-1)</f>
        <v/>
      </c>
      <c r="G80" s="26">
        <f>IF(OR('历史数据'!G12&lt;=0,'历史数据'!I12&lt;=0),"",POWER('历史数据'!G12/'历史数据'!I12,1/3)-1)</f>
        <v/>
      </c>
      <c r="H80" s="26">
        <f>IF(OR('历史数据'!G12&lt;=0,'历史数据'!J12=""),"",('历史数据'!G12-'历史数据'!J12)/'历史数据'!G12)</f>
        <v/>
      </c>
      <c r="I80" s="27">
        <f>IF(OR(H80="",'历史数据'!H12&lt;=0,'历史数据'!K12=""),"",(H80-('历史数据'!H12-'历史数据'!K12)/'历史数据'!H12)*100)</f>
        <v/>
      </c>
      <c r="J80" s="27">
        <f>IF(OR(H80="",'历史数据'!I12&lt;=0,'历史数据'!L12=""),"",(H80-('历史数据'!I12-'历史数据'!L12)/'历史数据'!I12)*100)</f>
        <v/>
      </c>
      <c r="K80" s="24">
        <f>IF('历史数据'!M12="","",'历史数据'!M12/100000000)</f>
        <v/>
      </c>
      <c r="L80" s="26">
        <f>IF(OR('历史数据'!G12=0,'历史数据'!M12=""),"",'历史数据'!M12/'历史数据'!G12)</f>
        <v/>
      </c>
      <c r="M80" s="26">
        <f>IF(OR('历史数据'!M12="",'历史数据'!N12=0),"",('历史数据'!M12-'历史数据'!N12)/ABS('历史数据'!N12))</f>
        <v/>
      </c>
      <c r="N80" s="26">
        <f>IF(OR('历史数据'!M12&lt;=0,'历史数据'!O12&lt;=0),"",POWER('历史数据'!M12/'历史数据'!O12,1/3)-1)</f>
        <v/>
      </c>
      <c r="O80" s="24">
        <f>IF('历史数据'!P12="","",'历史数据'!P12/100000000)</f>
        <v/>
      </c>
      <c r="P80" s="26">
        <f>IF(OR('历史数据'!P12="",'历史数据'!Q12=0),"",('历史数据'!P12-'历史数据'!Q12)/ABS('历史数据'!Q12))</f>
        <v/>
      </c>
      <c r="Q80" s="26">
        <f>IF(OR('历史数据'!P12&lt;=0,'历史数据'!R12&lt;=0),"",POWER('历史数据'!P12/'历史数据'!R12,1/3)-1)</f>
        <v/>
      </c>
      <c r="R80" s="24">
        <f>IF('历史数据'!S12="","",'历史数据'!S12/100000000)</f>
        <v/>
      </c>
      <c r="S80" s="25">
        <f>IF('历史数据'!T12="","",'历史数据'!T12)</f>
        <v/>
      </c>
      <c r="T80" s="28">
        <f>IF('历史数据'!U12="","",'历史数据'!U12)</f>
        <v/>
      </c>
      <c r="U80" s="28">
        <f>IF('历史数据'!V12="","",'历史数据'!V12/100000000)</f>
        <v/>
      </c>
      <c r="V80" s="24">
        <f>IF('历史数据'!W12="","",'历史数据'!W12/100000000)</f>
        <v/>
      </c>
      <c r="W80" s="28">
        <f>IF('历史数据'!X12="","",'历史数据'!X12)</f>
        <v/>
      </c>
      <c r="X80" s="26">
        <f>IF(OR(R80="",V80&lt;=0),"",R80/V80-1)</f>
        <v/>
      </c>
      <c r="Y80" s="29">
        <f>IF('历史数据'!Y12="","",'历史数据'!Y12)</f>
        <v/>
      </c>
      <c r="Z80" s="24">
        <f>IF('历史数据'!Z12="","",'历史数据'!Z12/100000000)</f>
        <v/>
      </c>
      <c r="AA80" s="24">
        <f>IF('历史数据'!AA12="","",'历史数据'!AA12/100000000)</f>
        <v/>
      </c>
      <c r="AB80" s="24">
        <f>IF('历史数据'!AB12="","",'历史数据'!AB12/100000000)</f>
        <v/>
      </c>
      <c r="AC80" s="13" t="inlineStr">
        <is>
          <t>近五个交易日资金净额:optional_missing；近一月资金净额（最近22个交易日）:optional_missing</t>
        </is>
      </c>
      <c r="AD80" s="13" t="inlineStr">
        <is>
          <t>SUCCESS</t>
        </is>
      </c>
    </row>
    <row r="81" ht="21" customHeight="1" s="3">
      <c r="A81" s="12" t="inlineStr">
        <is>
          <t>920719</t>
        </is>
      </c>
      <c r="B81" s="13" t="inlineStr">
        <is>
          <t>宁新新材</t>
        </is>
      </c>
      <c r="C81" s="25">
        <f>IF('历史数据'!D70="","",'历史数据'!D70)</f>
        <v/>
      </c>
      <c r="D81" s="13">
        <f>IF('历史数据'!E70="","",'历史数据'!E70)</f>
        <v/>
      </c>
      <c r="E81" s="24">
        <f>IF('历史数据'!G70="","",'历史数据'!G70/100000000)</f>
        <v/>
      </c>
      <c r="F81" s="26">
        <f>IF(OR('历史数据'!G70="",'历史数据'!H70&lt;=0),"",'历史数据'!G70/'历史数据'!H70-1)</f>
        <v/>
      </c>
      <c r="G81" s="26">
        <f>IF(OR('历史数据'!G70&lt;=0,'历史数据'!I70&lt;=0),"",POWER('历史数据'!G70/'历史数据'!I70,1/3)-1)</f>
        <v/>
      </c>
      <c r="H81" s="26">
        <f>IF(OR('历史数据'!G70&lt;=0,'历史数据'!J70=""),"",('历史数据'!G70-'历史数据'!J70)/'历史数据'!G70)</f>
        <v/>
      </c>
      <c r="I81" s="27">
        <f>IF(OR(H81="",'历史数据'!H70&lt;=0,'历史数据'!K70=""),"",(H81-('历史数据'!H70-'历史数据'!K70)/'历史数据'!H70)*100)</f>
        <v/>
      </c>
      <c r="J81" s="27">
        <f>IF(OR(H81="",'历史数据'!I70&lt;=0,'历史数据'!L70=""),"",(H81-('历史数据'!I70-'历史数据'!L70)/'历史数据'!I70)*100)</f>
        <v/>
      </c>
      <c r="K81" s="24">
        <f>IF('历史数据'!M70="","",'历史数据'!M70/100000000)</f>
        <v/>
      </c>
      <c r="L81" s="26">
        <f>IF(OR('历史数据'!G70=0,'历史数据'!M70=""),"",'历史数据'!M70/'历史数据'!G70)</f>
        <v/>
      </c>
      <c r="M81" s="26">
        <f>IF(OR('历史数据'!M70="",'历史数据'!N70=0),"",('历史数据'!M70-'历史数据'!N70)/ABS('历史数据'!N70))</f>
        <v/>
      </c>
      <c r="N81" s="26">
        <f>IF(OR('历史数据'!M70&lt;=0,'历史数据'!O70&lt;=0),"",POWER('历史数据'!M70/'历史数据'!O70,1/3)-1)</f>
        <v/>
      </c>
      <c r="O81" s="24">
        <f>IF('历史数据'!P70="","",'历史数据'!P70/100000000)</f>
        <v/>
      </c>
      <c r="P81" s="26">
        <f>IF(OR('历史数据'!P70="",'历史数据'!Q70=0),"",('历史数据'!P70-'历史数据'!Q70)/ABS('历史数据'!Q70))</f>
        <v/>
      </c>
      <c r="Q81" s="26">
        <f>IF(OR('历史数据'!P70&lt;=0,'历史数据'!R70&lt;=0),"",POWER('历史数据'!P70/'历史数据'!R70,1/3)-1)</f>
        <v/>
      </c>
      <c r="R81" s="24">
        <f>IF('历史数据'!S70="","",'历史数据'!S70/100000000)</f>
        <v/>
      </c>
      <c r="S81" s="25">
        <f>IF('历史数据'!T70="","",'历史数据'!T70)</f>
        <v/>
      </c>
      <c r="T81" s="28">
        <f>IF('历史数据'!U70="","",'历史数据'!U70)</f>
        <v/>
      </c>
      <c r="U81" s="28">
        <f>IF('历史数据'!V70="","",'历史数据'!V70/100000000)</f>
        <v/>
      </c>
      <c r="V81" s="24">
        <f>IF('历史数据'!W70="","",'历史数据'!W70/100000000)</f>
        <v/>
      </c>
      <c r="W81" s="28">
        <f>IF('历史数据'!X70="","",'历史数据'!X70)</f>
        <v/>
      </c>
      <c r="X81" s="26">
        <f>IF(OR(R81="",V81&lt;=0),"",R81/V81-1)</f>
        <v/>
      </c>
      <c r="Y81" s="29">
        <f>IF('历史数据'!Y70="","",'历史数据'!Y70)</f>
        <v/>
      </c>
      <c r="Z81" s="24">
        <f>IF('历史数据'!Z70="","",'历史数据'!Z70/100000000)</f>
        <v/>
      </c>
      <c r="AA81" s="24">
        <f>IF('历史数据'!AA70="","",'历史数据'!AA70/100000000)</f>
        <v/>
      </c>
      <c r="AB81" s="24">
        <f>IF('历史数据'!AB70="","",'历史数据'!AB70/100000000)</f>
        <v/>
      </c>
      <c r="AC81" s="13" t="inlineStr">
        <is>
          <t>近五个交易日资金净额:optional_missing；近一月资金净额（最近22个交易日）:optional_missing</t>
        </is>
      </c>
      <c r="AD81" s="13" t="inlineStr">
        <is>
          <t>SUCCESS</t>
        </is>
      </c>
    </row>
    <row r="82" ht="21" customHeight="1" s="3">
      <c r="A82" s="12" t="inlineStr">
        <is>
          <t>920802</t>
        </is>
      </c>
      <c r="B82" s="13" t="inlineStr">
        <is>
          <t>保丽洁</t>
        </is>
      </c>
      <c r="C82" s="25">
        <f>IF('历史数据'!D52="","",'历史数据'!D52)</f>
        <v/>
      </c>
      <c r="D82" s="13">
        <f>IF('历史数据'!E52="","",'历史数据'!E52)</f>
        <v/>
      </c>
      <c r="E82" s="24">
        <f>IF('历史数据'!G52="","",'历史数据'!G52/100000000)</f>
        <v/>
      </c>
      <c r="F82" s="26">
        <f>IF(OR('历史数据'!G52="",'历史数据'!H52&lt;=0),"",'历史数据'!G52/'历史数据'!H52-1)</f>
        <v/>
      </c>
      <c r="G82" s="26">
        <f>IF(OR('历史数据'!G52&lt;=0,'历史数据'!I52&lt;=0),"",POWER('历史数据'!G52/'历史数据'!I52,1/3)-1)</f>
        <v/>
      </c>
      <c r="H82" s="26">
        <f>IF(OR('历史数据'!G52&lt;=0,'历史数据'!J52=""),"",('历史数据'!G52-'历史数据'!J52)/'历史数据'!G52)</f>
        <v/>
      </c>
      <c r="I82" s="27">
        <f>IF(OR(H82="",'历史数据'!H52&lt;=0,'历史数据'!K52=""),"",(H82-('历史数据'!H52-'历史数据'!K52)/'历史数据'!H52)*100)</f>
        <v/>
      </c>
      <c r="J82" s="27">
        <f>IF(OR(H82="",'历史数据'!I52&lt;=0,'历史数据'!L52=""),"",(H82-('历史数据'!I52-'历史数据'!L52)/'历史数据'!I52)*100)</f>
        <v/>
      </c>
      <c r="K82" s="24">
        <f>IF('历史数据'!M52="","",'历史数据'!M52/100000000)</f>
        <v/>
      </c>
      <c r="L82" s="26">
        <f>IF(OR('历史数据'!G52=0,'历史数据'!M52=""),"",'历史数据'!M52/'历史数据'!G52)</f>
        <v/>
      </c>
      <c r="M82" s="26">
        <f>IF(OR('历史数据'!M52="",'历史数据'!N52=0),"",('历史数据'!M52-'历史数据'!N52)/ABS('历史数据'!N52))</f>
        <v/>
      </c>
      <c r="N82" s="26">
        <f>IF(OR('历史数据'!M52&lt;=0,'历史数据'!O52&lt;=0),"",POWER('历史数据'!M52/'历史数据'!O52,1/3)-1)</f>
        <v/>
      </c>
      <c r="O82" s="24">
        <f>IF('历史数据'!P52="","",'历史数据'!P52/100000000)</f>
        <v/>
      </c>
      <c r="P82" s="26">
        <f>IF(OR('历史数据'!P52="",'历史数据'!Q52=0),"",('历史数据'!P52-'历史数据'!Q52)/ABS('历史数据'!Q52))</f>
        <v/>
      </c>
      <c r="Q82" s="26">
        <f>IF(OR('历史数据'!P52&lt;=0,'历史数据'!R52&lt;=0),"",POWER('历史数据'!P52/'历史数据'!R52,1/3)-1)</f>
        <v/>
      </c>
      <c r="R82" s="24">
        <f>IF('历史数据'!S52="","",'历史数据'!S52/100000000)</f>
        <v/>
      </c>
      <c r="S82" s="25">
        <f>IF('历史数据'!T52="","",'历史数据'!T52)</f>
        <v/>
      </c>
      <c r="T82" s="28">
        <f>IF('历史数据'!U52="","",'历史数据'!U52)</f>
        <v/>
      </c>
      <c r="U82" s="28">
        <f>IF('历史数据'!V52="","",'历史数据'!V52/100000000)</f>
        <v/>
      </c>
      <c r="V82" s="24">
        <f>IF('历史数据'!W52="","",'历史数据'!W52/100000000)</f>
        <v/>
      </c>
      <c r="W82" s="28">
        <f>IF('历史数据'!X52="","",'历史数据'!X52)</f>
        <v/>
      </c>
      <c r="X82" s="26">
        <f>IF(OR(R82="",V82&lt;=0),"",R82/V82-1)</f>
        <v/>
      </c>
      <c r="Y82" s="29">
        <f>IF('历史数据'!Y52="","",'历史数据'!Y52)</f>
        <v/>
      </c>
      <c r="Z82" s="24">
        <f>IF('历史数据'!Z52="","",'历史数据'!Z52/100000000)</f>
        <v/>
      </c>
      <c r="AA82" s="24">
        <f>IF('历史数据'!AA52="","",'历史数据'!AA52/100000000)</f>
        <v/>
      </c>
      <c r="AB82" s="24">
        <f>IF('历史数据'!AB52="","",'历史数据'!AB52/100000000)</f>
        <v/>
      </c>
      <c r="AC82" s="13" t="inlineStr">
        <is>
          <t>近五个交易日资金净额:optional_missing；近一月资金净额（最近22个交易日）:optional_missing</t>
        </is>
      </c>
      <c r="AD82" s="13" t="inlineStr">
        <is>
          <t>SUCCESS</t>
        </is>
      </c>
    </row>
    <row r="83" ht="21" customHeight="1" s="3">
      <c r="A83" s="12" t="inlineStr">
        <is>
          <t>920885</t>
        </is>
      </c>
      <c r="B83" s="13" t="inlineStr">
        <is>
          <t>星辰科技</t>
        </is>
      </c>
      <c r="C83" s="25">
        <f>IF('历史数据'!D29="","",'历史数据'!D29)</f>
        <v/>
      </c>
      <c r="D83" s="13">
        <f>IF('历史数据'!E29="","",'历史数据'!E29)</f>
        <v/>
      </c>
      <c r="E83" s="24">
        <f>IF('历史数据'!G29="","",'历史数据'!G29/100000000)</f>
        <v/>
      </c>
      <c r="F83" s="26">
        <f>IF(OR('历史数据'!G29="",'历史数据'!H29&lt;=0),"",'历史数据'!G29/'历史数据'!H29-1)</f>
        <v/>
      </c>
      <c r="G83" s="26">
        <f>IF(OR('历史数据'!G29&lt;=0,'历史数据'!I29&lt;=0),"",POWER('历史数据'!G29/'历史数据'!I29,1/3)-1)</f>
        <v/>
      </c>
      <c r="H83" s="26">
        <f>IF(OR('历史数据'!G29&lt;=0,'历史数据'!J29=""),"",('历史数据'!G29-'历史数据'!J29)/'历史数据'!G29)</f>
        <v/>
      </c>
      <c r="I83" s="27">
        <f>IF(OR(H83="",'历史数据'!H29&lt;=0,'历史数据'!K29=""),"",(H83-('历史数据'!H29-'历史数据'!K29)/'历史数据'!H29)*100)</f>
        <v/>
      </c>
      <c r="J83" s="27">
        <f>IF(OR(H83="",'历史数据'!I29&lt;=0,'历史数据'!L29=""),"",(H83-('历史数据'!I29-'历史数据'!L29)/'历史数据'!I29)*100)</f>
        <v/>
      </c>
      <c r="K83" s="24">
        <f>IF('历史数据'!M29="","",'历史数据'!M29/100000000)</f>
        <v/>
      </c>
      <c r="L83" s="26">
        <f>IF(OR('历史数据'!G29=0,'历史数据'!M29=""),"",'历史数据'!M29/'历史数据'!G29)</f>
        <v/>
      </c>
      <c r="M83" s="26">
        <f>IF(OR('历史数据'!M29="",'历史数据'!N29=0),"",('历史数据'!M29-'历史数据'!N29)/ABS('历史数据'!N29))</f>
        <v/>
      </c>
      <c r="N83" s="26">
        <f>IF(OR('历史数据'!M29&lt;=0,'历史数据'!O29&lt;=0),"",POWER('历史数据'!M29/'历史数据'!O29,1/3)-1)</f>
        <v/>
      </c>
      <c r="O83" s="24">
        <f>IF('历史数据'!P29="","",'历史数据'!P29/100000000)</f>
        <v/>
      </c>
      <c r="P83" s="26">
        <f>IF(OR('历史数据'!P29="",'历史数据'!Q29=0),"",('历史数据'!P29-'历史数据'!Q29)/ABS('历史数据'!Q29))</f>
        <v/>
      </c>
      <c r="Q83" s="26">
        <f>IF(OR('历史数据'!P29&lt;=0,'历史数据'!R29&lt;=0),"",POWER('历史数据'!P29/'历史数据'!R29,1/3)-1)</f>
        <v/>
      </c>
      <c r="R83" s="24">
        <f>IF('历史数据'!S29="","",'历史数据'!S29/100000000)</f>
        <v/>
      </c>
      <c r="S83" s="25">
        <f>IF('历史数据'!T29="","",'历史数据'!T29)</f>
        <v/>
      </c>
      <c r="T83" s="28">
        <f>IF('历史数据'!U29="","",'历史数据'!U29)</f>
        <v/>
      </c>
      <c r="U83" s="28">
        <f>IF('历史数据'!V29="","",'历史数据'!V29/100000000)</f>
        <v/>
      </c>
      <c r="V83" s="24">
        <f>IF('历史数据'!W29="","",'历史数据'!W29/100000000)</f>
        <v/>
      </c>
      <c r="W83" s="28">
        <f>IF('历史数据'!X29="","",'历史数据'!X29)</f>
        <v/>
      </c>
      <c r="X83" s="26">
        <f>IF(OR(R83="",V83&lt;=0),"",R83/V83-1)</f>
        <v/>
      </c>
      <c r="Y83" s="29">
        <f>IF('历史数据'!Y29="","",'历史数据'!Y29)</f>
        <v/>
      </c>
      <c r="Z83" s="24">
        <f>IF('历史数据'!Z29="","",'历史数据'!Z29/100000000)</f>
        <v/>
      </c>
      <c r="AA83" s="24">
        <f>IF('历史数据'!AA29="","",'历史数据'!AA29/100000000)</f>
        <v/>
      </c>
      <c r="AB83" s="24">
        <f>IF('历史数据'!AB29="","",'历史数据'!AB29/100000000)</f>
        <v/>
      </c>
      <c r="AC83" s="13" t="inlineStr">
        <is>
          <t>近五个交易日资金净额:optional_missing；近一月资金净额（最近22个交易日）:optional_missing</t>
        </is>
      </c>
      <c r="AD83" s="13" t="inlineStr">
        <is>
          <t>SUCCESS</t>
        </is>
      </c>
    </row>
    <row r="84" ht="21" customHeight="1" s="3">
      <c r="A84" s="12" t="inlineStr">
        <is>
          <t>920790</t>
        </is>
      </c>
      <c r="B84" s="13" t="inlineStr">
        <is>
          <t>联迪信息</t>
        </is>
      </c>
      <c r="C84" s="25">
        <f>IF('历史数据'!D55="","",'历史数据'!D55)</f>
        <v/>
      </c>
      <c r="D84" s="13">
        <f>IF('历史数据'!E55="","",'历史数据'!E55)</f>
        <v/>
      </c>
      <c r="E84" s="24">
        <f>IF('历史数据'!G55="","",'历史数据'!G55/100000000)</f>
        <v/>
      </c>
      <c r="F84" s="26">
        <f>IF(OR('历史数据'!G55="",'历史数据'!H55&lt;=0),"",'历史数据'!G55/'历史数据'!H55-1)</f>
        <v/>
      </c>
      <c r="G84" s="26">
        <f>IF(OR('历史数据'!G55&lt;=0,'历史数据'!I55&lt;=0),"",POWER('历史数据'!G55/'历史数据'!I55,1/3)-1)</f>
        <v/>
      </c>
      <c r="H84" s="26">
        <f>IF(OR('历史数据'!G55&lt;=0,'历史数据'!J55=""),"",('历史数据'!G55-'历史数据'!J55)/'历史数据'!G55)</f>
        <v/>
      </c>
      <c r="I84" s="27">
        <f>IF(OR(H84="",'历史数据'!H55&lt;=0,'历史数据'!K55=""),"",(H84-('历史数据'!H55-'历史数据'!K55)/'历史数据'!H55)*100)</f>
        <v/>
      </c>
      <c r="J84" s="27">
        <f>IF(OR(H84="",'历史数据'!I55&lt;=0,'历史数据'!L55=""),"",(H84-('历史数据'!I55-'历史数据'!L55)/'历史数据'!I55)*100)</f>
        <v/>
      </c>
      <c r="K84" s="24">
        <f>IF('历史数据'!M55="","",'历史数据'!M55/100000000)</f>
        <v/>
      </c>
      <c r="L84" s="26">
        <f>IF(OR('历史数据'!G55=0,'历史数据'!M55=""),"",'历史数据'!M55/'历史数据'!G55)</f>
        <v/>
      </c>
      <c r="M84" s="26">
        <f>IF(OR('历史数据'!M55="",'历史数据'!N55=0),"",('历史数据'!M55-'历史数据'!N55)/ABS('历史数据'!N55))</f>
        <v/>
      </c>
      <c r="N84" s="26">
        <f>IF(OR('历史数据'!M55&lt;=0,'历史数据'!O55&lt;=0),"",POWER('历史数据'!M55/'历史数据'!O55,1/3)-1)</f>
        <v/>
      </c>
      <c r="O84" s="24">
        <f>IF('历史数据'!P55="","",'历史数据'!P55/100000000)</f>
        <v/>
      </c>
      <c r="P84" s="26">
        <f>IF(OR('历史数据'!P55="",'历史数据'!Q55=0),"",('历史数据'!P55-'历史数据'!Q55)/ABS('历史数据'!Q55))</f>
        <v/>
      </c>
      <c r="Q84" s="26">
        <f>IF(OR('历史数据'!P55&lt;=0,'历史数据'!R55&lt;=0),"",POWER('历史数据'!P55/'历史数据'!R55,1/3)-1)</f>
        <v/>
      </c>
      <c r="R84" s="24">
        <f>IF('历史数据'!S55="","",'历史数据'!S55/100000000)</f>
        <v/>
      </c>
      <c r="S84" s="25">
        <f>IF('历史数据'!T55="","",'历史数据'!T55)</f>
        <v/>
      </c>
      <c r="T84" s="28">
        <f>IF('历史数据'!U55="","",'历史数据'!U55)</f>
        <v/>
      </c>
      <c r="U84" s="28">
        <f>IF('历史数据'!V55="","",'历史数据'!V55/100000000)</f>
        <v/>
      </c>
      <c r="V84" s="24">
        <f>IF('历史数据'!W55="","",'历史数据'!W55/100000000)</f>
        <v/>
      </c>
      <c r="W84" s="28">
        <f>IF('历史数据'!X55="","",'历史数据'!X55)</f>
        <v/>
      </c>
      <c r="X84" s="26">
        <f>IF(OR(R84="",V84&lt;=0),"",R84/V84-1)</f>
        <v/>
      </c>
      <c r="Y84" s="29">
        <f>IF('历史数据'!Y55="","",'历史数据'!Y55)</f>
        <v/>
      </c>
      <c r="Z84" s="24">
        <f>IF('历史数据'!Z55="","",'历史数据'!Z55/100000000)</f>
        <v/>
      </c>
      <c r="AA84" s="24">
        <f>IF('历史数据'!AA55="","",'历史数据'!AA55/100000000)</f>
        <v/>
      </c>
      <c r="AB84" s="24">
        <f>IF('历史数据'!AB55="","",'历史数据'!AB55/100000000)</f>
        <v/>
      </c>
      <c r="AC84" s="13" t="inlineStr">
        <is>
          <t>近五个交易日资金净额:optional_missing；近一月资金净额（最近22个交易日）:optional_missing</t>
        </is>
      </c>
      <c r="AD84" s="13" t="inlineStr">
        <is>
          <t>SUCCESS</t>
        </is>
      </c>
    </row>
    <row r="85" ht="21" customHeight="1" s="3">
      <c r="A85" s="12" t="inlineStr">
        <is>
          <t>920950</t>
        </is>
      </c>
      <c r="B85" s="13" t="inlineStr">
        <is>
          <t>迅安科技</t>
        </is>
      </c>
      <c r="C85" s="25">
        <f>IF('历史数据'!D15="","",'历史数据'!D15)</f>
        <v/>
      </c>
      <c r="D85" s="13">
        <f>IF('历史数据'!E15="","",'历史数据'!E15)</f>
        <v/>
      </c>
      <c r="E85" s="24">
        <f>IF('历史数据'!G15="","",'历史数据'!G15/100000000)</f>
        <v/>
      </c>
      <c r="F85" s="26">
        <f>IF(OR('历史数据'!G15="",'历史数据'!H15&lt;=0),"",'历史数据'!G15/'历史数据'!H15-1)</f>
        <v/>
      </c>
      <c r="G85" s="26">
        <f>IF(OR('历史数据'!G15&lt;=0,'历史数据'!I15&lt;=0),"",POWER('历史数据'!G15/'历史数据'!I15,1/3)-1)</f>
        <v/>
      </c>
      <c r="H85" s="26">
        <f>IF(OR('历史数据'!G15&lt;=0,'历史数据'!J15=""),"",('历史数据'!G15-'历史数据'!J15)/'历史数据'!G15)</f>
        <v/>
      </c>
      <c r="I85" s="27">
        <f>IF(OR(H85="",'历史数据'!H15&lt;=0,'历史数据'!K15=""),"",(H85-('历史数据'!H15-'历史数据'!K15)/'历史数据'!H15)*100)</f>
        <v/>
      </c>
      <c r="J85" s="27">
        <f>IF(OR(H85="",'历史数据'!I15&lt;=0,'历史数据'!L15=""),"",(H85-('历史数据'!I15-'历史数据'!L15)/'历史数据'!I15)*100)</f>
        <v/>
      </c>
      <c r="K85" s="24">
        <f>IF('历史数据'!M15="","",'历史数据'!M15/100000000)</f>
        <v/>
      </c>
      <c r="L85" s="26">
        <f>IF(OR('历史数据'!G15=0,'历史数据'!M15=""),"",'历史数据'!M15/'历史数据'!G15)</f>
        <v/>
      </c>
      <c r="M85" s="26">
        <f>IF(OR('历史数据'!M15="",'历史数据'!N15=0),"",('历史数据'!M15-'历史数据'!N15)/ABS('历史数据'!N15))</f>
        <v/>
      </c>
      <c r="N85" s="26">
        <f>IF(OR('历史数据'!M15&lt;=0,'历史数据'!O15&lt;=0),"",POWER('历史数据'!M15/'历史数据'!O15,1/3)-1)</f>
        <v/>
      </c>
      <c r="O85" s="24">
        <f>IF('历史数据'!P15="","",'历史数据'!P15/100000000)</f>
        <v/>
      </c>
      <c r="P85" s="26">
        <f>IF(OR('历史数据'!P15="",'历史数据'!Q15=0),"",('历史数据'!P15-'历史数据'!Q15)/ABS('历史数据'!Q15))</f>
        <v/>
      </c>
      <c r="Q85" s="26">
        <f>IF(OR('历史数据'!P15&lt;=0,'历史数据'!R15&lt;=0),"",POWER('历史数据'!P15/'历史数据'!R15,1/3)-1)</f>
        <v/>
      </c>
      <c r="R85" s="24">
        <f>IF('历史数据'!S15="","",'历史数据'!S15/100000000)</f>
        <v/>
      </c>
      <c r="S85" s="25">
        <f>IF('历史数据'!T15="","",'历史数据'!T15)</f>
        <v/>
      </c>
      <c r="T85" s="28">
        <f>IF('历史数据'!U15="","",'历史数据'!U15)</f>
        <v/>
      </c>
      <c r="U85" s="28">
        <f>IF('历史数据'!V15="","",'历史数据'!V15/100000000)</f>
        <v/>
      </c>
      <c r="V85" s="24">
        <f>IF('历史数据'!W15="","",'历史数据'!W15/100000000)</f>
        <v/>
      </c>
      <c r="W85" s="28">
        <f>IF('历史数据'!X15="","",'历史数据'!X15)</f>
        <v/>
      </c>
      <c r="X85" s="26">
        <f>IF(OR(R85="",V85&lt;=0),"",R85/V85-1)</f>
        <v/>
      </c>
      <c r="Y85" s="29">
        <f>IF('历史数据'!Y15="","",'历史数据'!Y15)</f>
        <v/>
      </c>
      <c r="Z85" s="24">
        <f>IF('历史数据'!Z15="","",'历史数据'!Z15/100000000)</f>
        <v/>
      </c>
      <c r="AA85" s="24">
        <f>IF('历史数据'!AA15="","",'历史数据'!AA15/100000000)</f>
        <v/>
      </c>
      <c r="AB85" s="24">
        <f>IF('历史数据'!AB15="","",'历史数据'!AB15/100000000)</f>
        <v/>
      </c>
      <c r="AC85" s="13" t="inlineStr">
        <is>
          <t>近五个交易日资金净额:optional_missing；近一月资金净额（最近22个交易日）:optional_missing</t>
        </is>
      </c>
      <c r="AD85" s="13" t="inlineStr">
        <is>
          <t>SUCCESS</t>
        </is>
      </c>
    </row>
    <row r="86" ht="21" customHeight="1" s="3">
      <c r="A86" s="12" t="inlineStr">
        <is>
          <t>920592</t>
        </is>
      </c>
      <c r="B86" s="13" t="inlineStr">
        <is>
          <t>华信永道</t>
        </is>
      </c>
      <c r="C86" s="25">
        <f>IF('历史数据'!D101="","",'历史数据'!D101)</f>
        <v/>
      </c>
      <c r="D86" s="13">
        <f>IF('历史数据'!E101="","",'历史数据'!E101)</f>
        <v/>
      </c>
      <c r="E86" s="24">
        <f>IF('历史数据'!G101="","",'历史数据'!G101/100000000)</f>
        <v/>
      </c>
      <c r="F86" s="26">
        <f>IF(OR('历史数据'!G101="",'历史数据'!H101&lt;=0),"",'历史数据'!G101/'历史数据'!H101-1)</f>
        <v/>
      </c>
      <c r="G86" s="26">
        <f>IF(OR('历史数据'!G101&lt;=0,'历史数据'!I101&lt;=0),"",POWER('历史数据'!G101/'历史数据'!I101,1/3)-1)</f>
        <v/>
      </c>
      <c r="H86" s="26">
        <f>IF(OR('历史数据'!G101&lt;=0,'历史数据'!J101=""),"",('历史数据'!G101-'历史数据'!J101)/'历史数据'!G101)</f>
        <v/>
      </c>
      <c r="I86" s="27">
        <f>IF(OR(H86="",'历史数据'!H101&lt;=0,'历史数据'!K101=""),"",(H86-('历史数据'!H101-'历史数据'!K101)/'历史数据'!H101)*100)</f>
        <v/>
      </c>
      <c r="J86" s="27">
        <f>IF(OR(H86="",'历史数据'!I101&lt;=0,'历史数据'!L101=""),"",(H86-('历史数据'!I101-'历史数据'!L101)/'历史数据'!I101)*100)</f>
        <v/>
      </c>
      <c r="K86" s="24">
        <f>IF('历史数据'!M101="","",'历史数据'!M101/100000000)</f>
        <v/>
      </c>
      <c r="L86" s="26">
        <f>IF(OR('历史数据'!G101=0,'历史数据'!M101=""),"",'历史数据'!M101/'历史数据'!G101)</f>
        <v/>
      </c>
      <c r="M86" s="26">
        <f>IF(OR('历史数据'!M101="",'历史数据'!N101=0),"",('历史数据'!M101-'历史数据'!N101)/ABS('历史数据'!N101))</f>
        <v/>
      </c>
      <c r="N86" s="26">
        <f>IF(OR('历史数据'!M101&lt;=0,'历史数据'!O101&lt;=0),"",POWER('历史数据'!M101/'历史数据'!O101,1/3)-1)</f>
        <v/>
      </c>
      <c r="O86" s="24">
        <f>IF('历史数据'!P101="","",'历史数据'!P101/100000000)</f>
        <v/>
      </c>
      <c r="P86" s="26">
        <f>IF(OR('历史数据'!P101="",'历史数据'!Q101=0),"",('历史数据'!P101-'历史数据'!Q101)/ABS('历史数据'!Q101))</f>
        <v/>
      </c>
      <c r="Q86" s="26">
        <f>IF(OR('历史数据'!P101&lt;=0,'历史数据'!R101&lt;=0),"",POWER('历史数据'!P101/'历史数据'!R101,1/3)-1)</f>
        <v/>
      </c>
      <c r="R86" s="24">
        <f>IF('历史数据'!S101="","",'历史数据'!S101/100000000)</f>
        <v/>
      </c>
      <c r="S86" s="25">
        <f>IF('历史数据'!T101="","",'历史数据'!T101)</f>
        <v/>
      </c>
      <c r="T86" s="28">
        <f>IF('历史数据'!U101="","",'历史数据'!U101)</f>
        <v/>
      </c>
      <c r="U86" s="28">
        <f>IF('历史数据'!V101="","",'历史数据'!V101/100000000)</f>
        <v/>
      </c>
      <c r="V86" s="24">
        <f>IF('历史数据'!W101="","",'历史数据'!W101/100000000)</f>
        <v/>
      </c>
      <c r="W86" s="28">
        <f>IF('历史数据'!X101="","",'历史数据'!X101)</f>
        <v/>
      </c>
      <c r="X86" s="26">
        <f>IF(OR(R86="",V86&lt;=0),"",R86/V86-1)</f>
        <v/>
      </c>
      <c r="Y86" s="29">
        <f>IF('历史数据'!Y101="","",'历史数据'!Y101)</f>
        <v/>
      </c>
      <c r="Z86" s="24">
        <f>IF('历史数据'!Z101="","",'历史数据'!Z101/100000000)</f>
        <v/>
      </c>
      <c r="AA86" s="24">
        <f>IF('历史数据'!AA101="","",'历史数据'!AA101/100000000)</f>
        <v/>
      </c>
      <c r="AB86" s="24">
        <f>IF('历史数据'!AB101="","",'历史数据'!AB101/100000000)</f>
        <v/>
      </c>
      <c r="AC86" s="13" t="inlineStr">
        <is>
          <t>近五个交易日资金净额:optional_missing；近一月资金净额（最近22个交易日）:optional_missing</t>
        </is>
      </c>
      <c r="AD86" s="13" t="inlineStr">
        <is>
          <t>SUCCESS</t>
        </is>
      </c>
    </row>
    <row r="87" ht="21" customHeight="1" s="3">
      <c r="A87" s="12" t="inlineStr">
        <is>
          <t>920770</t>
        </is>
      </c>
      <c r="B87" s="13" t="inlineStr">
        <is>
          <t>艾能聚</t>
        </is>
      </c>
      <c r="C87" s="25">
        <f>IF('历史数据'!D59="","",'历史数据'!D59)</f>
        <v/>
      </c>
      <c r="D87" s="13">
        <f>IF('历史数据'!E59="","",'历史数据'!E59)</f>
        <v/>
      </c>
      <c r="E87" s="24">
        <f>IF('历史数据'!G59="","",'历史数据'!G59/100000000)</f>
        <v/>
      </c>
      <c r="F87" s="26">
        <f>IF(OR('历史数据'!G59="",'历史数据'!H59&lt;=0),"",'历史数据'!G59/'历史数据'!H59-1)</f>
        <v/>
      </c>
      <c r="G87" s="26">
        <f>IF(OR('历史数据'!G59&lt;=0,'历史数据'!I59&lt;=0),"",POWER('历史数据'!G59/'历史数据'!I59,1/3)-1)</f>
        <v/>
      </c>
      <c r="H87" s="26">
        <f>IF(OR('历史数据'!G59&lt;=0,'历史数据'!J59=""),"",('历史数据'!G59-'历史数据'!J59)/'历史数据'!G59)</f>
        <v/>
      </c>
      <c r="I87" s="27">
        <f>IF(OR(H87="",'历史数据'!H59&lt;=0,'历史数据'!K59=""),"",(H87-('历史数据'!H59-'历史数据'!K59)/'历史数据'!H59)*100)</f>
        <v/>
      </c>
      <c r="J87" s="27">
        <f>IF(OR(H87="",'历史数据'!I59&lt;=0,'历史数据'!L59=""),"",(H87-('历史数据'!I59-'历史数据'!L59)/'历史数据'!I59)*100)</f>
        <v/>
      </c>
      <c r="K87" s="24">
        <f>IF('历史数据'!M59="","",'历史数据'!M59/100000000)</f>
        <v/>
      </c>
      <c r="L87" s="26">
        <f>IF(OR('历史数据'!G59=0,'历史数据'!M59=""),"",'历史数据'!M59/'历史数据'!G59)</f>
        <v/>
      </c>
      <c r="M87" s="26">
        <f>IF(OR('历史数据'!M59="",'历史数据'!N59=0),"",('历史数据'!M59-'历史数据'!N59)/ABS('历史数据'!N59))</f>
        <v/>
      </c>
      <c r="N87" s="26">
        <f>IF(OR('历史数据'!M59&lt;=0,'历史数据'!O59&lt;=0),"",POWER('历史数据'!M59/'历史数据'!O59,1/3)-1)</f>
        <v/>
      </c>
      <c r="O87" s="24">
        <f>IF('历史数据'!P59="","",'历史数据'!P59/100000000)</f>
        <v/>
      </c>
      <c r="P87" s="26">
        <f>IF(OR('历史数据'!P59="",'历史数据'!Q59=0),"",('历史数据'!P59-'历史数据'!Q59)/ABS('历史数据'!Q59))</f>
        <v/>
      </c>
      <c r="Q87" s="26">
        <f>IF(OR('历史数据'!P59&lt;=0,'历史数据'!R59&lt;=0),"",POWER('历史数据'!P59/'历史数据'!R59,1/3)-1)</f>
        <v/>
      </c>
      <c r="R87" s="24">
        <f>IF('历史数据'!S59="","",'历史数据'!S59/100000000)</f>
        <v/>
      </c>
      <c r="S87" s="25">
        <f>IF('历史数据'!T59="","",'历史数据'!T59)</f>
        <v/>
      </c>
      <c r="T87" s="28">
        <f>IF('历史数据'!U59="","",'历史数据'!U59)</f>
        <v/>
      </c>
      <c r="U87" s="28">
        <f>IF('历史数据'!V59="","",'历史数据'!V59/100000000)</f>
        <v/>
      </c>
      <c r="V87" s="24">
        <f>IF('历史数据'!W59="","",'历史数据'!W59/100000000)</f>
        <v/>
      </c>
      <c r="W87" s="28">
        <f>IF('历史数据'!X59="","",'历史数据'!X59)</f>
        <v/>
      </c>
      <c r="X87" s="26">
        <f>IF(OR(R87="",V87&lt;=0),"",R87/V87-1)</f>
        <v/>
      </c>
      <c r="Y87" s="29">
        <f>IF('历史数据'!Y59="","",'历史数据'!Y59)</f>
        <v/>
      </c>
      <c r="Z87" s="24">
        <f>IF('历史数据'!Z59="","",'历史数据'!Z59/100000000)</f>
        <v/>
      </c>
      <c r="AA87" s="24">
        <f>IF('历史数据'!AA59="","",'历史数据'!AA59/100000000)</f>
        <v/>
      </c>
      <c r="AB87" s="24">
        <f>IF('历史数据'!AB59="","",'历史数据'!AB59/100000000)</f>
        <v/>
      </c>
      <c r="AC87" s="13" t="inlineStr">
        <is>
          <t>近五个交易日资金净额:optional_missing；近一月资金净额（最近22个交易日）:optional_missing</t>
        </is>
      </c>
      <c r="AD87" s="13" t="inlineStr">
        <is>
          <t>SUCCESS</t>
        </is>
      </c>
    </row>
    <row r="88" ht="21" customHeight="1" s="3">
      <c r="A88" s="12" t="inlineStr">
        <is>
          <t>920942</t>
        </is>
      </c>
      <c r="B88" s="13" t="inlineStr">
        <is>
          <t>恒立钻具</t>
        </is>
      </c>
      <c r="C88" s="25">
        <f>IF('历史数据'!D18="","",'历史数据'!D18)</f>
        <v/>
      </c>
      <c r="D88" s="13">
        <f>IF('历史数据'!E18="","",'历史数据'!E18)</f>
        <v/>
      </c>
      <c r="E88" s="24">
        <f>IF('历史数据'!G18="","",'历史数据'!G18/100000000)</f>
        <v/>
      </c>
      <c r="F88" s="26">
        <f>IF(OR('历史数据'!G18="",'历史数据'!H18&lt;=0),"",'历史数据'!G18/'历史数据'!H18-1)</f>
        <v/>
      </c>
      <c r="G88" s="26">
        <f>IF(OR('历史数据'!G18&lt;=0,'历史数据'!I18&lt;=0),"",POWER('历史数据'!G18/'历史数据'!I18,1/3)-1)</f>
        <v/>
      </c>
      <c r="H88" s="26">
        <f>IF(OR('历史数据'!G18&lt;=0,'历史数据'!J18=""),"",('历史数据'!G18-'历史数据'!J18)/'历史数据'!G18)</f>
        <v/>
      </c>
      <c r="I88" s="27">
        <f>IF(OR(H88="",'历史数据'!H18&lt;=0,'历史数据'!K18=""),"",(H88-('历史数据'!H18-'历史数据'!K18)/'历史数据'!H18)*100)</f>
        <v/>
      </c>
      <c r="J88" s="27">
        <f>IF(OR(H88="",'历史数据'!I18&lt;=0,'历史数据'!L18=""),"",(H88-('历史数据'!I18-'历史数据'!L18)/'历史数据'!I18)*100)</f>
        <v/>
      </c>
      <c r="K88" s="24">
        <f>IF('历史数据'!M18="","",'历史数据'!M18/100000000)</f>
        <v/>
      </c>
      <c r="L88" s="26">
        <f>IF(OR('历史数据'!G18=0,'历史数据'!M18=""),"",'历史数据'!M18/'历史数据'!G18)</f>
        <v/>
      </c>
      <c r="M88" s="26">
        <f>IF(OR('历史数据'!M18="",'历史数据'!N18=0),"",('历史数据'!M18-'历史数据'!N18)/ABS('历史数据'!N18))</f>
        <v/>
      </c>
      <c r="N88" s="26">
        <f>IF(OR('历史数据'!M18&lt;=0,'历史数据'!O18&lt;=0),"",POWER('历史数据'!M18/'历史数据'!O18,1/3)-1)</f>
        <v/>
      </c>
      <c r="O88" s="24">
        <f>IF('历史数据'!P18="","",'历史数据'!P18/100000000)</f>
        <v/>
      </c>
      <c r="P88" s="26">
        <f>IF(OR('历史数据'!P18="",'历史数据'!Q18=0),"",('历史数据'!P18-'历史数据'!Q18)/ABS('历史数据'!Q18))</f>
        <v/>
      </c>
      <c r="Q88" s="26">
        <f>IF(OR('历史数据'!P18&lt;=0,'历史数据'!R18&lt;=0),"",POWER('历史数据'!P18/'历史数据'!R18,1/3)-1)</f>
        <v/>
      </c>
      <c r="R88" s="24">
        <f>IF('历史数据'!S18="","",'历史数据'!S18/100000000)</f>
        <v/>
      </c>
      <c r="S88" s="25">
        <f>IF('历史数据'!T18="","",'历史数据'!T18)</f>
        <v/>
      </c>
      <c r="T88" s="28">
        <f>IF('历史数据'!U18="","",'历史数据'!U18)</f>
        <v/>
      </c>
      <c r="U88" s="28">
        <f>IF('历史数据'!V18="","",'历史数据'!V18/100000000)</f>
        <v/>
      </c>
      <c r="V88" s="24">
        <f>IF('历史数据'!W18="","",'历史数据'!W18/100000000)</f>
        <v/>
      </c>
      <c r="W88" s="28">
        <f>IF('历史数据'!X18="","",'历史数据'!X18)</f>
        <v/>
      </c>
      <c r="X88" s="26">
        <f>IF(OR(R88="",V88&lt;=0),"",R88/V88-1)</f>
        <v/>
      </c>
      <c r="Y88" s="29">
        <f>IF('历史数据'!Y18="","",'历史数据'!Y18)</f>
        <v/>
      </c>
      <c r="Z88" s="24">
        <f>IF('历史数据'!Z18="","",'历史数据'!Z18/100000000)</f>
        <v/>
      </c>
      <c r="AA88" s="24">
        <f>IF('历史数据'!AA18="","",'历史数据'!AA18/100000000)</f>
        <v/>
      </c>
      <c r="AB88" s="24">
        <f>IF('历史数据'!AB18="","",'历史数据'!AB18/100000000)</f>
        <v/>
      </c>
      <c r="AC88" s="13" t="inlineStr">
        <is>
          <t>近五个交易日资金净额:optional_missing；近一月资金净额（最近22个交易日）:optional_missing</t>
        </is>
      </c>
      <c r="AD88" s="13" t="inlineStr">
        <is>
          <t>SUCCESS</t>
        </is>
      </c>
    </row>
    <row r="89" ht="21" customHeight="1" s="3">
      <c r="A89" s="12" t="inlineStr">
        <is>
          <t>920685</t>
        </is>
      </c>
      <c r="B89" s="13" t="inlineStr">
        <is>
          <t>新芝生物</t>
        </is>
      </c>
      <c r="C89" s="25">
        <f>IF('历史数据'!D81="","",'历史数据'!D81)</f>
        <v/>
      </c>
      <c r="D89" s="13">
        <f>IF('历史数据'!E81="","",'历史数据'!E81)</f>
        <v/>
      </c>
      <c r="E89" s="24">
        <f>IF('历史数据'!G81="","",'历史数据'!G81/100000000)</f>
        <v/>
      </c>
      <c r="F89" s="26">
        <f>IF(OR('历史数据'!G81="",'历史数据'!H81&lt;=0),"",'历史数据'!G81/'历史数据'!H81-1)</f>
        <v/>
      </c>
      <c r="G89" s="26">
        <f>IF(OR('历史数据'!G81&lt;=0,'历史数据'!I81&lt;=0),"",POWER('历史数据'!G81/'历史数据'!I81,1/3)-1)</f>
        <v/>
      </c>
      <c r="H89" s="26">
        <f>IF(OR('历史数据'!G81&lt;=0,'历史数据'!J81=""),"",('历史数据'!G81-'历史数据'!J81)/'历史数据'!G81)</f>
        <v/>
      </c>
      <c r="I89" s="27">
        <f>IF(OR(H89="",'历史数据'!H81&lt;=0,'历史数据'!K81=""),"",(H89-('历史数据'!H81-'历史数据'!K81)/'历史数据'!H81)*100)</f>
        <v/>
      </c>
      <c r="J89" s="27">
        <f>IF(OR(H89="",'历史数据'!I81&lt;=0,'历史数据'!L81=""),"",(H89-('历史数据'!I81-'历史数据'!L81)/'历史数据'!I81)*100)</f>
        <v/>
      </c>
      <c r="K89" s="24">
        <f>IF('历史数据'!M81="","",'历史数据'!M81/100000000)</f>
        <v/>
      </c>
      <c r="L89" s="26">
        <f>IF(OR('历史数据'!G81=0,'历史数据'!M81=""),"",'历史数据'!M81/'历史数据'!G81)</f>
        <v/>
      </c>
      <c r="M89" s="26">
        <f>IF(OR('历史数据'!M81="",'历史数据'!N81=0),"",('历史数据'!M81-'历史数据'!N81)/ABS('历史数据'!N81))</f>
        <v/>
      </c>
      <c r="N89" s="26">
        <f>IF(OR('历史数据'!M81&lt;=0,'历史数据'!O81&lt;=0),"",POWER('历史数据'!M81/'历史数据'!O81,1/3)-1)</f>
        <v/>
      </c>
      <c r="O89" s="24">
        <f>IF('历史数据'!P81="","",'历史数据'!P81/100000000)</f>
        <v/>
      </c>
      <c r="P89" s="26">
        <f>IF(OR('历史数据'!P81="",'历史数据'!Q81=0),"",('历史数据'!P81-'历史数据'!Q81)/ABS('历史数据'!Q81))</f>
        <v/>
      </c>
      <c r="Q89" s="26">
        <f>IF(OR('历史数据'!P81&lt;=0,'历史数据'!R81&lt;=0),"",POWER('历史数据'!P81/'历史数据'!R81,1/3)-1)</f>
        <v/>
      </c>
      <c r="R89" s="24">
        <f>IF('历史数据'!S81="","",'历史数据'!S81/100000000)</f>
        <v/>
      </c>
      <c r="S89" s="25">
        <f>IF('历史数据'!T81="","",'历史数据'!T81)</f>
        <v/>
      </c>
      <c r="T89" s="28">
        <f>IF('历史数据'!U81="","",'历史数据'!U81)</f>
        <v/>
      </c>
      <c r="U89" s="28">
        <f>IF('历史数据'!V81="","",'历史数据'!V81/100000000)</f>
        <v/>
      </c>
      <c r="V89" s="24">
        <f>IF('历史数据'!W81="","",'历史数据'!W81/100000000)</f>
        <v/>
      </c>
      <c r="W89" s="28">
        <f>IF('历史数据'!X81="","",'历史数据'!X81)</f>
        <v/>
      </c>
      <c r="X89" s="26">
        <f>IF(OR(R89="",V89&lt;=0),"",R89/V89-1)</f>
        <v/>
      </c>
      <c r="Y89" s="29">
        <f>IF('历史数据'!Y81="","",'历史数据'!Y81)</f>
        <v/>
      </c>
      <c r="Z89" s="24">
        <f>IF('历史数据'!Z81="","",'历史数据'!Z81/100000000)</f>
        <v/>
      </c>
      <c r="AA89" s="24">
        <f>IF('历史数据'!AA81="","",'历史数据'!AA81/100000000)</f>
        <v/>
      </c>
      <c r="AB89" s="24">
        <f>IF('历史数据'!AB81="","",'历史数据'!AB81/100000000)</f>
        <v/>
      </c>
      <c r="AC89" s="13" t="inlineStr">
        <is>
          <t>近五个交易日资金净额:optional_missing；近一月资金净额（最近22个交易日）:optional_missing</t>
        </is>
      </c>
      <c r="AD89" s="13" t="inlineStr">
        <is>
          <t>SUCCESS</t>
        </is>
      </c>
    </row>
    <row r="90" ht="21" customHeight="1" s="3">
      <c r="A90" s="12" t="inlineStr">
        <is>
          <t>920725</t>
        </is>
      </c>
      <c r="B90" s="13" t="inlineStr">
        <is>
          <t>惠丰钻石</t>
        </is>
      </c>
      <c r="C90" s="25">
        <f>IF('历史数据'!D68="","",'历史数据'!D68)</f>
        <v/>
      </c>
      <c r="D90" s="13">
        <f>IF('历史数据'!E68="","",'历史数据'!E68)</f>
        <v/>
      </c>
      <c r="E90" s="24">
        <f>IF('历史数据'!G68="","",'历史数据'!G68/100000000)</f>
        <v/>
      </c>
      <c r="F90" s="26">
        <f>IF(OR('历史数据'!G68="",'历史数据'!H68&lt;=0),"",'历史数据'!G68/'历史数据'!H68-1)</f>
        <v/>
      </c>
      <c r="G90" s="26">
        <f>IF(OR('历史数据'!G68&lt;=0,'历史数据'!I68&lt;=0),"",POWER('历史数据'!G68/'历史数据'!I68,1/3)-1)</f>
        <v/>
      </c>
      <c r="H90" s="26">
        <f>IF(OR('历史数据'!G68&lt;=0,'历史数据'!J68=""),"",('历史数据'!G68-'历史数据'!J68)/'历史数据'!G68)</f>
        <v/>
      </c>
      <c r="I90" s="27">
        <f>IF(OR(H90="",'历史数据'!H68&lt;=0,'历史数据'!K68=""),"",(H90-('历史数据'!H68-'历史数据'!K68)/'历史数据'!H68)*100)</f>
        <v/>
      </c>
      <c r="J90" s="27">
        <f>IF(OR(H90="",'历史数据'!I68&lt;=0,'历史数据'!L68=""),"",(H90-('历史数据'!I68-'历史数据'!L68)/'历史数据'!I68)*100)</f>
        <v/>
      </c>
      <c r="K90" s="24">
        <f>IF('历史数据'!M68="","",'历史数据'!M68/100000000)</f>
        <v/>
      </c>
      <c r="L90" s="26">
        <f>IF(OR('历史数据'!G68=0,'历史数据'!M68=""),"",'历史数据'!M68/'历史数据'!G68)</f>
        <v/>
      </c>
      <c r="M90" s="26">
        <f>IF(OR('历史数据'!M68="",'历史数据'!N68=0),"",('历史数据'!M68-'历史数据'!N68)/ABS('历史数据'!N68))</f>
        <v/>
      </c>
      <c r="N90" s="26">
        <f>IF(OR('历史数据'!M68&lt;=0,'历史数据'!O68&lt;=0),"",POWER('历史数据'!M68/'历史数据'!O68,1/3)-1)</f>
        <v/>
      </c>
      <c r="O90" s="24">
        <f>IF('历史数据'!P68="","",'历史数据'!P68/100000000)</f>
        <v/>
      </c>
      <c r="P90" s="26">
        <f>IF(OR('历史数据'!P68="",'历史数据'!Q68=0),"",('历史数据'!P68-'历史数据'!Q68)/ABS('历史数据'!Q68))</f>
        <v/>
      </c>
      <c r="Q90" s="26">
        <f>IF(OR('历史数据'!P68&lt;=0,'历史数据'!R68&lt;=0),"",POWER('历史数据'!P68/'历史数据'!R68,1/3)-1)</f>
        <v/>
      </c>
      <c r="R90" s="24">
        <f>IF('历史数据'!S68="","",'历史数据'!S68/100000000)</f>
        <v/>
      </c>
      <c r="S90" s="25">
        <f>IF('历史数据'!T68="","",'历史数据'!T68)</f>
        <v/>
      </c>
      <c r="T90" s="28">
        <f>IF('历史数据'!U68="","",'历史数据'!U68)</f>
        <v/>
      </c>
      <c r="U90" s="28">
        <f>IF('历史数据'!V68="","",'历史数据'!V68/100000000)</f>
        <v/>
      </c>
      <c r="V90" s="24">
        <f>IF('历史数据'!W68="","",'历史数据'!W68/100000000)</f>
        <v/>
      </c>
      <c r="W90" s="28">
        <f>IF('历史数据'!X68="","",'历史数据'!X68)</f>
        <v/>
      </c>
      <c r="X90" s="26">
        <f>IF(OR(R90="",V90&lt;=0),"",R90/V90-1)</f>
        <v/>
      </c>
      <c r="Y90" s="29">
        <f>IF('历史数据'!Y68="","",'历史数据'!Y68)</f>
        <v/>
      </c>
      <c r="Z90" s="24">
        <f>IF('历史数据'!Z68="","",'历史数据'!Z68/100000000)</f>
        <v/>
      </c>
      <c r="AA90" s="24">
        <f>IF('历史数据'!AA68="","",'历史数据'!AA68/100000000)</f>
        <v/>
      </c>
      <c r="AB90" s="24">
        <f>IF('历史数据'!AB68="","",'历史数据'!AB68/100000000)</f>
        <v/>
      </c>
      <c r="AC90" s="13" t="inlineStr">
        <is>
          <t>近五个交易日资金净额:optional_missing；近一月资金净额（最近22个交易日）:optional_missing</t>
        </is>
      </c>
      <c r="AD90" s="13" t="inlineStr">
        <is>
          <t>SUCCESS</t>
        </is>
      </c>
    </row>
    <row r="91" ht="21" customHeight="1" s="3">
      <c r="A91" s="12" t="inlineStr">
        <is>
          <t>920779</t>
        </is>
      </c>
      <c r="B91" s="13" t="inlineStr">
        <is>
          <t>武汉蓝电</t>
        </is>
      </c>
      <c r="C91" s="25">
        <f>IF('历史数据'!D58="","",'历史数据'!D58)</f>
        <v/>
      </c>
      <c r="D91" s="13">
        <f>IF('历史数据'!E58="","",'历史数据'!E58)</f>
        <v/>
      </c>
      <c r="E91" s="24">
        <f>IF('历史数据'!G58="","",'历史数据'!G58/100000000)</f>
        <v/>
      </c>
      <c r="F91" s="26">
        <f>IF(OR('历史数据'!G58="",'历史数据'!H58&lt;=0),"",'历史数据'!G58/'历史数据'!H58-1)</f>
        <v/>
      </c>
      <c r="G91" s="26">
        <f>IF(OR('历史数据'!G58&lt;=0,'历史数据'!I58&lt;=0),"",POWER('历史数据'!G58/'历史数据'!I58,1/3)-1)</f>
        <v/>
      </c>
      <c r="H91" s="26">
        <f>IF(OR('历史数据'!G58&lt;=0,'历史数据'!J58=""),"",('历史数据'!G58-'历史数据'!J58)/'历史数据'!G58)</f>
        <v/>
      </c>
      <c r="I91" s="27">
        <f>IF(OR(H91="",'历史数据'!H58&lt;=0,'历史数据'!K58=""),"",(H91-('历史数据'!H58-'历史数据'!K58)/'历史数据'!H58)*100)</f>
        <v/>
      </c>
      <c r="J91" s="27">
        <f>IF(OR(H91="",'历史数据'!I58&lt;=0,'历史数据'!L58=""),"",(H91-('历史数据'!I58-'历史数据'!L58)/'历史数据'!I58)*100)</f>
        <v/>
      </c>
      <c r="K91" s="24">
        <f>IF('历史数据'!M58="","",'历史数据'!M58/100000000)</f>
        <v/>
      </c>
      <c r="L91" s="26">
        <f>IF(OR('历史数据'!G58=0,'历史数据'!M58=""),"",'历史数据'!M58/'历史数据'!G58)</f>
        <v/>
      </c>
      <c r="M91" s="26">
        <f>IF(OR('历史数据'!M58="",'历史数据'!N58=0),"",('历史数据'!M58-'历史数据'!N58)/ABS('历史数据'!N58))</f>
        <v/>
      </c>
      <c r="N91" s="26">
        <f>IF(OR('历史数据'!M58&lt;=0,'历史数据'!O58&lt;=0),"",POWER('历史数据'!M58/'历史数据'!O58,1/3)-1)</f>
        <v/>
      </c>
      <c r="O91" s="24">
        <f>IF('历史数据'!P58="","",'历史数据'!P58/100000000)</f>
        <v/>
      </c>
      <c r="P91" s="26">
        <f>IF(OR('历史数据'!P58="",'历史数据'!Q58=0),"",('历史数据'!P58-'历史数据'!Q58)/ABS('历史数据'!Q58))</f>
        <v/>
      </c>
      <c r="Q91" s="26">
        <f>IF(OR('历史数据'!P58&lt;=0,'历史数据'!R58&lt;=0),"",POWER('历史数据'!P58/'历史数据'!R58,1/3)-1)</f>
        <v/>
      </c>
      <c r="R91" s="24">
        <f>IF('历史数据'!S58="","",'历史数据'!S58/100000000)</f>
        <v/>
      </c>
      <c r="S91" s="25">
        <f>IF('历史数据'!T58="","",'历史数据'!T58)</f>
        <v/>
      </c>
      <c r="T91" s="28">
        <f>IF('历史数据'!U58="","",'历史数据'!U58)</f>
        <v/>
      </c>
      <c r="U91" s="28">
        <f>IF('历史数据'!V58="","",'历史数据'!V58/100000000)</f>
        <v/>
      </c>
      <c r="V91" s="24">
        <f>IF('历史数据'!W58="","",'历史数据'!W58/100000000)</f>
        <v/>
      </c>
      <c r="W91" s="28">
        <f>IF('历史数据'!X58="","",'历史数据'!X58)</f>
        <v/>
      </c>
      <c r="X91" s="26">
        <f>IF(OR(R91="",V91&lt;=0),"",R91/V91-1)</f>
        <v/>
      </c>
      <c r="Y91" s="29">
        <f>IF('历史数据'!Y58="","",'历史数据'!Y58)</f>
        <v/>
      </c>
      <c r="Z91" s="24">
        <f>IF('历史数据'!Z58="","",'历史数据'!Z58/100000000)</f>
        <v/>
      </c>
      <c r="AA91" s="24">
        <f>IF('历史数据'!AA58="","",'历史数据'!AA58/100000000)</f>
        <v/>
      </c>
      <c r="AB91" s="24">
        <f>IF('历史数据'!AB58="","",'历史数据'!AB58/100000000)</f>
        <v/>
      </c>
      <c r="AC91" s="13" t="inlineStr">
        <is>
          <t>近五个交易日资金净额:optional_missing；近一月资金净额（最近22个交易日）:optional_missing</t>
        </is>
      </c>
      <c r="AD91" s="13" t="inlineStr">
        <is>
          <t>SUCCESS</t>
        </is>
      </c>
    </row>
    <row r="92" ht="21" customHeight="1" s="3">
      <c r="A92" s="12" t="inlineStr">
        <is>
          <t>920970</t>
        </is>
      </c>
      <c r="B92" s="13" t="inlineStr">
        <is>
          <t>大禹生物</t>
        </is>
      </c>
      <c r="C92" s="25">
        <f>IF('历史数据'!D10="","",'历史数据'!D10)</f>
        <v/>
      </c>
      <c r="D92" s="13">
        <f>IF('历史数据'!E10="","",'历史数据'!E10)</f>
        <v/>
      </c>
      <c r="E92" s="24">
        <f>IF('历史数据'!G10="","",'历史数据'!G10/100000000)</f>
        <v/>
      </c>
      <c r="F92" s="26">
        <f>IF(OR('历史数据'!G10="",'历史数据'!H10&lt;=0),"",'历史数据'!G10/'历史数据'!H10-1)</f>
        <v/>
      </c>
      <c r="G92" s="26">
        <f>IF(OR('历史数据'!G10&lt;=0,'历史数据'!I10&lt;=0),"",POWER('历史数据'!G10/'历史数据'!I10,1/3)-1)</f>
        <v/>
      </c>
      <c r="H92" s="26">
        <f>IF(OR('历史数据'!G10&lt;=0,'历史数据'!J10=""),"",('历史数据'!G10-'历史数据'!J10)/'历史数据'!G10)</f>
        <v/>
      </c>
      <c r="I92" s="27">
        <f>IF(OR(H92="",'历史数据'!H10&lt;=0,'历史数据'!K10=""),"",(H92-('历史数据'!H10-'历史数据'!K10)/'历史数据'!H10)*100)</f>
        <v/>
      </c>
      <c r="J92" s="27">
        <f>IF(OR(H92="",'历史数据'!I10&lt;=0,'历史数据'!L10=""),"",(H92-('历史数据'!I10-'历史数据'!L10)/'历史数据'!I10)*100)</f>
        <v/>
      </c>
      <c r="K92" s="24">
        <f>IF('历史数据'!M10="","",'历史数据'!M10/100000000)</f>
        <v/>
      </c>
      <c r="L92" s="26">
        <f>IF(OR('历史数据'!G10=0,'历史数据'!M10=""),"",'历史数据'!M10/'历史数据'!G10)</f>
        <v/>
      </c>
      <c r="M92" s="26">
        <f>IF(OR('历史数据'!M10="",'历史数据'!N10=0),"",('历史数据'!M10-'历史数据'!N10)/ABS('历史数据'!N10))</f>
        <v/>
      </c>
      <c r="N92" s="26">
        <f>IF(OR('历史数据'!M10&lt;=0,'历史数据'!O10&lt;=0),"",POWER('历史数据'!M10/'历史数据'!O10,1/3)-1)</f>
        <v/>
      </c>
      <c r="O92" s="24">
        <f>IF('历史数据'!P10="","",'历史数据'!P10/100000000)</f>
        <v/>
      </c>
      <c r="P92" s="26">
        <f>IF(OR('历史数据'!P10="",'历史数据'!Q10=0),"",('历史数据'!P10-'历史数据'!Q10)/ABS('历史数据'!Q10))</f>
        <v/>
      </c>
      <c r="Q92" s="26">
        <f>IF(OR('历史数据'!P10&lt;=0,'历史数据'!R10&lt;=0),"",POWER('历史数据'!P10/'历史数据'!R10,1/3)-1)</f>
        <v/>
      </c>
      <c r="R92" s="24">
        <f>IF('历史数据'!S10="","",'历史数据'!S10/100000000)</f>
        <v/>
      </c>
      <c r="S92" s="25">
        <f>IF('历史数据'!T10="","",'历史数据'!T10)</f>
        <v/>
      </c>
      <c r="T92" s="28">
        <f>IF('历史数据'!U10="","",'历史数据'!U10)</f>
        <v/>
      </c>
      <c r="U92" s="28">
        <f>IF('历史数据'!V10="","",'历史数据'!V10/100000000)</f>
        <v/>
      </c>
      <c r="V92" s="24">
        <f>IF('历史数据'!W10="","",'历史数据'!W10/100000000)</f>
        <v/>
      </c>
      <c r="W92" s="28">
        <f>IF('历史数据'!X10="","",'历史数据'!X10)</f>
        <v/>
      </c>
      <c r="X92" s="26">
        <f>IF(OR(R92="",V92&lt;=0),"",R92/V92-1)</f>
        <v/>
      </c>
      <c r="Y92" s="29">
        <f>IF('历史数据'!Y10="","",'历史数据'!Y10)</f>
        <v/>
      </c>
      <c r="Z92" s="24">
        <f>IF('历史数据'!Z10="","",'历史数据'!Z10/100000000)</f>
        <v/>
      </c>
      <c r="AA92" s="24">
        <f>IF('历史数据'!AA10="","",'历史数据'!AA10/100000000)</f>
        <v/>
      </c>
      <c r="AB92" s="24">
        <f>IF('历史数据'!AB10="","",'历史数据'!AB10/100000000)</f>
        <v/>
      </c>
      <c r="AC92" s="13" t="inlineStr">
        <is>
          <t>近五个交易日资金净额:optional_missing；近一月资金净额（最近22个交易日）:optional_missing</t>
        </is>
      </c>
      <c r="AD92" s="13" t="inlineStr">
        <is>
          <t>SUCCESS</t>
        </is>
      </c>
    </row>
    <row r="93" ht="21" customHeight="1" s="3">
      <c r="A93" s="12" t="inlineStr">
        <is>
          <t>920871</t>
        </is>
      </c>
      <c r="B93" s="13" t="inlineStr">
        <is>
          <t>派特尔</t>
        </is>
      </c>
      <c r="C93" s="25">
        <f>IF('历史数据'!D33="","",'历史数据'!D33)</f>
        <v/>
      </c>
      <c r="D93" s="13">
        <f>IF('历史数据'!E33="","",'历史数据'!E33)</f>
        <v/>
      </c>
      <c r="E93" s="24">
        <f>IF('历史数据'!G33="","",'历史数据'!G33/100000000)</f>
        <v/>
      </c>
      <c r="F93" s="26">
        <f>IF(OR('历史数据'!G33="",'历史数据'!H33&lt;=0),"",'历史数据'!G33/'历史数据'!H33-1)</f>
        <v/>
      </c>
      <c r="G93" s="26">
        <f>IF(OR('历史数据'!G33&lt;=0,'历史数据'!I33&lt;=0),"",POWER('历史数据'!G33/'历史数据'!I33,1/3)-1)</f>
        <v/>
      </c>
      <c r="H93" s="26">
        <f>IF(OR('历史数据'!G33&lt;=0,'历史数据'!J33=""),"",('历史数据'!G33-'历史数据'!J33)/'历史数据'!G33)</f>
        <v/>
      </c>
      <c r="I93" s="27">
        <f>IF(OR(H93="",'历史数据'!H33&lt;=0,'历史数据'!K33=""),"",(H93-('历史数据'!H33-'历史数据'!K33)/'历史数据'!H33)*100)</f>
        <v/>
      </c>
      <c r="J93" s="27">
        <f>IF(OR(H93="",'历史数据'!I33&lt;=0,'历史数据'!L33=""),"",(H93-('历史数据'!I33-'历史数据'!L33)/'历史数据'!I33)*100)</f>
        <v/>
      </c>
      <c r="K93" s="24">
        <f>IF('历史数据'!M33="","",'历史数据'!M33/100000000)</f>
        <v/>
      </c>
      <c r="L93" s="26">
        <f>IF(OR('历史数据'!G33=0,'历史数据'!M33=""),"",'历史数据'!M33/'历史数据'!G33)</f>
        <v/>
      </c>
      <c r="M93" s="26">
        <f>IF(OR('历史数据'!M33="",'历史数据'!N33=0),"",('历史数据'!M33-'历史数据'!N33)/ABS('历史数据'!N33))</f>
        <v/>
      </c>
      <c r="N93" s="26">
        <f>IF(OR('历史数据'!M33&lt;=0,'历史数据'!O33&lt;=0),"",POWER('历史数据'!M33/'历史数据'!O33,1/3)-1)</f>
        <v/>
      </c>
      <c r="O93" s="24">
        <f>IF('历史数据'!P33="","",'历史数据'!P33/100000000)</f>
        <v/>
      </c>
      <c r="P93" s="26">
        <f>IF(OR('历史数据'!P33="",'历史数据'!Q33=0),"",('历史数据'!P33-'历史数据'!Q33)/ABS('历史数据'!Q33))</f>
        <v/>
      </c>
      <c r="Q93" s="26">
        <f>IF(OR('历史数据'!P33&lt;=0,'历史数据'!R33&lt;=0),"",POWER('历史数据'!P33/'历史数据'!R33,1/3)-1)</f>
        <v/>
      </c>
      <c r="R93" s="24">
        <f>IF('历史数据'!S33="","",'历史数据'!S33/100000000)</f>
        <v/>
      </c>
      <c r="S93" s="25">
        <f>IF('历史数据'!T33="","",'历史数据'!T33)</f>
        <v/>
      </c>
      <c r="T93" s="28">
        <f>IF('历史数据'!U33="","",'历史数据'!U33)</f>
        <v/>
      </c>
      <c r="U93" s="28">
        <f>IF('历史数据'!V33="","",'历史数据'!V33/100000000)</f>
        <v/>
      </c>
      <c r="V93" s="24">
        <f>IF('历史数据'!W33="","",'历史数据'!W33/100000000)</f>
        <v/>
      </c>
      <c r="W93" s="28">
        <f>IF('历史数据'!X33="","",'历史数据'!X33)</f>
        <v/>
      </c>
      <c r="X93" s="26">
        <f>IF(OR(R93="",V93&lt;=0),"",R93/V93-1)</f>
        <v/>
      </c>
      <c r="Y93" s="29">
        <f>IF('历史数据'!Y33="","",'历史数据'!Y33)</f>
        <v/>
      </c>
      <c r="Z93" s="24">
        <f>IF('历史数据'!Z33="","",'历史数据'!Z33/100000000)</f>
        <v/>
      </c>
      <c r="AA93" s="24">
        <f>IF('历史数据'!AA33="","",'历史数据'!AA33/100000000)</f>
        <v/>
      </c>
      <c r="AB93" s="24">
        <f>IF('历史数据'!AB33="","",'历史数据'!AB33/100000000)</f>
        <v/>
      </c>
      <c r="AC93" s="13" t="inlineStr">
        <is>
          <t>近五个交易日资金净额:optional_missing；近一月资金净额（最近22个交易日）:optional_missing</t>
        </is>
      </c>
      <c r="AD93" s="13" t="inlineStr">
        <is>
          <t>SUCCESS</t>
        </is>
      </c>
    </row>
    <row r="94" ht="21" customHeight="1" s="3">
      <c r="A94" s="12" t="inlineStr">
        <is>
          <t>920717</t>
        </is>
      </c>
      <c r="B94" s="13" t="inlineStr">
        <is>
          <t>瑞星股份</t>
        </is>
      </c>
      <c r="C94" s="25">
        <f>IF('历史数据'!D72="","",'历史数据'!D72)</f>
        <v/>
      </c>
      <c r="D94" s="13">
        <f>IF('历史数据'!E72="","",'历史数据'!E72)</f>
        <v/>
      </c>
      <c r="E94" s="24">
        <f>IF('历史数据'!G72="","",'历史数据'!G72/100000000)</f>
        <v/>
      </c>
      <c r="F94" s="26">
        <f>IF(OR('历史数据'!G72="",'历史数据'!H72&lt;=0),"",'历史数据'!G72/'历史数据'!H72-1)</f>
        <v/>
      </c>
      <c r="G94" s="26">
        <f>IF(OR('历史数据'!G72&lt;=0,'历史数据'!I72&lt;=0),"",POWER('历史数据'!G72/'历史数据'!I72,1/3)-1)</f>
        <v/>
      </c>
      <c r="H94" s="26">
        <f>IF(OR('历史数据'!G72&lt;=0,'历史数据'!J72=""),"",('历史数据'!G72-'历史数据'!J72)/'历史数据'!G72)</f>
        <v/>
      </c>
      <c r="I94" s="27">
        <f>IF(OR(H94="",'历史数据'!H72&lt;=0,'历史数据'!K72=""),"",(H94-('历史数据'!H72-'历史数据'!K72)/'历史数据'!H72)*100)</f>
        <v/>
      </c>
      <c r="J94" s="27">
        <f>IF(OR(H94="",'历史数据'!I72&lt;=0,'历史数据'!L72=""),"",(H94-('历史数据'!I72-'历史数据'!L72)/'历史数据'!I72)*100)</f>
        <v/>
      </c>
      <c r="K94" s="24">
        <f>IF('历史数据'!M72="","",'历史数据'!M72/100000000)</f>
        <v/>
      </c>
      <c r="L94" s="26">
        <f>IF(OR('历史数据'!G72=0,'历史数据'!M72=""),"",'历史数据'!M72/'历史数据'!G72)</f>
        <v/>
      </c>
      <c r="M94" s="26">
        <f>IF(OR('历史数据'!M72="",'历史数据'!N72=0),"",('历史数据'!M72-'历史数据'!N72)/ABS('历史数据'!N72))</f>
        <v/>
      </c>
      <c r="N94" s="26">
        <f>IF(OR('历史数据'!M72&lt;=0,'历史数据'!O72&lt;=0),"",POWER('历史数据'!M72/'历史数据'!O72,1/3)-1)</f>
        <v/>
      </c>
      <c r="O94" s="24">
        <f>IF('历史数据'!P72="","",'历史数据'!P72/100000000)</f>
        <v/>
      </c>
      <c r="P94" s="26">
        <f>IF(OR('历史数据'!P72="",'历史数据'!Q72=0),"",('历史数据'!P72-'历史数据'!Q72)/ABS('历史数据'!Q72))</f>
        <v/>
      </c>
      <c r="Q94" s="26">
        <f>IF(OR('历史数据'!P72&lt;=0,'历史数据'!R72&lt;=0),"",POWER('历史数据'!P72/'历史数据'!R72,1/3)-1)</f>
        <v/>
      </c>
      <c r="R94" s="24">
        <f>IF('历史数据'!S72="","",'历史数据'!S72/100000000)</f>
        <v/>
      </c>
      <c r="S94" s="25">
        <f>IF('历史数据'!T72="","",'历史数据'!T72)</f>
        <v/>
      </c>
      <c r="T94" s="28">
        <f>IF('历史数据'!U72="","",'历史数据'!U72)</f>
        <v/>
      </c>
      <c r="U94" s="28">
        <f>IF('历史数据'!V72="","",'历史数据'!V72/100000000)</f>
        <v/>
      </c>
      <c r="V94" s="24">
        <f>IF('历史数据'!W72="","",'历史数据'!W72/100000000)</f>
        <v/>
      </c>
      <c r="W94" s="28">
        <f>IF('历史数据'!X72="","",'历史数据'!X72)</f>
        <v/>
      </c>
      <c r="X94" s="26">
        <f>IF(OR(R94="",V94&lt;=0),"",R94/V94-1)</f>
        <v/>
      </c>
      <c r="Y94" s="29">
        <f>IF('历史数据'!Y72="","",'历史数据'!Y72)</f>
        <v/>
      </c>
      <c r="Z94" s="24">
        <f>IF('历史数据'!Z72="","",'历史数据'!Z72/100000000)</f>
        <v/>
      </c>
      <c r="AA94" s="24">
        <f>IF('历史数据'!AA72="","",'历史数据'!AA72/100000000)</f>
        <v/>
      </c>
      <c r="AB94" s="24">
        <f>IF('历史数据'!AB72="","",'历史数据'!AB72/100000000)</f>
        <v/>
      </c>
      <c r="AC94" s="13" t="inlineStr">
        <is>
          <t>近五个交易日资金净额:optional_missing；近一月资金净额（最近22个交易日）:optional_missing</t>
        </is>
      </c>
      <c r="AD94" s="13" t="inlineStr">
        <is>
          <t>SUCCESS</t>
        </is>
      </c>
    </row>
    <row r="95" ht="21" customHeight="1" s="3">
      <c r="A95" s="12" t="inlineStr">
        <is>
          <t>920608</t>
        </is>
      </c>
      <c r="B95" s="13" t="inlineStr">
        <is>
          <t>丰安股份</t>
        </is>
      </c>
      <c r="C95" s="25">
        <f>IF('历史数据'!D98="","",'历史数据'!D98)</f>
        <v/>
      </c>
      <c r="D95" s="13">
        <f>IF('历史数据'!E98="","",'历史数据'!E98)</f>
        <v/>
      </c>
      <c r="E95" s="24">
        <f>IF('历史数据'!G98="","",'历史数据'!G98/100000000)</f>
        <v/>
      </c>
      <c r="F95" s="26">
        <f>IF(OR('历史数据'!G98="",'历史数据'!H98&lt;=0),"",'历史数据'!G98/'历史数据'!H98-1)</f>
        <v/>
      </c>
      <c r="G95" s="26">
        <f>IF(OR('历史数据'!G98&lt;=0,'历史数据'!I98&lt;=0),"",POWER('历史数据'!G98/'历史数据'!I98,1/3)-1)</f>
        <v/>
      </c>
      <c r="H95" s="26">
        <f>IF(OR('历史数据'!G98&lt;=0,'历史数据'!J98=""),"",('历史数据'!G98-'历史数据'!J98)/'历史数据'!G98)</f>
        <v/>
      </c>
      <c r="I95" s="27">
        <f>IF(OR(H95="",'历史数据'!H98&lt;=0,'历史数据'!K98=""),"",(H95-('历史数据'!H98-'历史数据'!K98)/'历史数据'!H98)*100)</f>
        <v/>
      </c>
      <c r="J95" s="27">
        <f>IF(OR(H95="",'历史数据'!I98&lt;=0,'历史数据'!L98=""),"",(H95-('历史数据'!I98-'历史数据'!L98)/'历史数据'!I98)*100)</f>
        <v/>
      </c>
      <c r="K95" s="24">
        <f>IF('历史数据'!M98="","",'历史数据'!M98/100000000)</f>
        <v/>
      </c>
      <c r="L95" s="26">
        <f>IF(OR('历史数据'!G98=0,'历史数据'!M98=""),"",'历史数据'!M98/'历史数据'!G98)</f>
        <v/>
      </c>
      <c r="M95" s="26">
        <f>IF(OR('历史数据'!M98="",'历史数据'!N98=0),"",('历史数据'!M98-'历史数据'!N98)/ABS('历史数据'!N98))</f>
        <v/>
      </c>
      <c r="N95" s="26">
        <f>IF(OR('历史数据'!M98&lt;=0,'历史数据'!O98&lt;=0),"",POWER('历史数据'!M98/'历史数据'!O98,1/3)-1)</f>
        <v/>
      </c>
      <c r="O95" s="24">
        <f>IF('历史数据'!P98="","",'历史数据'!P98/100000000)</f>
        <v/>
      </c>
      <c r="P95" s="26">
        <f>IF(OR('历史数据'!P98="",'历史数据'!Q98=0),"",('历史数据'!P98-'历史数据'!Q98)/ABS('历史数据'!Q98))</f>
        <v/>
      </c>
      <c r="Q95" s="26">
        <f>IF(OR('历史数据'!P98&lt;=0,'历史数据'!R98&lt;=0),"",POWER('历史数据'!P98/'历史数据'!R98,1/3)-1)</f>
        <v/>
      </c>
      <c r="R95" s="24">
        <f>IF('历史数据'!S98="","",'历史数据'!S98/100000000)</f>
        <v/>
      </c>
      <c r="S95" s="25">
        <f>IF('历史数据'!T98="","",'历史数据'!T98)</f>
        <v/>
      </c>
      <c r="T95" s="28">
        <f>IF('历史数据'!U98="","",'历史数据'!U98)</f>
        <v/>
      </c>
      <c r="U95" s="28">
        <f>IF('历史数据'!V98="","",'历史数据'!V98/100000000)</f>
        <v/>
      </c>
      <c r="V95" s="24">
        <f>IF('历史数据'!W98="","",'历史数据'!W98/100000000)</f>
        <v/>
      </c>
      <c r="W95" s="28">
        <f>IF('历史数据'!X98="","",'历史数据'!X98)</f>
        <v/>
      </c>
      <c r="X95" s="26">
        <f>IF(OR(R95="",V95&lt;=0),"",R95/V95-1)</f>
        <v/>
      </c>
      <c r="Y95" s="29">
        <f>IF('历史数据'!Y98="","",'历史数据'!Y98)</f>
        <v/>
      </c>
      <c r="Z95" s="24">
        <f>IF('历史数据'!Z98="","",'历史数据'!Z98/100000000)</f>
        <v/>
      </c>
      <c r="AA95" s="24">
        <f>IF('历史数据'!AA98="","",'历史数据'!AA98/100000000)</f>
        <v/>
      </c>
      <c r="AB95" s="24">
        <f>IF('历史数据'!AB98="","",'历史数据'!AB98/100000000)</f>
        <v/>
      </c>
      <c r="AC95" s="13" t="inlineStr">
        <is>
          <t>近五个交易日资金净额:optional_missing；近一月资金净额（最近22个交易日）:optional_missing</t>
        </is>
      </c>
      <c r="AD95" s="13" t="inlineStr">
        <is>
          <t>SUCCESS</t>
        </is>
      </c>
    </row>
    <row r="96" ht="21" customHeight="1" s="3">
      <c r="A96" s="12" t="inlineStr">
        <is>
          <t>920810</t>
        </is>
      </c>
      <c r="B96" s="13" t="inlineStr">
        <is>
          <t>春光智能</t>
        </is>
      </c>
      <c r="C96" s="25">
        <f>IF('历史数据'!D47="","",'历史数据'!D47)</f>
        <v/>
      </c>
      <c r="D96" s="13">
        <f>IF('历史数据'!E47="","",'历史数据'!E47)</f>
        <v/>
      </c>
      <c r="E96" s="24">
        <f>IF('历史数据'!G47="","",'历史数据'!G47/100000000)</f>
        <v/>
      </c>
      <c r="F96" s="26">
        <f>IF(OR('历史数据'!G47="",'历史数据'!H47&lt;=0),"",'历史数据'!G47/'历史数据'!H47-1)</f>
        <v/>
      </c>
      <c r="G96" s="26">
        <f>IF(OR('历史数据'!G47&lt;=0,'历史数据'!I47&lt;=0),"",POWER('历史数据'!G47/'历史数据'!I47,1/3)-1)</f>
        <v/>
      </c>
      <c r="H96" s="26">
        <f>IF(OR('历史数据'!G47&lt;=0,'历史数据'!J47=""),"",('历史数据'!G47-'历史数据'!J47)/'历史数据'!G47)</f>
        <v/>
      </c>
      <c r="I96" s="27">
        <f>IF(OR(H96="",'历史数据'!H47&lt;=0,'历史数据'!K47=""),"",(H96-('历史数据'!H47-'历史数据'!K47)/'历史数据'!H47)*100)</f>
        <v/>
      </c>
      <c r="J96" s="27">
        <f>IF(OR(H96="",'历史数据'!I47&lt;=0,'历史数据'!L47=""),"",(H96-('历史数据'!I47-'历史数据'!L47)/'历史数据'!I47)*100)</f>
        <v/>
      </c>
      <c r="K96" s="24">
        <f>IF('历史数据'!M47="","",'历史数据'!M47/100000000)</f>
        <v/>
      </c>
      <c r="L96" s="26">
        <f>IF(OR('历史数据'!G47=0,'历史数据'!M47=""),"",'历史数据'!M47/'历史数据'!G47)</f>
        <v/>
      </c>
      <c r="M96" s="26">
        <f>IF(OR('历史数据'!M47="",'历史数据'!N47=0),"",('历史数据'!M47-'历史数据'!N47)/ABS('历史数据'!N47))</f>
        <v/>
      </c>
      <c r="N96" s="26">
        <f>IF(OR('历史数据'!M47&lt;=0,'历史数据'!O47&lt;=0),"",POWER('历史数据'!M47/'历史数据'!O47,1/3)-1)</f>
        <v/>
      </c>
      <c r="O96" s="24">
        <f>IF('历史数据'!P47="","",'历史数据'!P47/100000000)</f>
        <v/>
      </c>
      <c r="P96" s="26">
        <f>IF(OR('历史数据'!P47="",'历史数据'!Q47=0),"",('历史数据'!P47-'历史数据'!Q47)/ABS('历史数据'!Q47))</f>
        <v/>
      </c>
      <c r="Q96" s="26">
        <f>IF(OR('历史数据'!P47&lt;=0,'历史数据'!R47&lt;=0),"",POWER('历史数据'!P47/'历史数据'!R47,1/3)-1)</f>
        <v/>
      </c>
      <c r="R96" s="24">
        <f>IF('历史数据'!S47="","",'历史数据'!S47/100000000)</f>
        <v/>
      </c>
      <c r="S96" s="25">
        <f>IF('历史数据'!T47="","",'历史数据'!T47)</f>
        <v/>
      </c>
      <c r="T96" s="28">
        <f>IF('历史数据'!U47="","",'历史数据'!U47)</f>
        <v/>
      </c>
      <c r="U96" s="28">
        <f>IF('历史数据'!V47="","",'历史数据'!V47/100000000)</f>
        <v/>
      </c>
      <c r="V96" s="24">
        <f>IF('历史数据'!W47="","",'历史数据'!W47/100000000)</f>
        <v/>
      </c>
      <c r="W96" s="28">
        <f>IF('历史数据'!X47="","",'历史数据'!X47)</f>
        <v/>
      </c>
      <c r="X96" s="26">
        <f>IF(OR(R96="",V96&lt;=0),"",R96/V96-1)</f>
        <v/>
      </c>
      <c r="Y96" s="29">
        <f>IF('历史数据'!Y47="","",'历史数据'!Y47)</f>
        <v/>
      </c>
      <c r="Z96" s="24">
        <f>IF('历史数据'!Z47="","",'历史数据'!Z47/100000000)</f>
        <v/>
      </c>
      <c r="AA96" s="24">
        <f>IF('历史数据'!AA47="","",'历史数据'!AA47/100000000)</f>
        <v/>
      </c>
      <c r="AB96" s="24">
        <f>IF('历史数据'!AB47="","",'历史数据'!AB47/100000000)</f>
        <v/>
      </c>
      <c r="AC96" s="13" t="inlineStr">
        <is>
          <t>近五个交易日资金净额:optional_missing；近一月资金净额（最近22个交易日）:optional_missing</t>
        </is>
      </c>
      <c r="AD96" s="13" t="inlineStr">
        <is>
          <t>SUCCESS</t>
        </is>
      </c>
    </row>
    <row r="97" ht="21" customHeight="1" s="3">
      <c r="A97" s="12" t="inlineStr">
        <is>
          <t>920679</t>
        </is>
      </c>
      <c r="B97" s="13" t="inlineStr">
        <is>
          <t>前进科技</t>
        </is>
      </c>
      <c r="C97" s="25">
        <f>IF('历史数据'!D84="","",'历史数据'!D84)</f>
        <v/>
      </c>
      <c r="D97" s="13">
        <f>IF('历史数据'!E84="","",'历史数据'!E84)</f>
        <v/>
      </c>
      <c r="E97" s="24">
        <f>IF('历史数据'!G84="","",'历史数据'!G84/100000000)</f>
        <v/>
      </c>
      <c r="F97" s="26">
        <f>IF(OR('历史数据'!G84="",'历史数据'!H84&lt;=0),"",'历史数据'!G84/'历史数据'!H84-1)</f>
        <v/>
      </c>
      <c r="G97" s="26">
        <f>IF(OR('历史数据'!G84&lt;=0,'历史数据'!I84&lt;=0),"",POWER('历史数据'!G84/'历史数据'!I84,1/3)-1)</f>
        <v/>
      </c>
      <c r="H97" s="26">
        <f>IF(OR('历史数据'!G84&lt;=0,'历史数据'!J84=""),"",('历史数据'!G84-'历史数据'!J84)/'历史数据'!G84)</f>
        <v/>
      </c>
      <c r="I97" s="27">
        <f>IF(OR(H97="",'历史数据'!H84&lt;=0,'历史数据'!K84=""),"",(H97-('历史数据'!H84-'历史数据'!K84)/'历史数据'!H84)*100)</f>
        <v/>
      </c>
      <c r="J97" s="27">
        <f>IF(OR(H97="",'历史数据'!I84&lt;=0,'历史数据'!L84=""),"",(H97-('历史数据'!I84-'历史数据'!L84)/'历史数据'!I84)*100)</f>
        <v/>
      </c>
      <c r="K97" s="24">
        <f>IF('历史数据'!M84="","",'历史数据'!M84/100000000)</f>
        <v/>
      </c>
      <c r="L97" s="26">
        <f>IF(OR('历史数据'!G84=0,'历史数据'!M84=""),"",'历史数据'!M84/'历史数据'!G84)</f>
        <v/>
      </c>
      <c r="M97" s="26">
        <f>IF(OR('历史数据'!M84="",'历史数据'!N84=0),"",('历史数据'!M84-'历史数据'!N84)/ABS('历史数据'!N84))</f>
        <v/>
      </c>
      <c r="N97" s="26">
        <f>IF(OR('历史数据'!M84&lt;=0,'历史数据'!O84&lt;=0),"",POWER('历史数据'!M84/'历史数据'!O84,1/3)-1)</f>
        <v/>
      </c>
      <c r="O97" s="24">
        <f>IF('历史数据'!P84="","",'历史数据'!P84/100000000)</f>
        <v/>
      </c>
      <c r="P97" s="26">
        <f>IF(OR('历史数据'!P84="",'历史数据'!Q84=0),"",('历史数据'!P84-'历史数据'!Q84)/ABS('历史数据'!Q84))</f>
        <v/>
      </c>
      <c r="Q97" s="26">
        <f>IF(OR('历史数据'!P84&lt;=0,'历史数据'!R84&lt;=0),"",POWER('历史数据'!P84/'历史数据'!R84,1/3)-1)</f>
        <v/>
      </c>
      <c r="R97" s="24">
        <f>IF('历史数据'!S84="","",'历史数据'!S84/100000000)</f>
        <v/>
      </c>
      <c r="S97" s="25">
        <f>IF('历史数据'!T84="","",'历史数据'!T84)</f>
        <v/>
      </c>
      <c r="T97" s="28">
        <f>IF('历史数据'!U84="","",'历史数据'!U84)</f>
        <v/>
      </c>
      <c r="U97" s="28">
        <f>IF('历史数据'!V84="","",'历史数据'!V84/100000000)</f>
        <v/>
      </c>
      <c r="V97" s="24">
        <f>IF('历史数据'!W84="","",'历史数据'!W84/100000000)</f>
        <v/>
      </c>
      <c r="W97" s="28">
        <f>IF('历史数据'!X84="","",'历史数据'!X84)</f>
        <v/>
      </c>
      <c r="X97" s="26">
        <f>IF(OR(R97="",V97&lt;=0),"",R97/V97-1)</f>
        <v/>
      </c>
      <c r="Y97" s="29">
        <f>IF('历史数据'!Y84="","",'历史数据'!Y84)</f>
        <v/>
      </c>
      <c r="Z97" s="24">
        <f>IF('历史数据'!Z84="","",'历史数据'!Z84/100000000)</f>
        <v/>
      </c>
      <c r="AA97" s="24">
        <f>IF('历史数据'!AA84="","",'历史数据'!AA84/100000000)</f>
        <v/>
      </c>
      <c r="AB97" s="24">
        <f>IF('历史数据'!AB84="","",'历史数据'!AB84/100000000)</f>
        <v/>
      </c>
      <c r="AC97" s="13" t="inlineStr">
        <is>
          <t>近五个交易日资金净额:optional_missing；近一月资金净额（最近22个交易日）:optional_missing</t>
        </is>
      </c>
      <c r="AD97" s="13" t="inlineStr">
        <is>
          <t>SUCCESS</t>
        </is>
      </c>
    </row>
    <row r="98" ht="21" customHeight="1" s="3">
      <c r="A98" s="12" t="inlineStr">
        <is>
          <t>920670</t>
        </is>
      </c>
      <c r="B98" s="13" t="inlineStr">
        <is>
          <t>数字人</t>
        </is>
      </c>
      <c r="C98" s="25">
        <f>IF('历史数据'!D86="","",'历史数据'!D86)</f>
        <v/>
      </c>
      <c r="D98" s="13">
        <f>IF('历史数据'!E86="","",'历史数据'!E86)</f>
        <v/>
      </c>
      <c r="E98" s="24">
        <f>IF('历史数据'!G86="","",'历史数据'!G86/100000000)</f>
        <v/>
      </c>
      <c r="F98" s="26">
        <f>IF(OR('历史数据'!G86="",'历史数据'!H86&lt;=0),"",'历史数据'!G86/'历史数据'!H86-1)</f>
        <v/>
      </c>
      <c r="G98" s="26">
        <f>IF(OR('历史数据'!G86&lt;=0,'历史数据'!I86&lt;=0),"",POWER('历史数据'!G86/'历史数据'!I86,1/3)-1)</f>
        <v/>
      </c>
      <c r="H98" s="26">
        <f>IF(OR('历史数据'!G86&lt;=0,'历史数据'!J86=""),"",('历史数据'!G86-'历史数据'!J86)/'历史数据'!G86)</f>
        <v/>
      </c>
      <c r="I98" s="27">
        <f>IF(OR(H98="",'历史数据'!H86&lt;=0,'历史数据'!K86=""),"",(H98-('历史数据'!H86-'历史数据'!K86)/'历史数据'!H86)*100)</f>
        <v/>
      </c>
      <c r="J98" s="27">
        <f>IF(OR(H98="",'历史数据'!I86&lt;=0,'历史数据'!L86=""),"",(H98-('历史数据'!I86-'历史数据'!L86)/'历史数据'!I86)*100)</f>
        <v/>
      </c>
      <c r="K98" s="24">
        <f>IF('历史数据'!M86="","",'历史数据'!M86/100000000)</f>
        <v/>
      </c>
      <c r="L98" s="26">
        <f>IF(OR('历史数据'!G86=0,'历史数据'!M86=""),"",'历史数据'!M86/'历史数据'!G86)</f>
        <v/>
      </c>
      <c r="M98" s="26">
        <f>IF(OR('历史数据'!M86="",'历史数据'!N86=0),"",('历史数据'!M86-'历史数据'!N86)/ABS('历史数据'!N86))</f>
        <v/>
      </c>
      <c r="N98" s="26">
        <f>IF(OR('历史数据'!M86&lt;=0,'历史数据'!O86&lt;=0),"",POWER('历史数据'!M86/'历史数据'!O86,1/3)-1)</f>
        <v/>
      </c>
      <c r="O98" s="24">
        <f>IF('历史数据'!P86="","",'历史数据'!P86/100000000)</f>
        <v/>
      </c>
      <c r="P98" s="26">
        <f>IF(OR('历史数据'!P86="",'历史数据'!Q86=0),"",('历史数据'!P86-'历史数据'!Q86)/ABS('历史数据'!Q86))</f>
        <v/>
      </c>
      <c r="Q98" s="26">
        <f>IF(OR('历史数据'!P86&lt;=0,'历史数据'!R86&lt;=0),"",POWER('历史数据'!P86/'历史数据'!R86,1/3)-1)</f>
        <v/>
      </c>
      <c r="R98" s="24">
        <f>IF('历史数据'!S86="","",'历史数据'!S86/100000000)</f>
        <v/>
      </c>
      <c r="S98" s="25">
        <f>IF('历史数据'!T86="","",'历史数据'!T86)</f>
        <v/>
      </c>
      <c r="T98" s="28">
        <f>IF('历史数据'!U86="","",'历史数据'!U86)</f>
        <v/>
      </c>
      <c r="U98" s="28">
        <f>IF('历史数据'!V86="","",'历史数据'!V86/100000000)</f>
        <v/>
      </c>
      <c r="V98" s="24">
        <f>IF('历史数据'!W86="","",'历史数据'!W86/100000000)</f>
        <v/>
      </c>
      <c r="W98" s="28">
        <f>IF('历史数据'!X86="","",'历史数据'!X86)</f>
        <v/>
      </c>
      <c r="X98" s="26">
        <f>IF(OR(R98="",V98&lt;=0),"",R98/V98-1)</f>
        <v/>
      </c>
      <c r="Y98" s="29">
        <f>IF('历史数据'!Y86="","",'历史数据'!Y86)</f>
        <v/>
      </c>
      <c r="Z98" s="24">
        <f>IF('历史数据'!Z86="","",'历史数据'!Z86/100000000)</f>
        <v/>
      </c>
      <c r="AA98" s="24">
        <f>IF('历史数据'!AA86="","",'历史数据'!AA86/100000000)</f>
        <v/>
      </c>
      <c r="AB98" s="24">
        <f>IF('历史数据'!AB86="","",'历史数据'!AB86/100000000)</f>
        <v/>
      </c>
      <c r="AC98" s="13" t="inlineStr">
        <is>
          <t>近五个交易日资金净额:optional_missing；近一月资金净额（最近22个交易日）:optional_missing</t>
        </is>
      </c>
      <c r="AD98" s="13" t="inlineStr">
        <is>
          <t>SUCCESS</t>
        </is>
      </c>
    </row>
    <row r="99" ht="21" customHeight="1" s="3">
      <c r="A99" s="12" t="inlineStr">
        <is>
          <t>920870</t>
        </is>
      </c>
      <c r="B99" s="13" t="inlineStr">
        <is>
          <t>恒进感应</t>
        </is>
      </c>
      <c r="C99" s="25">
        <f>IF('历史数据'!D34="","",'历史数据'!D34)</f>
        <v/>
      </c>
      <c r="D99" s="13">
        <f>IF('历史数据'!E34="","",'历史数据'!E34)</f>
        <v/>
      </c>
      <c r="E99" s="24">
        <f>IF('历史数据'!G34="","",'历史数据'!G34/100000000)</f>
        <v/>
      </c>
      <c r="F99" s="26">
        <f>IF(OR('历史数据'!G34="",'历史数据'!H34&lt;=0),"",'历史数据'!G34/'历史数据'!H34-1)</f>
        <v/>
      </c>
      <c r="G99" s="26">
        <f>IF(OR('历史数据'!G34&lt;=0,'历史数据'!I34&lt;=0),"",POWER('历史数据'!G34/'历史数据'!I34,1/3)-1)</f>
        <v/>
      </c>
      <c r="H99" s="26">
        <f>IF(OR('历史数据'!G34&lt;=0,'历史数据'!J34=""),"",('历史数据'!G34-'历史数据'!J34)/'历史数据'!G34)</f>
        <v/>
      </c>
      <c r="I99" s="27">
        <f>IF(OR(H99="",'历史数据'!H34&lt;=0,'历史数据'!K34=""),"",(H99-('历史数据'!H34-'历史数据'!K34)/'历史数据'!H34)*100)</f>
        <v/>
      </c>
      <c r="J99" s="27">
        <f>IF(OR(H99="",'历史数据'!I34&lt;=0,'历史数据'!L34=""),"",(H99-('历史数据'!I34-'历史数据'!L34)/'历史数据'!I34)*100)</f>
        <v/>
      </c>
      <c r="K99" s="24">
        <f>IF('历史数据'!M34="","",'历史数据'!M34/100000000)</f>
        <v/>
      </c>
      <c r="L99" s="26">
        <f>IF(OR('历史数据'!G34=0,'历史数据'!M34=""),"",'历史数据'!M34/'历史数据'!G34)</f>
        <v/>
      </c>
      <c r="M99" s="26">
        <f>IF(OR('历史数据'!M34="",'历史数据'!N34=0),"",('历史数据'!M34-'历史数据'!N34)/ABS('历史数据'!N34))</f>
        <v/>
      </c>
      <c r="N99" s="26">
        <f>IF(OR('历史数据'!M34&lt;=0,'历史数据'!O34&lt;=0),"",POWER('历史数据'!M34/'历史数据'!O34,1/3)-1)</f>
        <v/>
      </c>
      <c r="O99" s="24">
        <f>IF('历史数据'!P34="","",'历史数据'!P34/100000000)</f>
        <v/>
      </c>
      <c r="P99" s="26">
        <f>IF(OR('历史数据'!P34="",'历史数据'!Q34=0),"",('历史数据'!P34-'历史数据'!Q34)/ABS('历史数据'!Q34))</f>
        <v/>
      </c>
      <c r="Q99" s="26">
        <f>IF(OR('历史数据'!P34&lt;=0,'历史数据'!R34&lt;=0),"",POWER('历史数据'!P34/'历史数据'!R34,1/3)-1)</f>
        <v/>
      </c>
      <c r="R99" s="24">
        <f>IF('历史数据'!S34="","",'历史数据'!S34/100000000)</f>
        <v/>
      </c>
      <c r="S99" s="25">
        <f>IF('历史数据'!T34="","",'历史数据'!T34)</f>
        <v/>
      </c>
      <c r="T99" s="28">
        <f>IF('历史数据'!U34="","",'历史数据'!U34)</f>
        <v/>
      </c>
      <c r="U99" s="28">
        <f>IF('历史数据'!V34="","",'历史数据'!V34/100000000)</f>
        <v/>
      </c>
      <c r="V99" s="24">
        <f>IF('历史数据'!W34="","",'历史数据'!W34/100000000)</f>
        <v/>
      </c>
      <c r="W99" s="28">
        <f>IF('历史数据'!X34="","",'历史数据'!X34)</f>
        <v/>
      </c>
      <c r="X99" s="26">
        <f>IF(OR(R99="",V99&lt;=0),"",R99/V99-1)</f>
        <v/>
      </c>
      <c r="Y99" s="29">
        <f>IF('历史数据'!Y34="","",'历史数据'!Y34)</f>
        <v/>
      </c>
      <c r="Z99" s="24">
        <f>IF('历史数据'!Z34="","",'历史数据'!Z34/100000000)</f>
        <v/>
      </c>
      <c r="AA99" s="24">
        <f>IF('历史数据'!AA34="","",'历史数据'!AA34/100000000)</f>
        <v/>
      </c>
      <c r="AB99" s="24">
        <f>IF('历史数据'!AB34="","",'历史数据'!AB34/100000000)</f>
        <v/>
      </c>
      <c r="AC99" s="13" t="inlineStr">
        <is>
          <t>近五个交易日资金净额:optional_missing；近一月资金净额（最近22个交易日）:optional_missing</t>
        </is>
      </c>
      <c r="AD99" s="13" t="inlineStr">
        <is>
          <t>SUCCESS</t>
        </is>
      </c>
    </row>
    <row r="100" ht="21" customHeight="1" s="3">
      <c r="A100" s="12" t="inlineStr">
        <is>
          <t>920873</t>
        </is>
      </c>
      <c r="B100" s="13" t="inlineStr">
        <is>
          <t>中设咨询</t>
        </is>
      </c>
      <c r="C100" s="25">
        <f>IF('历史数据'!D32="","",'历史数据'!D32)</f>
        <v/>
      </c>
      <c r="D100" s="13">
        <f>IF('历史数据'!E32="","",'历史数据'!E32)</f>
        <v/>
      </c>
      <c r="E100" s="24">
        <f>IF('历史数据'!G32="","",'历史数据'!G32/100000000)</f>
        <v/>
      </c>
      <c r="F100" s="26">
        <f>IF(OR('历史数据'!G32="",'历史数据'!H32&lt;=0),"",'历史数据'!G32/'历史数据'!H32-1)</f>
        <v/>
      </c>
      <c r="G100" s="26">
        <f>IF(OR('历史数据'!G32&lt;=0,'历史数据'!I32&lt;=0),"",POWER('历史数据'!G32/'历史数据'!I32,1/3)-1)</f>
        <v/>
      </c>
      <c r="H100" s="26">
        <f>IF(OR('历史数据'!G32&lt;=0,'历史数据'!J32=""),"",('历史数据'!G32-'历史数据'!J32)/'历史数据'!G32)</f>
        <v/>
      </c>
      <c r="I100" s="27">
        <f>IF(OR(H100="",'历史数据'!H32&lt;=0,'历史数据'!K32=""),"",(H100-('历史数据'!H32-'历史数据'!K32)/'历史数据'!H32)*100)</f>
        <v/>
      </c>
      <c r="J100" s="27">
        <f>IF(OR(H100="",'历史数据'!I32&lt;=0,'历史数据'!L32=""),"",(H100-('历史数据'!I32-'历史数据'!L32)/'历史数据'!I32)*100)</f>
        <v/>
      </c>
      <c r="K100" s="24">
        <f>IF('历史数据'!M32="","",'历史数据'!M32/100000000)</f>
        <v/>
      </c>
      <c r="L100" s="26">
        <f>IF(OR('历史数据'!G32=0,'历史数据'!M32=""),"",'历史数据'!M32/'历史数据'!G32)</f>
        <v/>
      </c>
      <c r="M100" s="26">
        <f>IF(OR('历史数据'!M32="",'历史数据'!N32=0),"",('历史数据'!M32-'历史数据'!N32)/ABS('历史数据'!N32))</f>
        <v/>
      </c>
      <c r="N100" s="26">
        <f>IF(OR('历史数据'!M32&lt;=0,'历史数据'!O32&lt;=0),"",POWER('历史数据'!M32/'历史数据'!O32,1/3)-1)</f>
        <v/>
      </c>
      <c r="O100" s="24">
        <f>IF('历史数据'!P32="","",'历史数据'!P32/100000000)</f>
        <v/>
      </c>
      <c r="P100" s="26">
        <f>IF(OR('历史数据'!P32="",'历史数据'!Q32=0),"",('历史数据'!P32-'历史数据'!Q32)/ABS('历史数据'!Q32))</f>
        <v/>
      </c>
      <c r="Q100" s="26">
        <f>IF(OR('历史数据'!P32&lt;=0,'历史数据'!R32&lt;=0),"",POWER('历史数据'!P32/'历史数据'!R32,1/3)-1)</f>
        <v/>
      </c>
      <c r="R100" s="24">
        <f>IF('历史数据'!S32="","",'历史数据'!S32/100000000)</f>
        <v/>
      </c>
      <c r="S100" s="25">
        <f>IF('历史数据'!T32="","",'历史数据'!T32)</f>
        <v/>
      </c>
      <c r="T100" s="28">
        <f>IF('历史数据'!U32="","",'历史数据'!U32)</f>
        <v/>
      </c>
      <c r="U100" s="28">
        <f>IF('历史数据'!V32="","",'历史数据'!V32/100000000)</f>
        <v/>
      </c>
      <c r="V100" s="24">
        <f>IF('历史数据'!W32="","",'历史数据'!W32/100000000)</f>
        <v/>
      </c>
      <c r="W100" s="28">
        <f>IF('历史数据'!X32="","",'历史数据'!X32)</f>
        <v/>
      </c>
      <c r="X100" s="26">
        <f>IF(OR(R100="",V100&lt;=0),"",R100/V100-1)</f>
        <v/>
      </c>
      <c r="Y100" s="29">
        <f>IF('历史数据'!Y32="","",'历史数据'!Y32)</f>
        <v/>
      </c>
      <c r="Z100" s="24">
        <f>IF('历史数据'!Z32="","",'历史数据'!Z32/100000000)</f>
        <v/>
      </c>
      <c r="AA100" s="24">
        <f>IF('历史数据'!AA32="","",'历史数据'!AA32/100000000)</f>
        <v/>
      </c>
      <c r="AB100" s="24">
        <f>IF('历史数据'!AB32="","",'历史数据'!AB32/100000000)</f>
        <v/>
      </c>
      <c r="AC100" s="13" t="inlineStr">
        <is>
          <t>近五个交易日资金净额:optional_missing；近一月资金净额（最近22个交易日）:optional_missing</t>
        </is>
      </c>
      <c r="AD100" s="13" t="inlineStr">
        <is>
          <t>SUCCESS</t>
        </is>
      </c>
    </row>
    <row r="101" ht="21" customHeight="1" s="3">
      <c r="A101" s="12" t="inlineStr">
        <is>
          <t>920642</t>
        </is>
      </c>
      <c r="B101" s="13" t="inlineStr">
        <is>
          <t>通易航天</t>
        </is>
      </c>
      <c r="C101" s="25">
        <f>IF('历史数据'!D92="","",'历史数据'!D92)</f>
        <v/>
      </c>
      <c r="D101" s="13">
        <f>IF('历史数据'!E92="","",'历史数据'!E92)</f>
        <v/>
      </c>
      <c r="E101" s="24">
        <f>IF('历史数据'!G92="","",'历史数据'!G92/100000000)</f>
        <v/>
      </c>
      <c r="F101" s="26">
        <f>IF(OR('历史数据'!G92="",'历史数据'!H92&lt;=0),"",'历史数据'!G92/'历史数据'!H92-1)</f>
        <v/>
      </c>
      <c r="G101" s="26">
        <f>IF(OR('历史数据'!G92&lt;=0,'历史数据'!I92&lt;=0),"",POWER('历史数据'!G92/'历史数据'!I92,1/3)-1)</f>
        <v/>
      </c>
      <c r="H101" s="26">
        <f>IF(OR('历史数据'!G92&lt;=0,'历史数据'!J92=""),"",('历史数据'!G92-'历史数据'!J92)/'历史数据'!G92)</f>
        <v/>
      </c>
      <c r="I101" s="27">
        <f>IF(OR(H101="",'历史数据'!H92&lt;=0,'历史数据'!K92=""),"",(H101-('历史数据'!H92-'历史数据'!K92)/'历史数据'!H92)*100)</f>
        <v/>
      </c>
      <c r="J101" s="27">
        <f>IF(OR(H101="",'历史数据'!I92&lt;=0,'历史数据'!L92=""),"",(H101-('历史数据'!I92-'历史数据'!L92)/'历史数据'!I92)*100)</f>
        <v/>
      </c>
      <c r="K101" s="24">
        <f>IF('历史数据'!M92="","",'历史数据'!M92/100000000)</f>
        <v/>
      </c>
      <c r="L101" s="26">
        <f>IF(OR('历史数据'!G92=0,'历史数据'!M92=""),"",'历史数据'!M92/'历史数据'!G92)</f>
        <v/>
      </c>
      <c r="M101" s="26">
        <f>IF(OR('历史数据'!M92="",'历史数据'!N92=0),"",('历史数据'!M92-'历史数据'!N92)/ABS('历史数据'!N92))</f>
        <v/>
      </c>
      <c r="N101" s="26">
        <f>IF(OR('历史数据'!M92&lt;=0,'历史数据'!O92&lt;=0),"",POWER('历史数据'!M92/'历史数据'!O92,1/3)-1)</f>
        <v/>
      </c>
      <c r="O101" s="24">
        <f>IF('历史数据'!P92="","",'历史数据'!P92/100000000)</f>
        <v/>
      </c>
      <c r="P101" s="26">
        <f>IF(OR('历史数据'!P92="",'历史数据'!Q92=0),"",('历史数据'!P92-'历史数据'!Q92)/ABS('历史数据'!Q92))</f>
        <v/>
      </c>
      <c r="Q101" s="26">
        <f>IF(OR('历史数据'!P92&lt;=0,'历史数据'!R92&lt;=0),"",POWER('历史数据'!P92/'历史数据'!R92,1/3)-1)</f>
        <v/>
      </c>
      <c r="R101" s="24">
        <f>IF('历史数据'!S92="","",'历史数据'!S92/100000000)</f>
        <v/>
      </c>
      <c r="S101" s="25">
        <f>IF('历史数据'!T92="","",'历史数据'!T92)</f>
        <v/>
      </c>
      <c r="T101" s="28">
        <f>IF('历史数据'!U92="","",'历史数据'!U92)</f>
        <v/>
      </c>
      <c r="U101" s="28">
        <f>IF('历史数据'!V92="","",'历史数据'!V92/100000000)</f>
        <v/>
      </c>
      <c r="V101" s="24">
        <f>IF('历史数据'!W92="","",'历史数据'!W92/100000000)</f>
        <v/>
      </c>
      <c r="W101" s="28">
        <f>IF('历史数据'!X92="","",'历史数据'!X92)</f>
        <v/>
      </c>
      <c r="X101" s="26">
        <f>IF(OR(R101="",V101&lt;=0),"",R101/V101-1)</f>
        <v/>
      </c>
      <c r="Y101" s="29">
        <f>IF('历史数据'!Y92="","",'历史数据'!Y92)</f>
        <v/>
      </c>
      <c r="Z101" s="24">
        <f>IF('历史数据'!Z92="","",'历史数据'!Z92/100000000)</f>
        <v/>
      </c>
      <c r="AA101" s="24">
        <f>IF('历史数据'!AA92="","",'历史数据'!AA92/100000000)</f>
        <v/>
      </c>
      <c r="AB101" s="24">
        <f>IF('历史数据'!AB92="","",'历史数据'!AB92/100000000)</f>
        <v/>
      </c>
      <c r="AC101" s="13" t="inlineStr">
        <is>
          <t>近五个交易日资金净额:optional_missing；近一月资金净额（最近22个交易日）:optional_missing</t>
        </is>
      </c>
      <c r="AD101" s="13" t="inlineStr">
        <is>
          <t>SUCCESS</t>
        </is>
      </c>
    </row>
    <row r="102" ht="21" customHeight="1" s="3">
      <c r="A102" s="12" t="inlineStr">
        <is>
          <t>920748</t>
        </is>
      </c>
      <c r="B102" s="13" t="inlineStr">
        <is>
          <t>路桥信息</t>
        </is>
      </c>
      <c r="C102" s="25">
        <f>IF('历史数据'!D64="","",'历史数据'!D64)</f>
        <v/>
      </c>
      <c r="D102" s="13">
        <f>IF('历史数据'!E64="","",'历史数据'!E64)</f>
        <v/>
      </c>
      <c r="E102" s="24">
        <f>IF('历史数据'!G64="","",'历史数据'!G64/100000000)</f>
        <v/>
      </c>
      <c r="F102" s="26">
        <f>IF(OR('历史数据'!G64="",'历史数据'!H64&lt;=0),"",'历史数据'!G64/'历史数据'!H64-1)</f>
        <v/>
      </c>
      <c r="G102" s="26">
        <f>IF(OR('历史数据'!G64&lt;=0,'历史数据'!I64&lt;=0),"",POWER('历史数据'!G64/'历史数据'!I64,1/3)-1)</f>
        <v/>
      </c>
      <c r="H102" s="26">
        <f>IF(OR('历史数据'!G64&lt;=0,'历史数据'!J64=""),"",('历史数据'!G64-'历史数据'!J64)/'历史数据'!G64)</f>
        <v/>
      </c>
      <c r="I102" s="27">
        <f>IF(OR(H102="",'历史数据'!H64&lt;=0,'历史数据'!K64=""),"",(H102-('历史数据'!H64-'历史数据'!K64)/'历史数据'!H64)*100)</f>
        <v/>
      </c>
      <c r="J102" s="27">
        <f>IF(OR(H102="",'历史数据'!I64&lt;=0,'历史数据'!L64=""),"",(H102-('历史数据'!I64-'历史数据'!L64)/'历史数据'!I64)*100)</f>
        <v/>
      </c>
      <c r="K102" s="24">
        <f>IF('历史数据'!M64="","",'历史数据'!M64/100000000)</f>
        <v/>
      </c>
      <c r="L102" s="26">
        <f>IF(OR('历史数据'!G64=0,'历史数据'!M64=""),"",'历史数据'!M64/'历史数据'!G64)</f>
        <v/>
      </c>
      <c r="M102" s="26">
        <f>IF(OR('历史数据'!M64="",'历史数据'!N64=0),"",('历史数据'!M64-'历史数据'!N64)/ABS('历史数据'!N64))</f>
        <v/>
      </c>
      <c r="N102" s="26">
        <f>IF(OR('历史数据'!M64&lt;=0,'历史数据'!O64&lt;=0),"",POWER('历史数据'!M64/'历史数据'!O64,1/3)-1)</f>
        <v/>
      </c>
      <c r="O102" s="24">
        <f>IF('历史数据'!P64="","",'历史数据'!P64/100000000)</f>
        <v/>
      </c>
      <c r="P102" s="26">
        <f>IF(OR('历史数据'!P64="",'历史数据'!Q64=0),"",('历史数据'!P64-'历史数据'!Q64)/ABS('历史数据'!Q64))</f>
        <v/>
      </c>
      <c r="Q102" s="26">
        <f>IF(OR('历史数据'!P64&lt;=0,'历史数据'!R64&lt;=0),"",POWER('历史数据'!P64/'历史数据'!R64,1/3)-1)</f>
        <v/>
      </c>
      <c r="R102" s="24">
        <f>IF('历史数据'!S64="","",'历史数据'!S64/100000000)</f>
        <v/>
      </c>
      <c r="S102" s="25">
        <f>IF('历史数据'!T64="","",'历史数据'!T64)</f>
        <v/>
      </c>
      <c r="T102" s="28">
        <f>IF('历史数据'!U64="","",'历史数据'!U64)</f>
        <v/>
      </c>
      <c r="U102" s="28">
        <f>IF('历史数据'!V64="","",'历史数据'!V64/100000000)</f>
        <v/>
      </c>
      <c r="V102" s="24">
        <f>IF('历史数据'!W64="","",'历史数据'!W64/100000000)</f>
        <v/>
      </c>
      <c r="W102" s="28">
        <f>IF('历史数据'!X64="","",'历史数据'!X64)</f>
        <v/>
      </c>
      <c r="X102" s="26">
        <f>IF(OR(R102="",V102&lt;=0),"",R102/V102-1)</f>
        <v/>
      </c>
      <c r="Y102" s="29">
        <f>IF('历史数据'!Y64="","",'历史数据'!Y64)</f>
        <v/>
      </c>
      <c r="Z102" s="24">
        <f>IF('历史数据'!Z64="","",'历史数据'!Z64/100000000)</f>
        <v/>
      </c>
      <c r="AA102" s="24">
        <f>IF('历史数据'!AA64="","",'历史数据'!AA64/100000000)</f>
        <v/>
      </c>
      <c r="AB102" s="24">
        <f>IF('历史数据'!AB64="","",'历史数据'!AB64/100000000)</f>
        <v/>
      </c>
      <c r="AC102" s="13" t="inlineStr">
        <is>
          <t>近五个交易日资金净额:optional_missing；近一月资金净额（最近22个交易日）:optional_missing</t>
        </is>
      </c>
      <c r="AD102" s="13" t="inlineStr">
        <is>
          <t>SUCCESS</t>
        </is>
      </c>
    </row>
    <row r="103" ht="21" customHeight="1" s="3">
      <c r="A103" s="12" t="inlineStr">
        <is>
          <t>920895</t>
        </is>
      </c>
      <c r="B103" s="13" t="inlineStr">
        <is>
          <t>花溪科技</t>
        </is>
      </c>
      <c r="C103" s="25">
        <f>IF('历史数据'!D27="","",'历史数据'!D27)</f>
        <v/>
      </c>
      <c r="D103" s="13">
        <f>IF('历史数据'!E27="","",'历史数据'!E27)</f>
        <v/>
      </c>
      <c r="E103" s="24">
        <f>IF('历史数据'!G27="","",'历史数据'!G27/100000000)</f>
        <v/>
      </c>
      <c r="F103" s="26">
        <f>IF(OR('历史数据'!G27="",'历史数据'!H27&lt;=0),"",'历史数据'!G27/'历史数据'!H27-1)</f>
        <v/>
      </c>
      <c r="G103" s="26">
        <f>IF(OR('历史数据'!G27&lt;=0,'历史数据'!I27&lt;=0),"",POWER('历史数据'!G27/'历史数据'!I27,1/3)-1)</f>
        <v/>
      </c>
      <c r="H103" s="26">
        <f>IF(OR('历史数据'!G27&lt;=0,'历史数据'!J27=""),"",('历史数据'!G27-'历史数据'!J27)/'历史数据'!G27)</f>
        <v/>
      </c>
      <c r="I103" s="27">
        <f>IF(OR(H103="",'历史数据'!H27&lt;=0,'历史数据'!K27=""),"",(H103-('历史数据'!H27-'历史数据'!K27)/'历史数据'!H27)*100)</f>
        <v/>
      </c>
      <c r="J103" s="27">
        <f>IF(OR(H103="",'历史数据'!I27&lt;=0,'历史数据'!L27=""),"",(H103-('历史数据'!I27-'历史数据'!L27)/'历史数据'!I27)*100)</f>
        <v/>
      </c>
      <c r="K103" s="24">
        <f>IF('历史数据'!M27="","",'历史数据'!M27/100000000)</f>
        <v/>
      </c>
      <c r="L103" s="26">
        <f>IF(OR('历史数据'!G27=0,'历史数据'!M27=""),"",'历史数据'!M27/'历史数据'!G27)</f>
        <v/>
      </c>
      <c r="M103" s="26">
        <f>IF(OR('历史数据'!M27="",'历史数据'!N27=0),"",('历史数据'!M27-'历史数据'!N27)/ABS('历史数据'!N27))</f>
        <v/>
      </c>
      <c r="N103" s="26">
        <f>IF(OR('历史数据'!M27&lt;=0,'历史数据'!O27&lt;=0),"",POWER('历史数据'!M27/'历史数据'!O27,1/3)-1)</f>
        <v/>
      </c>
      <c r="O103" s="24">
        <f>IF('历史数据'!P27="","",'历史数据'!P27/100000000)</f>
        <v/>
      </c>
      <c r="P103" s="26">
        <f>IF(OR('历史数据'!P27="",'历史数据'!Q27=0),"",('历史数据'!P27-'历史数据'!Q27)/ABS('历史数据'!Q27))</f>
        <v/>
      </c>
      <c r="Q103" s="26">
        <f>IF(OR('历史数据'!P27&lt;=0,'历史数据'!R27&lt;=0),"",POWER('历史数据'!P27/'历史数据'!R27,1/3)-1)</f>
        <v/>
      </c>
      <c r="R103" s="24">
        <f>IF('历史数据'!S27="","",'历史数据'!S27/100000000)</f>
        <v/>
      </c>
      <c r="S103" s="25">
        <f>IF('历史数据'!T27="","",'历史数据'!T27)</f>
        <v/>
      </c>
      <c r="T103" s="28">
        <f>IF('历史数据'!U27="","",'历史数据'!U27)</f>
        <v/>
      </c>
      <c r="U103" s="28">
        <f>IF('历史数据'!V27="","",'历史数据'!V27/100000000)</f>
        <v/>
      </c>
      <c r="V103" s="24">
        <f>IF('历史数据'!W27="","",'历史数据'!W27/100000000)</f>
        <v/>
      </c>
      <c r="W103" s="28">
        <f>IF('历史数据'!X27="","",'历史数据'!X27)</f>
        <v/>
      </c>
      <c r="X103" s="26">
        <f>IF(OR(R103="",V103&lt;=0),"",R103/V103-1)</f>
        <v/>
      </c>
      <c r="Y103" s="29">
        <f>IF('历史数据'!Y27="","",'历史数据'!Y27)</f>
        <v/>
      </c>
      <c r="Z103" s="24">
        <f>IF('历史数据'!Z27="","",'历史数据'!Z27/100000000)</f>
        <v/>
      </c>
      <c r="AA103" s="24">
        <f>IF('历史数据'!AA27="","",'历史数据'!AA27/100000000)</f>
        <v/>
      </c>
      <c r="AB103" s="24">
        <f>IF('历史数据'!AB27="","",'历史数据'!AB27/100000000)</f>
        <v/>
      </c>
      <c r="AC103" s="13" t="inlineStr">
        <is>
          <t>近五个交易日资金净额:optional_missing；近一月资金净额（最近22个交易日）:optional_missing</t>
        </is>
      </c>
      <c r="AD103" s="13" t="inlineStr">
        <is>
          <t>SUCCESS</t>
        </is>
      </c>
    </row>
    <row r="104" ht="21" customHeight="1" s="3">
      <c r="A104" s="12" t="inlineStr">
        <is>
          <t>920680</t>
        </is>
      </c>
      <c r="B104" s="13" t="inlineStr">
        <is>
          <t>广道退</t>
        </is>
      </c>
      <c r="C104" s="25">
        <f>IF('历史数据'!D83="","",'历史数据'!D83)</f>
        <v/>
      </c>
      <c r="D104" s="13">
        <f>IF('历史数据'!E83="","",'历史数据'!E83)</f>
        <v/>
      </c>
      <c r="E104" s="24">
        <f>IF('历史数据'!G83="","",'历史数据'!G83/100000000)</f>
        <v/>
      </c>
      <c r="F104" s="26">
        <f>IF(OR('历史数据'!G83="",'历史数据'!H83&lt;=0),"",'历史数据'!G83/'历史数据'!H83-1)</f>
        <v/>
      </c>
      <c r="G104" s="26">
        <f>IF(OR('历史数据'!G83&lt;=0,'历史数据'!I83&lt;=0),"",POWER('历史数据'!G83/'历史数据'!I83,1/3)-1)</f>
        <v/>
      </c>
      <c r="H104" s="26">
        <f>IF(OR('历史数据'!G83&lt;=0,'历史数据'!J83=""),"",('历史数据'!G83-'历史数据'!J83)/'历史数据'!G83)</f>
        <v/>
      </c>
      <c r="I104" s="27">
        <f>IF(OR(H104="",'历史数据'!H83&lt;=0,'历史数据'!K83=""),"",(H104-('历史数据'!H83-'历史数据'!K83)/'历史数据'!H83)*100)</f>
        <v/>
      </c>
      <c r="J104" s="27">
        <f>IF(OR(H104="",'历史数据'!I83&lt;=0,'历史数据'!L83=""),"",(H104-('历史数据'!I83-'历史数据'!L83)/'历史数据'!I83)*100)</f>
        <v/>
      </c>
      <c r="K104" s="24">
        <f>IF('历史数据'!M83="","",'历史数据'!M83/100000000)</f>
        <v/>
      </c>
      <c r="L104" s="26">
        <f>IF(OR('历史数据'!G83=0,'历史数据'!M83=""),"",'历史数据'!M83/'历史数据'!G83)</f>
        <v/>
      </c>
      <c r="M104" s="26">
        <f>IF(OR('历史数据'!M83="",'历史数据'!N83=0),"",('历史数据'!M83-'历史数据'!N83)/ABS('历史数据'!N83))</f>
        <v/>
      </c>
      <c r="N104" s="26">
        <f>IF(OR('历史数据'!M83&lt;=0,'历史数据'!O83&lt;=0),"",POWER('历史数据'!M83/'历史数据'!O83,1/3)-1)</f>
        <v/>
      </c>
      <c r="O104" s="24">
        <f>IF('历史数据'!P83="","",'历史数据'!P83/100000000)</f>
        <v/>
      </c>
      <c r="P104" s="26">
        <f>IF(OR('历史数据'!P83="",'历史数据'!Q83=0),"",('历史数据'!P83-'历史数据'!Q83)/ABS('历史数据'!Q83))</f>
        <v/>
      </c>
      <c r="Q104" s="26">
        <f>IF(OR('历史数据'!P83&lt;=0,'历史数据'!R83&lt;=0),"",POWER('历史数据'!P83/'历史数据'!R83,1/3)-1)</f>
        <v/>
      </c>
      <c r="R104" s="24">
        <f>IF('历史数据'!S83="","",'历史数据'!S83/100000000)</f>
        <v/>
      </c>
      <c r="S104" s="25">
        <f>IF('历史数据'!T83="","",'历史数据'!T83)</f>
        <v/>
      </c>
      <c r="T104" s="28">
        <f>IF('历史数据'!U83="","",'历史数据'!U83)</f>
        <v/>
      </c>
      <c r="U104" s="28">
        <f>IF('历史数据'!V83="","",'历史数据'!V83/100000000)</f>
        <v/>
      </c>
      <c r="V104" s="24">
        <f>IF('历史数据'!W83="","",'历史数据'!W83/100000000)</f>
        <v/>
      </c>
      <c r="W104" s="28">
        <f>IF('历史数据'!X83="","",'历史数据'!X83)</f>
        <v/>
      </c>
      <c r="X104" s="26">
        <f>IF(OR(R104="",V104&lt;=0),"",R104/V104-1)</f>
        <v/>
      </c>
      <c r="Y104" s="29">
        <f>IF('历史数据'!Y83="","",'历史数据'!Y83)</f>
        <v/>
      </c>
      <c r="Z104" s="24">
        <f>IF('历史数据'!Z83="","",'历史数据'!Z83/100000000)</f>
        <v/>
      </c>
      <c r="AA104" s="24">
        <f>IF('历史数据'!AA83="","",'历史数据'!AA83/100000000)</f>
        <v/>
      </c>
      <c r="AB104" s="24">
        <f>IF('历史数据'!AB83="","",'历史数据'!AB83/100000000)</f>
        <v/>
      </c>
      <c r="AC104" s="13" t="inlineStr">
        <is>
          <t>营业收入:missing；营业收入同比:missing；营业收入三年 CAGR:missing；毛利率:missing；毛利率同比变化（百分点）:missing；毛利率三年变化（百分点）:missing</t>
        </is>
      </c>
      <c r="AD104" s="13" t="inlineStr">
        <is>
          <t>FAILED</t>
        </is>
      </c>
    </row>
  </sheetData>
  <autoFilter ref="A4:AD10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D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autoFilter ref="A4:AD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308544895.46</v>
      </c>
      <c r="H2" t="n">
        <v>295773281.94</v>
      </c>
      <c r="I2" t="n">
        <v>406489091.83</v>
      </c>
      <c r="J2" t="n">
        <v>197101654.9499646</v>
      </c>
      <c r="K2" t="n">
        <v>188804558.7898964</v>
      </c>
      <c r="L2" t="n">
        <v>251326304.1698501</v>
      </c>
      <c r="M2" t="n">
        <v>19107093.28</v>
      </c>
      <c r="N2" t="n">
        <v>18087029.57</v>
      </c>
      <c r="O2" t="n">
        <v>52586940.63</v>
      </c>
      <c r="P2" t="n">
        <v>29447536.67</v>
      </c>
      <c r="Q2" t="n">
        <v>25513232.8</v>
      </c>
      <c r="R2" t="n">
        <v>-38010376.2</v>
      </c>
      <c r="S2" t="n">
        <v>1103699957</v>
      </c>
      <c r="T2" s="31" t="n">
        <v>44852</v>
      </c>
      <c r="U2" t="n">
        <v>16</v>
      </c>
      <c r="V2" t="n">
        <v>24182734</v>
      </c>
      <c r="W2" t="n">
        <v>386923744</v>
      </c>
      <c r="X2" t="n">
        <v>11.41</v>
      </c>
      <c r="Y2" t="n">
        <v>0</v>
      </c>
      <c r="Z2" t="n">
        <v>0</v>
      </c>
    </row>
    <row r="3">
      <c r="A3" t="inlineStr">
        <is>
          <t>A股</t>
        </is>
      </c>
      <c r="B3" t="inlineStr">
        <is>
          <t>920985</t>
        </is>
      </c>
      <c r="C3" t="inlineStr">
        <is>
          <t>海泰新能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1650844575.4</v>
      </c>
      <c r="H3" t="n">
        <v>3717455001.53</v>
      </c>
      <c r="I3" t="n">
        <v>6387165263.14</v>
      </c>
      <c r="J3" t="n">
        <v>1734023665.210687</v>
      </c>
      <c r="K3" t="n">
        <v>2987756173.051005</v>
      </c>
      <c r="L3" t="n">
        <v>6009342496.552124</v>
      </c>
      <c r="M3" t="n">
        <v>-674594689.74</v>
      </c>
      <c r="N3" t="n">
        <v>189489752.36</v>
      </c>
      <c r="O3" t="n">
        <v>118605569.42</v>
      </c>
      <c r="P3" t="n">
        <v>-783406848.97</v>
      </c>
      <c r="Q3" t="n">
        <v>207889114.19</v>
      </c>
      <c r="R3" t="n">
        <v>70336940.15000001</v>
      </c>
      <c r="S3" t="n">
        <v>1442159092</v>
      </c>
      <c r="T3" s="31" t="n">
        <v>44781</v>
      </c>
      <c r="U3" t="n">
        <v>9.050000000000001</v>
      </c>
      <c r="V3" t="n">
        <v>53821948</v>
      </c>
      <c r="W3" t="n">
        <v>487088629.4</v>
      </c>
      <c r="X3" t="n">
        <v>4.66</v>
      </c>
      <c r="Y3" t="n">
        <v>0</v>
      </c>
      <c r="Z3" t="n">
        <v>0</v>
      </c>
    </row>
    <row r="4">
      <c r="A4" t="inlineStr">
        <is>
          <t>A股</t>
        </is>
      </c>
      <c r="B4" t="inlineStr">
        <is>
          <t>920982</t>
        </is>
      </c>
      <c r="C4" t="inlineStr">
        <is>
          <t>锦波生物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1595372919.28</v>
      </c>
      <c r="H4" t="n">
        <v>1442831399.69</v>
      </c>
      <c r="I4" t="n">
        <v>390198402.96</v>
      </c>
      <c r="J4" t="n">
        <v>172119657.7807167</v>
      </c>
      <c r="K4" t="n">
        <v>115199689.8499298</v>
      </c>
      <c r="L4" t="n">
        <v>56828644.02000917</v>
      </c>
      <c r="M4" t="n">
        <v>652128968.1</v>
      </c>
      <c r="N4" t="n">
        <v>732301620.38</v>
      </c>
      <c r="O4" t="n">
        <v>109175008.63</v>
      </c>
      <c r="P4" t="n">
        <v>630002189.99</v>
      </c>
      <c r="Q4" t="n">
        <v>767155394.37</v>
      </c>
      <c r="R4" t="n">
        <v>123891082.75</v>
      </c>
      <c r="S4" t="n">
        <v>13921755487</v>
      </c>
      <c r="T4" s="31" t="n">
        <v>45127</v>
      </c>
      <c r="U4" t="n">
        <v>49</v>
      </c>
      <c r="V4" t="n">
        <v>5000000</v>
      </c>
      <c r="W4" t="n">
        <v>245000000</v>
      </c>
      <c r="X4" t="n">
        <v>120.99</v>
      </c>
      <c r="Y4" t="n">
        <v>0</v>
      </c>
      <c r="Z4" t="n">
        <v>0</v>
      </c>
    </row>
    <row r="5">
      <c r="A5" t="inlineStr">
        <is>
          <t>A股</t>
        </is>
      </c>
      <c r="B5" t="inlineStr">
        <is>
          <t>920981</t>
        </is>
      </c>
      <c r="C5" t="inlineStr">
        <is>
          <t>晶赛科技</t>
        </is>
      </c>
      <c r="D5" s="31" t="n">
        <v>46022</v>
      </c>
      <c r="E5" t="inlineStr">
        <is>
          <t>CNY</t>
        </is>
      </c>
      <c r="F5" t="inlineStr">
        <is>
          <t>CNY</t>
        </is>
      </c>
      <c r="G5" t="n">
        <v>576870929.75</v>
      </c>
      <c r="H5" t="n">
        <v>525219301.01</v>
      </c>
      <c r="I5" t="n">
        <v>387266655.65</v>
      </c>
      <c r="J5" t="n">
        <v>506727930.3601029</v>
      </c>
      <c r="K5" t="n">
        <v>456069951.1101319</v>
      </c>
      <c r="L5" t="n">
        <v>314114644.4800917</v>
      </c>
      <c r="M5" t="n">
        <v>9683732.09</v>
      </c>
      <c r="N5" t="n">
        <v>5923743.42</v>
      </c>
      <c r="O5" t="n">
        <v>43595332.89</v>
      </c>
      <c r="P5" t="n">
        <v>81541092.59</v>
      </c>
      <c r="Q5" t="n">
        <v>12791072.2</v>
      </c>
      <c r="R5" t="n">
        <v>62891118.2</v>
      </c>
      <c r="S5" t="n">
        <v>2264982160</v>
      </c>
      <c r="T5" s="31" t="n">
        <v>44515</v>
      </c>
      <c r="U5" t="n">
        <v>18.32</v>
      </c>
      <c r="V5" t="n">
        <v>11878300</v>
      </c>
      <c r="W5" t="n">
        <v>217610456</v>
      </c>
      <c r="X5" t="n">
        <v>29.62</v>
      </c>
      <c r="Y5" t="n">
        <v>0</v>
      </c>
      <c r="Z5" t="n">
        <v>0</v>
      </c>
    </row>
    <row r="6">
      <c r="A6" t="inlineStr">
        <is>
          <t>A股</t>
        </is>
      </c>
      <c r="B6" t="inlineStr">
        <is>
          <t>920978</t>
        </is>
      </c>
      <c r="C6" t="inlineStr">
        <is>
          <t>开特股份</t>
        </is>
      </c>
      <c r="D6" s="31" t="n">
        <v>46022</v>
      </c>
      <c r="E6" t="inlineStr">
        <is>
          <t>CNY</t>
        </is>
      </c>
      <c r="F6" t="inlineStr">
        <is>
          <t>CNY</t>
        </is>
      </c>
      <c r="G6" t="n">
        <v>1129472349.35</v>
      </c>
      <c r="H6" t="n">
        <v>826362944.51</v>
      </c>
      <c r="I6" t="n">
        <v>514677663.32</v>
      </c>
      <c r="J6" t="n">
        <v>766847299.3999228</v>
      </c>
      <c r="K6" t="n">
        <v>556572425.3000026</v>
      </c>
      <c r="L6" t="n">
        <v>354934016.1601504</v>
      </c>
      <c r="M6" t="n">
        <v>173158446.27</v>
      </c>
      <c r="N6" t="n">
        <v>137845694.15</v>
      </c>
      <c r="O6" t="n">
        <v>77385535.70999999</v>
      </c>
      <c r="P6" t="n">
        <v>166904265.93</v>
      </c>
      <c r="Q6" t="n">
        <v>125744625.96</v>
      </c>
      <c r="R6" t="n">
        <v>-13887760.11</v>
      </c>
      <c r="S6" t="n">
        <v>3389936052</v>
      </c>
      <c r="T6" s="31" t="n">
        <v>45197</v>
      </c>
      <c r="U6" t="n">
        <v>7.37</v>
      </c>
      <c r="V6" t="n">
        <v>18000000</v>
      </c>
      <c r="W6" t="n">
        <v>132660000</v>
      </c>
      <c r="X6" t="n">
        <v>18.83</v>
      </c>
      <c r="Y6" t="n">
        <v>0</v>
      </c>
      <c r="Z6" t="n">
        <v>0</v>
      </c>
    </row>
    <row r="7">
      <c r="A7" t="inlineStr">
        <is>
          <t>A股</t>
        </is>
      </c>
      <c r="B7" t="inlineStr">
        <is>
          <t>920976</t>
        </is>
      </c>
      <c r="C7" t="inlineStr">
        <is>
          <t>视声智能</t>
        </is>
      </c>
      <c r="D7" s="31" t="n">
        <v>46022</v>
      </c>
      <c r="E7" t="inlineStr">
        <is>
          <t>CNY</t>
        </is>
      </c>
      <c r="F7" t="inlineStr">
        <is>
          <t>CNY</t>
        </is>
      </c>
      <c r="G7" t="n">
        <v>302235426.9</v>
      </c>
      <c r="H7" t="n">
        <v>248683232.56</v>
      </c>
      <c r="I7" t="n">
        <v>231732821.28</v>
      </c>
      <c r="J7" t="n">
        <v>134272503.5799621</v>
      </c>
      <c r="K7" t="n">
        <v>120519541.1899114</v>
      </c>
      <c r="L7" t="n">
        <v>131023624.6099797</v>
      </c>
      <c r="M7" t="n">
        <v>67325861.42</v>
      </c>
      <c r="N7" t="n">
        <v>47679450.76</v>
      </c>
      <c r="O7" t="n">
        <v>34064007.96</v>
      </c>
      <c r="P7" t="n">
        <v>63072630.06</v>
      </c>
      <c r="Q7" t="n">
        <v>51275634.59</v>
      </c>
      <c r="R7" t="n">
        <v>45506289.09</v>
      </c>
      <c r="S7" t="n">
        <v>1304123492</v>
      </c>
      <c r="T7" s="31" t="n">
        <v>45170</v>
      </c>
      <c r="U7" t="n">
        <v>10.3</v>
      </c>
      <c r="V7" t="n">
        <v>12700000</v>
      </c>
      <c r="W7" t="n">
        <v>130810000</v>
      </c>
      <c r="X7" t="n">
        <v>18.38</v>
      </c>
      <c r="Y7" t="n">
        <v>0</v>
      </c>
      <c r="Z7" t="n">
        <v>0</v>
      </c>
    </row>
    <row r="8">
      <c r="A8" t="inlineStr">
        <is>
          <t>A股</t>
        </is>
      </c>
      <c r="B8" t="inlineStr">
        <is>
          <t>920974</t>
        </is>
      </c>
      <c r="C8" t="inlineStr">
        <is>
          <t>凯大催化</t>
        </is>
      </c>
      <c r="D8" s="31" t="n">
        <v>46022</v>
      </c>
      <c r="E8" t="inlineStr">
        <is>
          <t>CNY</t>
        </is>
      </c>
      <c r="F8" t="inlineStr">
        <is>
          <t>CNY</t>
        </is>
      </c>
      <c r="G8" t="n">
        <v>1072309001.86</v>
      </c>
      <c r="H8" t="n">
        <v>1061608140.89</v>
      </c>
      <c r="I8" t="n">
        <v>1619073601.02</v>
      </c>
      <c r="J8" t="n">
        <v>1014380701.410396</v>
      </c>
      <c r="K8" t="n">
        <v>1026366094.300163</v>
      </c>
      <c r="L8" t="n">
        <v>1532139127.500056</v>
      </c>
      <c r="M8" t="n">
        <v>25496094.45</v>
      </c>
      <c r="N8" t="n">
        <v>20325941.04</v>
      </c>
      <c r="O8" t="n">
        <v>61343931.8</v>
      </c>
      <c r="P8" t="n">
        <v>-10472710.72</v>
      </c>
      <c r="Q8" t="n">
        <v>23628705.03</v>
      </c>
      <c r="R8" t="n">
        <v>14427235.81</v>
      </c>
      <c r="S8" t="n">
        <v>1033578000</v>
      </c>
      <c r="T8" s="31" t="n">
        <v>44993</v>
      </c>
      <c r="U8" t="n">
        <v>6.26</v>
      </c>
      <c r="V8" t="n">
        <v>10000000</v>
      </c>
      <c r="W8" t="n">
        <v>62600000</v>
      </c>
      <c r="X8" t="n">
        <v>6.31</v>
      </c>
      <c r="Y8" t="n">
        <v>0</v>
      </c>
      <c r="Z8" t="n">
        <v>0</v>
      </c>
    </row>
    <row r="9">
      <c r="A9" t="inlineStr">
        <is>
          <t>A股</t>
        </is>
      </c>
      <c r="B9" t="inlineStr">
        <is>
          <t>920971</t>
        </is>
      </c>
      <c r="C9" t="inlineStr">
        <is>
          <t>天马新材</t>
        </is>
      </c>
      <c r="D9" s="31" t="n">
        <v>46022</v>
      </c>
      <c r="E9" t="inlineStr">
        <is>
          <t>CNY</t>
        </is>
      </c>
      <c r="F9" t="inlineStr">
        <is>
          <t>CNY</t>
        </is>
      </c>
      <c r="G9" t="n">
        <v>273659687.28</v>
      </c>
      <c r="H9" t="n">
        <v>254849011.82</v>
      </c>
      <c r="I9" t="n">
        <v>185933216.72</v>
      </c>
      <c r="J9" t="n">
        <v>225102105.0499674</v>
      </c>
      <c r="K9" t="n">
        <v>193152767.4400639</v>
      </c>
      <c r="L9" t="n">
        <v>132021824.8699526</v>
      </c>
      <c r="M9" t="n">
        <v>38164172.88</v>
      </c>
      <c r="N9" t="n">
        <v>39379873.71</v>
      </c>
      <c r="O9" t="n">
        <v>35635027.68</v>
      </c>
      <c r="P9" t="n">
        <v>18878197.23</v>
      </c>
      <c r="Q9" t="n">
        <v>6393064.07</v>
      </c>
      <c r="R9" t="n">
        <v>-21303607.33</v>
      </c>
      <c r="S9" t="n">
        <v>2886151736</v>
      </c>
      <c r="T9" s="31" t="n">
        <v>44831</v>
      </c>
      <c r="U9" t="n">
        <v>21.38</v>
      </c>
      <c r="V9" t="n">
        <v>14406668</v>
      </c>
      <c r="W9" t="n">
        <v>308014561.84</v>
      </c>
      <c r="X9" t="n">
        <v>27.76</v>
      </c>
      <c r="Y9" t="n">
        <v>0</v>
      </c>
      <c r="Z9" t="n">
        <v>0</v>
      </c>
    </row>
    <row r="10">
      <c r="A10" t="inlineStr">
        <is>
          <t>A股</t>
        </is>
      </c>
      <c r="B10" t="inlineStr">
        <is>
          <t>920970</t>
        </is>
      </c>
      <c r="C10" t="inlineStr">
        <is>
          <t>大禹生物</t>
        </is>
      </c>
      <c r="D10" s="31" t="n">
        <v>46022</v>
      </c>
      <c r="E10" t="inlineStr">
        <is>
          <t>CNY</t>
        </is>
      </c>
      <c r="F10" t="inlineStr">
        <is>
          <t>CNY</t>
        </is>
      </c>
      <c r="G10" t="n">
        <v>167480613.05</v>
      </c>
      <c r="H10" t="n">
        <v>122511959.17</v>
      </c>
      <c r="I10" t="n">
        <v>156983059.01</v>
      </c>
      <c r="J10" t="n">
        <v>154050474.5800008</v>
      </c>
      <c r="K10" t="n">
        <v>91912539.65005566</v>
      </c>
      <c r="L10" t="n">
        <v>88219050.5200547</v>
      </c>
      <c r="M10" t="n">
        <v>-29853181.08</v>
      </c>
      <c r="N10" t="n">
        <v>-23942694.68</v>
      </c>
      <c r="O10" t="n">
        <v>18147189.57</v>
      </c>
      <c r="P10" t="n">
        <v>10181364.34</v>
      </c>
      <c r="Q10" t="n">
        <v>18393493.95</v>
      </c>
      <c r="R10" t="n">
        <v>26602938.13</v>
      </c>
      <c r="S10" t="n">
        <v>720205200</v>
      </c>
      <c r="T10" s="31" t="n">
        <v>44699</v>
      </c>
      <c r="U10" t="n">
        <v>10</v>
      </c>
      <c r="V10" t="n">
        <v>15000000</v>
      </c>
      <c r="W10" t="n">
        <v>150000000</v>
      </c>
      <c r="X10" t="n">
        <v>6.5</v>
      </c>
      <c r="Y10" t="n">
        <v>0</v>
      </c>
      <c r="Z10" t="n">
        <v>0</v>
      </c>
    </row>
    <row r="11">
      <c r="A11" t="inlineStr">
        <is>
          <t>A股</t>
        </is>
      </c>
      <c r="B11" t="inlineStr">
        <is>
          <t>920964</t>
        </is>
      </c>
      <c r="C11" t="inlineStr">
        <is>
          <t>润农节水</t>
        </is>
      </c>
      <c r="D11" s="31" t="n">
        <v>46022</v>
      </c>
      <c r="E11" t="inlineStr">
        <is>
          <t>CNY</t>
        </is>
      </c>
      <c r="F11" t="inlineStr">
        <is>
          <t>CNY</t>
        </is>
      </c>
      <c r="G11" t="n">
        <v>1030563588.49</v>
      </c>
      <c r="H11" t="n">
        <v>983575322.75</v>
      </c>
      <c r="I11" t="n">
        <v>659915579.7</v>
      </c>
      <c r="J11" t="n">
        <v>891036770.3395536</v>
      </c>
      <c r="K11" t="n">
        <v>831171063.7504094</v>
      </c>
      <c r="L11" t="n">
        <v>522146323.460274</v>
      </c>
      <c r="M11" t="n">
        <v>-16769481.7</v>
      </c>
      <c r="N11" t="n">
        <v>7948923.03</v>
      </c>
      <c r="O11" t="n">
        <v>49573272.98</v>
      </c>
      <c r="P11" t="n">
        <v>-15295209.79</v>
      </c>
      <c r="Q11" t="n">
        <v>69506556.34999999</v>
      </c>
      <c r="R11" t="n">
        <v>68747530.92</v>
      </c>
      <c r="S11" t="n">
        <v>1358281600</v>
      </c>
      <c r="T11" s="31" t="n">
        <v>44039</v>
      </c>
      <c r="U11" t="n">
        <v>4.7</v>
      </c>
      <c r="V11" t="n">
        <v>40000000</v>
      </c>
      <c r="W11" t="n">
        <v>188000000</v>
      </c>
      <c r="X11" t="n">
        <v>5.2</v>
      </c>
      <c r="Y11" t="n">
        <v>0</v>
      </c>
      <c r="Z11" t="n">
        <v>0</v>
      </c>
    </row>
    <row r="12">
      <c r="A12" t="inlineStr">
        <is>
          <t>A股</t>
        </is>
      </c>
      <c r="B12" t="inlineStr">
        <is>
          <t>920961</t>
        </is>
      </c>
      <c r="C12" t="inlineStr">
        <is>
          <t>创远信科</t>
        </is>
      </c>
      <c r="D12" s="31" t="n">
        <v>46022</v>
      </c>
      <c r="E12" t="inlineStr">
        <is>
          <t>CNY</t>
        </is>
      </c>
      <c r="F12" t="inlineStr">
        <is>
          <t>CNY</t>
        </is>
      </c>
      <c r="G12" t="n">
        <v>204464064.94</v>
      </c>
      <c r="H12" t="n">
        <v>232694125.97</v>
      </c>
      <c r="I12" t="n">
        <v>317991496.49</v>
      </c>
      <c r="J12" t="n">
        <v>93719367.85009639</v>
      </c>
      <c r="K12" t="n">
        <v>112740874.6498873</v>
      </c>
      <c r="L12" t="n">
        <v>173507829.8901208</v>
      </c>
      <c r="M12" t="n">
        <v>3481558.96</v>
      </c>
      <c r="N12" t="n">
        <v>12457595.92</v>
      </c>
      <c r="O12" t="n">
        <v>22269714.19</v>
      </c>
      <c r="P12" t="n">
        <v>158720259.79</v>
      </c>
      <c r="Q12" t="n">
        <v>159523383.82</v>
      </c>
      <c r="R12" t="n">
        <v>153865033.45</v>
      </c>
      <c r="S12" t="n">
        <v>2873951021</v>
      </c>
      <c r="T12" s="31" t="n">
        <v>44039</v>
      </c>
      <c r="U12" t="n">
        <v>22.31</v>
      </c>
      <c r="V12" t="n">
        <v>12000000</v>
      </c>
      <c r="W12" t="n">
        <v>267720000</v>
      </c>
      <c r="X12" t="n">
        <v>20.12</v>
      </c>
      <c r="Y12" t="n">
        <v>0</v>
      </c>
      <c r="Z12" t="n">
        <v>0</v>
      </c>
    </row>
    <row r="13">
      <c r="A13" t="inlineStr">
        <is>
          <t>A股</t>
        </is>
      </c>
      <c r="B13" t="inlineStr">
        <is>
          <t>920957</t>
        </is>
      </c>
      <c r="C13" t="inlineStr">
        <is>
          <t>汉维科技</t>
        </is>
      </c>
      <c r="D13" s="31" t="n">
        <v>46022</v>
      </c>
      <c r="E13" t="inlineStr">
        <is>
          <t>CNY</t>
        </is>
      </c>
      <c r="F13" t="inlineStr">
        <is>
          <t>CNY</t>
        </is>
      </c>
      <c r="G13" t="n">
        <v>614988022.6900001</v>
      </c>
      <c r="H13" t="n">
        <v>587154521.83</v>
      </c>
      <c r="I13" t="n">
        <v>487880357.88</v>
      </c>
      <c r="J13" t="n">
        <v>554529257.5600945</v>
      </c>
      <c r="K13" t="n">
        <v>521937951.9500893</v>
      </c>
      <c r="L13" t="n">
        <v>416413097.1799631</v>
      </c>
      <c r="M13" t="n">
        <v>4900135.6</v>
      </c>
      <c r="N13" t="n">
        <v>19930803.59</v>
      </c>
      <c r="O13" t="n">
        <v>36091897.91</v>
      </c>
      <c r="P13" t="n">
        <v>21047530.81</v>
      </c>
      <c r="Q13" t="n">
        <v>-55196082.18</v>
      </c>
      <c r="R13" t="n">
        <v>63798609.88</v>
      </c>
      <c r="S13" t="n">
        <v>1041895953</v>
      </c>
      <c r="T13" s="31" t="n">
        <v>44909</v>
      </c>
      <c r="U13" t="n">
        <v>6.5</v>
      </c>
      <c r="V13" t="n">
        <v>15572134</v>
      </c>
      <c r="W13" t="n">
        <v>101218871</v>
      </c>
      <c r="X13" t="n">
        <v>9.710000000000001</v>
      </c>
      <c r="Y13" t="n">
        <v>0</v>
      </c>
      <c r="Z13" t="n">
        <v>0</v>
      </c>
    </row>
    <row r="14">
      <c r="A14" t="inlineStr">
        <is>
          <t>A股</t>
        </is>
      </c>
      <c r="B14" t="inlineStr">
        <is>
          <t>920953</t>
        </is>
      </c>
      <c r="C14" t="inlineStr">
        <is>
          <t>国子软件</t>
        </is>
      </c>
      <c r="D14" s="31" t="n">
        <v>46022</v>
      </c>
      <c r="E14" t="inlineStr">
        <is>
          <t>CNY</t>
        </is>
      </c>
      <c r="F14" t="inlineStr">
        <is>
          <t>CNY</t>
        </is>
      </c>
      <c r="G14" t="n">
        <v>324703971.52</v>
      </c>
      <c r="H14" t="n">
        <v>267925400.35</v>
      </c>
      <c r="I14" t="n">
        <v>200538390.14</v>
      </c>
      <c r="J14" t="n">
        <v>135199452.8800712</v>
      </c>
      <c r="K14" t="n">
        <v>100775286.4999706</v>
      </c>
      <c r="L14" t="n">
        <v>58352424.3500339</v>
      </c>
      <c r="M14" t="n">
        <v>67046948</v>
      </c>
      <c r="N14" t="n">
        <v>61454802.18</v>
      </c>
      <c r="O14" t="n">
        <v>51852654.95</v>
      </c>
      <c r="P14" t="n">
        <v>505090.81</v>
      </c>
      <c r="Q14" t="n">
        <v>12604871.26</v>
      </c>
      <c r="R14" t="n">
        <v>-8269325.86</v>
      </c>
      <c r="S14" t="n">
        <v>2908232973</v>
      </c>
      <c r="T14" s="31" t="n">
        <v>45161</v>
      </c>
      <c r="U14" t="n">
        <v>10.5</v>
      </c>
      <c r="V14" t="n">
        <v>22150000</v>
      </c>
      <c r="W14" t="n">
        <v>232575000</v>
      </c>
      <c r="X14" t="n">
        <v>22.7</v>
      </c>
      <c r="Y14" t="n">
        <v>0</v>
      </c>
      <c r="Z14" t="n">
        <v>0</v>
      </c>
    </row>
    <row r="15">
      <c r="A15" t="inlineStr">
        <is>
          <t>A股</t>
        </is>
      </c>
      <c r="B15" t="inlineStr">
        <is>
          <t>920950</t>
        </is>
      </c>
      <c r="C15" t="inlineStr">
        <is>
          <t>迅安科技</t>
        </is>
      </c>
      <c r="D15" s="31" t="n">
        <v>46022</v>
      </c>
      <c r="E15" t="inlineStr">
        <is>
          <t>CNY</t>
        </is>
      </c>
      <c r="F15" t="inlineStr">
        <is>
          <t>CNY</t>
        </is>
      </c>
      <c r="G15" t="n">
        <v>189523493.43</v>
      </c>
      <c r="H15" t="n">
        <v>223400318.51</v>
      </c>
      <c r="I15" t="n">
        <v>181239961.39</v>
      </c>
      <c r="J15" t="n">
        <v>111753610.9699598</v>
      </c>
      <c r="K15" t="n">
        <v>131087513.0899808</v>
      </c>
      <c r="L15" t="n">
        <v>111699581.4299508</v>
      </c>
      <c r="M15" t="n">
        <v>42348256.25</v>
      </c>
      <c r="N15" t="n">
        <v>59385604.43</v>
      </c>
      <c r="O15" t="n">
        <v>41110193.74</v>
      </c>
      <c r="P15" t="n">
        <v>23903740.47</v>
      </c>
      <c r="Q15" t="n">
        <v>65062282.43</v>
      </c>
      <c r="R15" t="n">
        <v>50481244.34</v>
      </c>
      <c r="S15" t="n">
        <v>972956400</v>
      </c>
      <c r="T15" s="31" t="n">
        <v>44937</v>
      </c>
      <c r="U15" t="n">
        <v>13</v>
      </c>
      <c r="V15" t="n">
        <v>10850000</v>
      </c>
      <c r="W15" t="n">
        <v>141050000</v>
      </c>
      <c r="X15" t="n">
        <v>13.27</v>
      </c>
      <c r="Y15" t="n">
        <v>0</v>
      </c>
      <c r="Z15" t="n">
        <v>0</v>
      </c>
    </row>
    <row r="16">
      <c r="A16" t="inlineStr">
        <is>
          <t>A股</t>
        </is>
      </c>
      <c r="B16" t="inlineStr">
        <is>
          <t>920946</t>
        </is>
      </c>
      <c r="C16" t="inlineStr">
        <is>
          <t>森萱医药</t>
        </is>
      </c>
      <c r="D16" s="31" t="n">
        <v>46022</v>
      </c>
      <c r="E16" t="inlineStr">
        <is>
          <t>CNY</t>
        </is>
      </c>
      <c r="F16" t="inlineStr">
        <is>
          <t>CNY</t>
        </is>
      </c>
      <c r="G16" t="n">
        <v>552577290.5</v>
      </c>
      <c r="H16" t="n">
        <v>537136066.4299999</v>
      </c>
      <c r="I16" t="n">
        <v>623593117.91</v>
      </c>
      <c r="J16" t="n">
        <v>295091255.6700794</v>
      </c>
      <c r="K16" t="n">
        <v>303074084.8400579</v>
      </c>
      <c r="L16" t="n">
        <v>343904433.240183</v>
      </c>
      <c r="M16" t="n">
        <v>131484558.45</v>
      </c>
      <c r="N16" t="n">
        <v>123759884.41</v>
      </c>
      <c r="O16" t="n">
        <v>160565366.42</v>
      </c>
      <c r="P16" t="n">
        <v>196758353.26</v>
      </c>
      <c r="Q16" t="n">
        <v>171257287.81</v>
      </c>
      <c r="R16" t="n">
        <v>191517784.48</v>
      </c>
      <c r="S16" t="n">
        <v>4290529317</v>
      </c>
      <c r="T16" s="31" t="n">
        <v>44039</v>
      </c>
      <c r="U16" t="n">
        <v>5.4</v>
      </c>
      <c r="V16" t="n">
        <v>60000000</v>
      </c>
      <c r="W16" t="n">
        <v>324000000</v>
      </c>
      <c r="X16" t="n">
        <v>10.05</v>
      </c>
      <c r="Y16" t="n">
        <v>0</v>
      </c>
      <c r="Z16" t="n">
        <v>0</v>
      </c>
    </row>
    <row r="17">
      <c r="A17" t="inlineStr">
        <is>
          <t>A股</t>
        </is>
      </c>
      <c r="B17" t="inlineStr">
        <is>
          <t>920943</t>
        </is>
      </c>
      <c r="C17" t="inlineStr">
        <is>
          <t>优机股份</t>
        </is>
      </c>
      <c r="D17" s="31" t="n">
        <v>46022</v>
      </c>
      <c r="E17" t="inlineStr">
        <is>
          <t>CNY</t>
        </is>
      </c>
      <c r="F17" t="inlineStr">
        <is>
          <t>CNY</t>
        </is>
      </c>
      <c r="G17" t="n">
        <v>986810904.6799999</v>
      </c>
      <c r="H17" t="n">
        <v>968545850.75</v>
      </c>
      <c r="I17" t="n">
        <v>810829240.05</v>
      </c>
      <c r="J17" t="n">
        <v>726320281.4895566</v>
      </c>
      <c r="K17" t="n">
        <v>707697965.2802556</v>
      </c>
      <c r="L17" t="n">
        <v>621731107.8296578</v>
      </c>
      <c r="M17" t="n">
        <v>72743162.62</v>
      </c>
      <c r="N17" t="n">
        <v>77918677.81999999</v>
      </c>
      <c r="O17" t="n">
        <v>63393925.83</v>
      </c>
      <c r="P17" t="n">
        <v>75582466.13</v>
      </c>
      <c r="Q17" t="n">
        <v>108173776.34</v>
      </c>
      <c r="R17" t="n">
        <v>29768205.94</v>
      </c>
      <c r="S17" t="n">
        <v>1551246656</v>
      </c>
      <c r="T17" s="31" t="n">
        <v>44736</v>
      </c>
      <c r="U17" t="n">
        <v>7</v>
      </c>
      <c r="V17" t="n">
        <v>11500000</v>
      </c>
      <c r="W17" t="n">
        <v>80500000</v>
      </c>
      <c r="X17" t="n">
        <v>15.28</v>
      </c>
      <c r="Y17" t="n">
        <v>0</v>
      </c>
      <c r="Z17" t="n">
        <v>0</v>
      </c>
    </row>
    <row r="18">
      <c r="A18" t="inlineStr">
        <is>
          <t>A股</t>
        </is>
      </c>
      <c r="B18" t="inlineStr">
        <is>
          <t>920942</t>
        </is>
      </c>
      <c r="C18" t="inlineStr">
        <is>
          <t>恒立钻具</t>
        </is>
      </c>
      <c r="D18" s="31" t="n">
        <v>46022</v>
      </c>
      <c r="E18" t="inlineStr">
        <is>
          <t>CNY</t>
        </is>
      </c>
      <c r="F18" t="inlineStr">
        <is>
          <t>CNY</t>
        </is>
      </c>
      <c r="G18" t="n">
        <v>173077762.33</v>
      </c>
      <c r="H18" t="n">
        <v>195785480.14</v>
      </c>
      <c r="I18" t="n">
        <v>203993846.85</v>
      </c>
      <c r="J18" t="n">
        <v>116289816.8900782</v>
      </c>
      <c r="K18" t="n">
        <v>117670253.0500505</v>
      </c>
      <c r="L18" t="n">
        <v>125545174.819915</v>
      </c>
      <c r="M18" t="n">
        <v>19920145.63</v>
      </c>
      <c r="N18" t="n">
        <v>37548234.22</v>
      </c>
      <c r="O18" t="n">
        <v>31257072.47</v>
      </c>
      <c r="P18" t="n">
        <v>4950908.07</v>
      </c>
      <c r="Q18" t="n">
        <v>39089861.71</v>
      </c>
      <c r="R18" t="n">
        <v>-19793355.62</v>
      </c>
      <c r="S18" t="n">
        <v>1105244322</v>
      </c>
      <c r="T18" s="31" t="n">
        <v>44903</v>
      </c>
      <c r="U18" t="n">
        <v>14.2</v>
      </c>
      <c r="V18" t="n">
        <v>14000000</v>
      </c>
      <c r="W18" t="n">
        <v>198800000</v>
      </c>
      <c r="X18" t="n">
        <v>18.07</v>
      </c>
      <c r="Y18" t="n">
        <v>0</v>
      </c>
      <c r="Z18" t="n">
        <v>0</v>
      </c>
    </row>
    <row r="19">
      <c r="A19" t="inlineStr">
        <is>
          <t>A股</t>
        </is>
      </c>
      <c r="B19" t="inlineStr">
        <is>
          <t>920932</t>
        </is>
      </c>
      <c r="C19" t="inlineStr">
        <is>
          <t>科达自控</t>
        </is>
      </c>
      <c r="D19" s="31" t="n">
        <v>46022</v>
      </c>
      <c r="E19" t="inlineStr">
        <is>
          <t>CNY</t>
        </is>
      </c>
      <c r="F19" t="inlineStr">
        <is>
          <t>CNY</t>
        </is>
      </c>
      <c r="G19" t="n">
        <v>288772974.31</v>
      </c>
      <c r="H19" t="n">
        <v>433648881.3</v>
      </c>
      <c r="I19" t="n">
        <v>344993641.5</v>
      </c>
      <c r="J19" t="n">
        <v>201682436.7398835</v>
      </c>
      <c r="K19" t="n">
        <v>247571121.8199565</v>
      </c>
      <c r="L19" t="n">
        <v>200325210.9900706</v>
      </c>
      <c r="M19" t="n">
        <v>-90115875.63</v>
      </c>
      <c r="N19" t="n">
        <v>34511625.18</v>
      </c>
      <c r="O19" t="n">
        <v>56677631.39</v>
      </c>
      <c r="P19" t="n">
        <v>60348245</v>
      </c>
      <c r="Q19" t="n">
        <v>75834758.61</v>
      </c>
      <c r="R19" t="n">
        <v>-29723377.41</v>
      </c>
      <c r="S19" t="n">
        <v>1183084431</v>
      </c>
      <c r="T19" s="31" t="n">
        <v>44515</v>
      </c>
      <c r="U19" t="n">
        <v>13</v>
      </c>
      <c r="V19" t="n">
        <v>18000000</v>
      </c>
      <c r="W19" t="n">
        <v>234000000</v>
      </c>
      <c r="X19" t="n">
        <v>11.23</v>
      </c>
      <c r="Y19" t="n">
        <v>0</v>
      </c>
      <c r="Z19" t="n">
        <v>0</v>
      </c>
    </row>
    <row r="20">
      <c r="A20" t="inlineStr">
        <is>
          <t>A股</t>
        </is>
      </c>
      <c r="B20" t="inlineStr">
        <is>
          <t>920931</t>
        </is>
      </c>
      <c r="C20" t="inlineStr">
        <is>
          <t>无锡鼎邦</t>
        </is>
      </c>
      <c r="D20" s="31" t="n">
        <v>46022</v>
      </c>
      <c r="E20" t="inlineStr">
        <is>
          <t>CNY</t>
        </is>
      </c>
      <c r="F20" t="inlineStr">
        <is>
          <t>CNY</t>
        </is>
      </c>
      <c r="G20" t="n">
        <v>311544787.77</v>
      </c>
      <c r="H20" t="n">
        <v>400949043.73</v>
      </c>
      <c r="I20" t="n">
        <v>366849916.81</v>
      </c>
      <c r="J20" t="n">
        <v>255116926.9798474</v>
      </c>
      <c r="K20" t="n">
        <v>309936265.9800759</v>
      </c>
      <c r="L20" t="n">
        <v>285290800.9400151</v>
      </c>
      <c r="M20" t="n">
        <v>10535248.21</v>
      </c>
      <c r="N20" t="n">
        <v>39163116.57</v>
      </c>
      <c r="O20" t="n">
        <v>40410607.89</v>
      </c>
      <c r="P20" t="n">
        <v>-36259194.28</v>
      </c>
      <c r="Q20" t="n">
        <v>22800217.26</v>
      </c>
      <c r="R20" t="n">
        <v>26550777.36</v>
      </c>
      <c r="S20" t="n">
        <v>1020079800</v>
      </c>
      <c r="T20" s="31" t="n">
        <v>45390</v>
      </c>
      <c r="U20" t="n">
        <v>6.2</v>
      </c>
      <c r="V20" t="n">
        <v>25000000</v>
      </c>
      <c r="W20" t="n">
        <v>155000000</v>
      </c>
      <c r="X20" t="n">
        <v>10.86</v>
      </c>
      <c r="Y20" t="n">
        <v>0</v>
      </c>
      <c r="Z20" t="n">
        <v>0</v>
      </c>
    </row>
    <row r="21">
      <c r="A21" t="inlineStr">
        <is>
          <t>A股</t>
        </is>
      </c>
      <c r="B21" t="inlineStr">
        <is>
          <t>920926</t>
        </is>
      </c>
      <c r="C21" t="inlineStr">
        <is>
          <t>鸿智科技</t>
        </is>
      </c>
      <c r="D21" s="31" t="n">
        <v>46022</v>
      </c>
      <c r="E21" t="inlineStr">
        <is>
          <t>CNY</t>
        </is>
      </c>
      <c r="F21" t="inlineStr">
        <is>
          <t>CNY</t>
        </is>
      </c>
      <c r="G21" t="n">
        <v>472282525.37</v>
      </c>
      <c r="H21" t="n">
        <v>479997910.78</v>
      </c>
      <c r="I21" t="n">
        <v>442409858.35</v>
      </c>
      <c r="J21" t="n">
        <v>392319118.9399034</v>
      </c>
      <c r="K21" t="n">
        <v>395509811.8701314</v>
      </c>
      <c r="L21" t="n">
        <v>362414286.8798766</v>
      </c>
      <c r="M21" t="n">
        <v>27810560.72</v>
      </c>
      <c r="N21" t="n">
        <v>35423462.91</v>
      </c>
      <c r="O21" t="n">
        <v>34455250.51</v>
      </c>
      <c r="P21" t="n">
        <v>36658181.4</v>
      </c>
      <c r="Q21" t="n">
        <v>40727876.14</v>
      </c>
      <c r="R21" t="n">
        <v>79732026.42</v>
      </c>
      <c r="S21" t="n">
        <v>896871631</v>
      </c>
      <c r="T21" s="31" t="n">
        <v>45146</v>
      </c>
      <c r="U21" t="n">
        <v>13.28</v>
      </c>
      <c r="V21" t="n">
        <v>10434783</v>
      </c>
      <c r="W21" t="n">
        <v>138573918.24</v>
      </c>
      <c r="X21" t="n">
        <v>10.15</v>
      </c>
      <c r="Y21" t="n">
        <v>0</v>
      </c>
      <c r="Z21" t="n">
        <v>0</v>
      </c>
    </row>
    <row r="22">
      <c r="A22" t="inlineStr">
        <is>
          <t>A股</t>
        </is>
      </c>
      <c r="B22" t="inlineStr">
        <is>
          <t>920925</t>
        </is>
      </c>
      <c r="C22" t="inlineStr">
        <is>
          <t>锦好医疗</t>
        </is>
      </c>
      <c r="D22" s="31" t="n">
        <v>46022</v>
      </c>
      <c r="E22" t="inlineStr">
        <is>
          <t>CNY</t>
        </is>
      </c>
      <c r="F22" t="inlineStr">
        <is>
          <t>CNY</t>
        </is>
      </c>
      <c r="G22" t="n">
        <v>307521692.87</v>
      </c>
      <c r="H22" t="n">
        <v>186077884.38</v>
      </c>
      <c r="I22" t="n">
        <v>195132408.42</v>
      </c>
      <c r="J22" t="n">
        <v>192044848.2200218</v>
      </c>
      <c r="K22" t="n">
        <v>98304118.85007073</v>
      </c>
      <c r="L22" t="n">
        <v>104638547.9100041</v>
      </c>
      <c r="M22" t="n">
        <v>15358862.15</v>
      </c>
      <c r="N22" t="n">
        <v>5976494.02</v>
      </c>
      <c r="O22" t="n">
        <v>40307438.05</v>
      </c>
      <c r="P22" t="n">
        <v>16351466.65</v>
      </c>
      <c r="Q22" t="n">
        <v>-7303103.14</v>
      </c>
      <c r="R22" t="n">
        <v>27362364.11</v>
      </c>
      <c r="S22" t="n">
        <v>1127762556</v>
      </c>
      <c r="T22" s="31" t="n">
        <v>44494</v>
      </c>
      <c r="U22" t="n">
        <v>16.8</v>
      </c>
      <c r="V22" t="n">
        <v>10870000</v>
      </c>
      <c r="W22" t="n">
        <v>182616000</v>
      </c>
      <c r="X22" t="n">
        <v>11.44</v>
      </c>
      <c r="Y22" t="n">
        <v>0</v>
      </c>
      <c r="Z22" t="n">
        <v>0</v>
      </c>
    </row>
    <row r="23">
      <c r="A23" t="inlineStr">
        <is>
          <t>A股</t>
        </is>
      </c>
      <c r="B23" t="inlineStr">
        <is>
          <t>920924</t>
        </is>
      </c>
      <c r="C23" t="inlineStr">
        <is>
          <t>广脉科技</t>
        </is>
      </c>
      <c r="D23" s="31" t="n">
        <v>46022</v>
      </c>
      <c r="E23" t="inlineStr">
        <is>
          <t>CNY</t>
        </is>
      </c>
      <c r="F23" t="inlineStr">
        <is>
          <t>CNY</t>
        </is>
      </c>
      <c r="G23" t="n">
        <v>483690655.51</v>
      </c>
      <c r="H23" t="n">
        <v>402396041.3</v>
      </c>
      <c r="I23" t="n">
        <v>341700736.56</v>
      </c>
      <c r="J23" t="n">
        <v>388000851.1499717</v>
      </c>
      <c r="K23" t="n">
        <v>311424257.1501408</v>
      </c>
      <c r="L23" t="n">
        <v>263937047.510084</v>
      </c>
      <c r="M23" t="n">
        <v>17400793.86</v>
      </c>
      <c r="N23" t="n">
        <v>27301247.57</v>
      </c>
      <c r="O23" t="n">
        <v>14916442.19</v>
      </c>
      <c r="P23" t="n">
        <v>56480091.3</v>
      </c>
      <c r="Q23" t="n">
        <v>-39747720.17</v>
      </c>
      <c r="R23" t="n">
        <v>25306285.23</v>
      </c>
      <c r="S23" t="n">
        <v>1538631810</v>
      </c>
      <c r="T23" s="31" t="n">
        <v>44503</v>
      </c>
      <c r="U23" t="n">
        <v>5.8</v>
      </c>
      <c r="V23" t="n">
        <v>12173914</v>
      </c>
      <c r="W23" t="n">
        <v>70608701.2</v>
      </c>
      <c r="X23" t="n">
        <v>14.34</v>
      </c>
      <c r="Y23" t="n">
        <v>0</v>
      </c>
      <c r="Z23" t="n">
        <v>0</v>
      </c>
    </row>
    <row r="24">
      <c r="A24" t="inlineStr">
        <is>
          <t>A股</t>
        </is>
      </c>
      <c r="B24" t="inlineStr">
        <is>
          <t>920914</t>
        </is>
      </c>
      <c r="C24" t="inlineStr">
        <is>
          <t>远航精密</t>
        </is>
      </c>
      <c r="D24" s="31" t="n">
        <v>46022</v>
      </c>
      <c r="E24" t="inlineStr">
        <is>
          <t>CNY</t>
        </is>
      </c>
      <c r="F24" t="inlineStr">
        <is>
          <t>CNY</t>
        </is>
      </c>
      <c r="G24" t="n">
        <v>1042862153.55</v>
      </c>
      <c r="H24" t="n">
        <v>852178999.5700001</v>
      </c>
      <c r="I24" t="n">
        <v>905612245.35</v>
      </c>
      <c r="J24" t="n">
        <v>900847064.9997773</v>
      </c>
      <c r="K24" t="n">
        <v>717236971.4196426</v>
      </c>
      <c r="L24" t="n">
        <v>777584116.8297803</v>
      </c>
      <c r="M24" t="n">
        <v>53482402.56</v>
      </c>
      <c r="N24" t="n">
        <v>67442783.31</v>
      </c>
      <c r="O24" t="n">
        <v>53457015.15</v>
      </c>
      <c r="P24" t="n">
        <v>-59957255.78</v>
      </c>
      <c r="Q24" t="n">
        <v>21824846</v>
      </c>
      <c r="R24" t="n">
        <v>10090786.18</v>
      </c>
      <c r="S24" t="n">
        <v>1707569790</v>
      </c>
      <c r="T24" s="31" t="n">
        <v>44876</v>
      </c>
      <c r="U24" t="n">
        <v>16.2</v>
      </c>
      <c r="V24" t="n">
        <v>25000000</v>
      </c>
      <c r="W24" t="n">
        <v>405000000</v>
      </c>
      <c r="X24" t="n">
        <v>17.13</v>
      </c>
      <c r="Y24" t="n">
        <v>0</v>
      </c>
      <c r="Z24" t="n">
        <v>0</v>
      </c>
    </row>
    <row r="25">
      <c r="A25" t="inlineStr">
        <is>
          <t>A股</t>
        </is>
      </c>
      <c r="B25" t="inlineStr">
        <is>
          <t>920906</t>
        </is>
      </c>
      <c r="C25" t="inlineStr">
        <is>
          <t>舜宇精工</t>
        </is>
      </c>
      <c r="D25" s="31" t="n">
        <v>46022</v>
      </c>
      <c r="E25" t="inlineStr">
        <is>
          <t>CNY</t>
        </is>
      </c>
      <c r="F25" t="inlineStr">
        <is>
          <t>CNY</t>
        </is>
      </c>
      <c r="G25" t="n">
        <v>747158514.8</v>
      </c>
      <c r="H25" t="n">
        <v>720398776.85</v>
      </c>
      <c r="I25" t="n">
        <v>845472957.96</v>
      </c>
      <c r="J25" t="n">
        <v>617961255.8996627</v>
      </c>
      <c r="K25" t="n">
        <v>620795087.6497589</v>
      </c>
      <c r="L25" t="n">
        <v>685171993.0901018</v>
      </c>
      <c r="M25" t="n">
        <v>29288763.82</v>
      </c>
      <c r="N25" t="n">
        <v>17506407.94</v>
      </c>
      <c r="O25" t="n">
        <v>63544359.31</v>
      </c>
      <c r="P25" t="n">
        <v>79804438</v>
      </c>
      <c r="Q25" t="n">
        <v>6064179.77</v>
      </c>
      <c r="R25" t="n">
        <v>45237329.48</v>
      </c>
      <c r="S25" t="n">
        <v>1029124800</v>
      </c>
      <c r="T25" s="31" t="n">
        <v>44979</v>
      </c>
      <c r="U25" t="n">
        <v>11</v>
      </c>
      <c r="V25" t="n">
        <v>8000000</v>
      </c>
      <c r="W25" t="n">
        <v>88000000</v>
      </c>
      <c r="X25" t="n">
        <v>15.84</v>
      </c>
      <c r="Y25" t="n">
        <v>0</v>
      </c>
      <c r="Z25" t="n">
        <v>0</v>
      </c>
    </row>
    <row r="26">
      <c r="A26" t="inlineStr">
        <is>
          <t>A股</t>
        </is>
      </c>
      <c r="B26" t="inlineStr">
        <is>
          <t>920896</t>
        </is>
      </c>
      <c r="C26" t="inlineStr">
        <is>
          <t>旺成科技</t>
        </is>
      </c>
      <c r="D26" s="31" t="n">
        <v>46022</v>
      </c>
      <c r="E26" t="inlineStr">
        <is>
          <t>CNY</t>
        </is>
      </c>
      <c r="F26" t="inlineStr">
        <is>
          <t>CNY</t>
        </is>
      </c>
      <c r="G26" t="n">
        <v>446640037.02</v>
      </c>
      <c r="H26" t="n">
        <v>347850437.94</v>
      </c>
      <c r="I26" t="n">
        <v>321540691.1</v>
      </c>
      <c r="J26" t="n">
        <v>331702131.5800722</v>
      </c>
      <c r="K26" t="n">
        <v>273109774.2300762</v>
      </c>
      <c r="L26" t="n">
        <v>245980201.8499098</v>
      </c>
      <c r="M26" t="n">
        <v>61268828.71</v>
      </c>
      <c r="N26" t="n">
        <v>35372590.56</v>
      </c>
      <c r="O26" t="n">
        <v>36689105.98</v>
      </c>
      <c r="P26" t="n">
        <v>83867089.01000001</v>
      </c>
      <c r="Q26" t="n">
        <v>76026030.26000001</v>
      </c>
      <c r="R26" t="n">
        <v>91666503.38</v>
      </c>
      <c r="S26" t="n">
        <v>1270364212</v>
      </c>
      <c r="T26" s="31" t="n">
        <v>45035</v>
      </c>
      <c r="U26" t="n">
        <v>5.53</v>
      </c>
      <c r="V26" t="n">
        <v>25310000</v>
      </c>
      <c r="W26" t="n">
        <v>139964300</v>
      </c>
      <c r="X26" t="n">
        <v>12.55</v>
      </c>
      <c r="Y26" t="n">
        <v>0</v>
      </c>
      <c r="Z26" t="n">
        <v>0</v>
      </c>
    </row>
    <row r="27">
      <c r="A27" t="inlineStr">
        <is>
          <t>A股</t>
        </is>
      </c>
      <c r="B27" t="inlineStr">
        <is>
          <t>920895</t>
        </is>
      </c>
      <c r="C27" t="inlineStr">
        <is>
          <t>花溪科技</t>
        </is>
      </c>
      <c r="D27" s="31" t="n">
        <v>46022</v>
      </c>
      <c r="E27" t="inlineStr">
        <is>
          <t>CNY</t>
        </is>
      </c>
      <c r="F27" t="inlineStr">
        <is>
          <t>CNY</t>
        </is>
      </c>
      <c r="G27" t="n">
        <v>65692699.2</v>
      </c>
      <c r="H27" t="n">
        <v>82185348.55</v>
      </c>
      <c r="I27" t="n">
        <v>138479457.55</v>
      </c>
      <c r="J27" t="n">
        <v>50434707.79001863</v>
      </c>
      <c r="K27" t="n">
        <v>62466805.11996266</v>
      </c>
      <c r="L27" t="n">
        <v>90932882.96003731</v>
      </c>
      <c r="M27" t="n">
        <v>-4130723.92</v>
      </c>
      <c r="N27" t="n">
        <v>1562572.66</v>
      </c>
      <c r="O27" t="n">
        <v>24780108.83</v>
      </c>
      <c r="P27" t="n">
        <v>-3712905.89</v>
      </c>
      <c r="Q27" t="n">
        <v>17261961.43</v>
      </c>
      <c r="R27" t="n">
        <v>29679133.97</v>
      </c>
      <c r="S27" t="n">
        <v>1193786880</v>
      </c>
      <c r="T27" s="31" t="n">
        <v>45022</v>
      </c>
      <c r="U27" t="n">
        <v>6.6</v>
      </c>
      <c r="V27" t="n">
        <v>14000000</v>
      </c>
      <c r="W27" t="n">
        <v>92400000</v>
      </c>
      <c r="X27" t="n">
        <v>21.12</v>
      </c>
      <c r="Y27" t="n">
        <v>0</v>
      </c>
      <c r="Z27" t="n">
        <v>0</v>
      </c>
    </row>
    <row r="28">
      <c r="A28" t="inlineStr">
        <is>
          <t>A股</t>
        </is>
      </c>
      <c r="B28" t="inlineStr">
        <is>
          <t>920892</t>
        </is>
      </c>
      <c r="C28" t="inlineStr">
        <is>
          <t>广咨国际</t>
        </is>
      </c>
      <c r="D28" s="31" t="n">
        <v>46022</v>
      </c>
      <c r="E28" t="inlineStr">
        <is>
          <t>CNY</t>
        </is>
      </c>
      <c r="F28" t="inlineStr">
        <is>
          <t>CNY</t>
        </is>
      </c>
      <c r="G28" t="n">
        <v>589657003.39</v>
      </c>
      <c r="H28" t="n">
        <v>560865729.89</v>
      </c>
      <c r="I28" t="n">
        <v>503619065.59</v>
      </c>
      <c r="J28" t="n">
        <v>363113300.8101295</v>
      </c>
      <c r="K28" t="n">
        <v>346560639.1197352</v>
      </c>
      <c r="L28" t="n">
        <v>319299980.7999527</v>
      </c>
      <c r="M28" t="n">
        <v>107650726.54</v>
      </c>
      <c r="N28" t="n">
        <v>97919357.77</v>
      </c>
      <c r="O28" t="n">
        <v>78565463.27</v>
      </c>
      <c r="P28" t="n">
        <v>158003711.58</v>
      </c>
      <c r="Q28" t="n">
        <v>134333593.99</v>
      </c>
      <c r="R28" t="n">
        <v>110221831.02</v>
      </c>
      <c r="S28" t="n">
        <v>1810834882</v>
      </c>
      <c r="T28" s="31" t="n">
        <v>44497</v>
      </c>
      <c r="U28" t="n">
        <v>14</v>
      </c>
      <c r="V28" t="n">
        <v>5652000</v>
      </c>
      <c r="W28" t="n">
        <v>79128000</v>
      </c>
      <c r="X28" t="n">
        <v>10.63</v>
      </c>
      <c r="Y28" t="n">
        <v>0</v>
      </c>
      <c r="Z28" t="n">
        <v>0</v>
      </c>
    </row>
    <row r="29">
      <c r="A29" t="inlineStr">
        <is>
          <t>A股</t>
        </is>
      </c>
      <c r="B29" t="inlineStr">
        <is>
          <t>920885</t>
        </is>
      </c>
      <c r="C29" t="inlineStr">
        <is>
          <t>星辰科技</t>
        </is>
      </c>
      <c r="D29" s="31" t="n">
        <v>46022</v>
      </c>
      <c r="E29" t="inlineStr">
        <is>
          <t>CNY</t>
        </is>
      </c>
      <c r="F29" t="inlineStr">
        <is>
          <t>CNY</t>
        </is>
      </c>
      <c r="G29" t="n">
        <v>197580624.71</v>
      </c>
      <c r="H29" t="n">
        <v>147159277.43</v>
      </c>
      <c r="I29" t="n">
        <v>124179250.59</v>
      </c>
      <c r="J29" t="n">
        <v>120352584.8100109</v>
      </c>
      <c r="K29" t="n">
        <v>85447334.51003157</v>
      </c>
      <c r="L29" t="n">
        <v>67941007.47997941</v>
      </c>
      <c r="M29" t="n">
        <v>33888110.66</v>
      </c>
      <c r="N29" t="n">
        <v>16074334.24</v>
      </c>
      <c r="O29" t="n">
        <v>23348575.03</v>
      </c>
      <c r="P29" t="n">
        <v>37015897.36</v>
      </c>
      <c r="Q29" t="n">
        <v>164320.16</v>
      </c>
      <c r="R29" t="n">
        <v>-6289507.35</v>
      </c>
      <c r="S29" t="n">
        <v>2008842024</v>
      </c>
      <c r="T29" s="31" t="n">
        <v>44385</v>
      </c>
      <c r="U29" t="n">
        <v>8</v>
      </c>
      <c r="V29" t="n">
        <v>18270000</v>
      </c>
      <c r="W29" t="n">
        <v>146160000</v>
      </c>
      <c r="X29" t="n">
        <v>11.76</v>
      </c>
      <c r="Y29" t="n">
        <v>0</v>
      </c>
      <c r="Z29" t="n">
        <v>0</v>
      </c>
    </row>
    <row r="30">
      <c r="A30" t="inlineStr">
        <is>
          <t>A股</t>
        </is>
      </c>
      <c r="B30" t="inlineStr">
        <is>
          <t>920879</t>
        </is>
      </c>
      <c r="C30" t="inlineStr">
        <is>
          <t>基康技术</t>
        </is>
      </c>
      <c r="D30" s="31" t="n">
        <v>46022</v>
      </c>
      <c r="E30" t="inlineStr">
        <is>
          <t>CNY</t>
        </is>
      </c>
      <c r="F30" t="inlineStr">
        <is>
          <t>CNY</t>
        </is>
      </c>
      <c r="G30" t="n">
        <v>407897138.01</v>
      </c>
      <c r="H30" t="n">
        <v>356800515.38</v>
      </c>
      <c r="I30" t="n">
        <v>298842228.33</v>
      </c>
      <c r="J30" t="n">
        <v>192869581.0199054</v>
      </c>
      <c r="K30" t="n">
        <v>156770990.9998955</v>
      </c>
      <c r="L30" t="n">
        <v>147045567.7801233</v>
      </c>
      <c r="M30" t="n">
        <v>82611652.06999999</v>
      </c>
      <c r="N30" t="n">
        <v>77017926.45999999</v>
      </c>
      <c r="O30" t="n">
        <v>60549823.72</v>
      </c>
      <c r="P30" t="n">
        <v>41508717.75</v>
      </c>
      <c r="Q30" t="n">
        <v>66458305.14</v>
      </c>
      <c r="R30" t="n">
        <v>21424149.86</v>
      </c>
      <c r="S30" t="n">
        <v>2597233765</v>
      </c>
      <c r="T30" s="31" t="n">
        <v>44915</v>
      </c>
      <c r="U30" t="n">
        <v>6.5</v>
      </c>
      <c r="V30" t="n">
        <v>13000000</v>
      </c>
      <c r="W30" t="n">
        <v>84500000</v>
      </c>
      <c r="X30" t="n">
        <v>12.93</v>
      </c>
      <c r="Y30" t="n">
        <v>0</v>
      </c>
      <c r="Z30" t="n">
        <v>0</v>
      </c>
    </row>
    <row r="31">
      <c r="A31" t="inlineStr">
        <is>
          <t>A股</t>
        </is>
      </c>
      <c r="B31" t="inlineStr">
        <is>
          <t>920876</t>
        </is>
      </c>
      <c r="C31" t="inlineStr">
        <is>
          <t>慧为智能</t>
        </is>
      </c>
      <c r="D31" s="31" t="n">
        <v>46022</v>
      </c>
      <c r="E31" t="inlineStr">
        <is>
          <t>CNY</t>
        </is>
      </c>
      <c r="F31" t="inlineStr">
        <is>
          <t>CNY</t>
        </is>
      </c>
      <c r="G31" t="n">
        <v>551846267.01</v>
      </c>
      <c r="H31" t="n">
        <v>436788272.47</v>
      </c>
      <c r="I31" t="n">
        <v>418880052.59</v>
      </c>
      <c r="J31" t="n">
        <v>473287473.0997302</v>
      </c>
      <c r="K31" t="n">
        <v>372182724.840045</v>
      </c>
      <c r="L31" t="n">
        <v>330237619.8898879</v>
      </c>
      <c r="M31" t="n">
        <v>6535531.43</v>
      </c>
      <c r="N31" t="n">
        <v>1548190.78</v>
      </c>
      <c r="O31" t="n">
        <v>24531657.54</v>
      </c>
      <c r="P31" t="n">
        <v>-16288577.22</v>
      </c>
      <c r="Q31" t="n">
        <v>34748260.21</v>
      </c>
      <c r="R31" t="n">
        <v>22463279.07</v>
      </c>
      <c r="S31" t="n">
        <v>1044219322</v>
      </c>
      <c r="T31" s="31" t="n">
        <v>44874</v>
      </c>
      <c r="U31" t="n">
        <v>8</v>
      </c>
      <c r="V31" t="n">
        <v>15960000</v>
      </c>
      <c r="W31" t="n">
        <v>127680000</v>
      </c>
      <c r="X31" t="n">
        <v>16.27</v>
      </c>
      <c r="Y31" t="n">
        <v>0</v>
      </c>
      <c r="Z31" t="n">
        <v>0</v>
      </c>
    </row>
    <row r="32">
      <c r="A32" t="inlineStr">
        <is>
          <t>A股</t>
        </is>
      </c>
      <c r="B32" t="inlineStr">
        <is>
          <t>920873</t>
        </is>
      </c>
      <c r="C32" t="inlineStr">
        <is>
          <t>中设咨询</t>
        </is>
      </c>
      <c r="D32" s="31" t="n">
        <v>46022</v>
      </c>
      <c r="E32" t="inlineStr">
        <is>
          <t>CNY</t>
        </is>
      </c>
      <c r="F32" t="inlineStr">
        <is>
          <t>CNY</t>
        </is>
      </c>
      <c r="G32" t="n">
        <v>90776658.77</v>
      </c>
      <c r="H32" t="n">
        <v>72833871.43000001</v>
      </c>
      <c r="I32" t="n">
        <v>166704480.77</v>
      </c>
      <c r="J32" t="n">
        <v>94095699.76995592</v>
      </c>
      <c r="K32" t="n">
        <v>92751026.09999658</v>
      </c>
      <c r="L32" t="n">
        <v>131271575.6300013</v>
      </c>
      <c r="M32" t="n">
        <v>-62143432.78</v>
      </c>
      <c r="N32" t="n">
        <v>-105029868.98</v>
      </c>
      <c r="O32" t="n">
        <v>-29681867.99</v>
      </c>
      <c r="P32" t="n">
        <v>10519539.67</v>
      </c>
      <c r="Q32" t="n">
        <v>-27678612.87</v>
      </c>
      <c r="R32" t="n">
        <v>-26848538.29</v>
      </c>
      <c r="S32" t="n">
        <v>1089047714</v>
      </c>
      <c r="T32" s="31" t="n">
        <v>44515</v>
      </c>
      <c r="U32" t="n">
        <v>4.5</v>
      </c>
      <c r="V32" t="n">
        <v>33380000</v>
      </c>
      <c r="W32" t="n">
        <v>150210000</v>
      </c>
      <c r="X32" t="n">
        <v>7.1</v>
      </c>
      <c r="Y32" t="n">
        <v>0</v>
      </c>
      <c r="Z32" t="n">
        <v>0</v>
      </c>
    </row>
    <row r="33">
      <c r="A33" t="inlineStr">
        <is>
          <t>A股</t>
        </is>
      </c>
      <c r="B33" t="inlineStr">
        <is>
          <t>920871</t>
        </is>
      </c>
      <c r="C33" t="inlineStr">
        <is>
          <t>派特尔</t>
        </is>
      </c>
      <c r="D33" s="31" t="n">
        <v>46022</v>
      </c>
      <c r="E33" t="inlineStr">
        <is>
          <t>CNY</t>
        </is>
      </c>
      <c r="F33" t="inlineStr">
        <is>
          <t>CNY</t>
        </is>
      </c>
      <c r="G33" t="n">
        <v>166713329.87</v>
      </c>
      <c r="H33" t="n">
        <v>167706814.7</v>
      </c>
      <c r="I33" t="n">
        <v>144821063.94</v>
      </c>
      <c r="J33" t="n">
        <v>121197270.0099937</v>
      </c>
      <c r="K33" t="n">
        <v>113303653.2100454</v>
      </c>
      <c r="L33" t="n">
        <v>106045432.8400558</v>
      </c>
      <c r="M33" t="n">
        <v>10135630.45</v>
      </c>
      <c r="N33" t="n">
        <v>29266002.96</v>
      </c>
      <c r="O33" t="n">
        <v>17158084.1</v>
      </c>
      <c r="P33" t="n">
        <v>36408518.83</v>
      </c>
      <c r="Q33" t="n">
        <v>35560592.73</v>
      </c>
      <c r="R33" t="n">
        <v>6131598.55</v>
      </c>
      <c r="S33" t="n">
        <v>940218230</v>
      </c>
      <c r="T33" s="31" t="n">
        <v>44764</v>
      </c>
      <c r="U33" t="n">
        <v>5.6</v>
      </c>
      <c r="V33" t="n">
        <v>17776000</v>
      </c>
      <c r="W33" t="n">
        <v>99545600</v>
      </c>
      <c r="X33" t="n">
        <v>11.08</v>
      </c>
      <c r="Y33" t="n">
        <v>0</v>
      </c>
      <c r="Z33" t="n">
        <v>0</v>
      </c>
    </row>
    <row r="34">
      <c r="A34" t="inlineStr">
        <is>
          <t>A股</t>
        </is>
      </c>
      <c r="B34" t="inlineStr">
        <is>
          <t>920870</t>
        </is>
      </c>
      <c r="C34" t="inlineStr">
        <is>
          <t>恒进感应</t>
        </is>
      </c>
      <c r="D34" s="31" t="n">
        <v>46022</v>
      </c>
      <c r="E34" t="inlineStr">
        <is>
          <t>CNY</t>
        </is>
      </c>
      <c r="F34" t="inlineStr">
        <is>
          <t>CNY</t>
        </is>
      </c>
      <c r="G34" t="n">
        <v>96776085.65000001</v>
      </c>
      <c r="H34" t="n">
        <v>89400667.81</v>
      </c>
      <c r="I34" t="n">
        <v>159482796.27</v>
      </c>
      <c r="J34" t="n">
        <v>58428672.79000439</v>
      </c>
      <c r="K34" t="n">
        <v>51290769.54996558</v>
      </c>
      <c r="L34" t="n">
        <v>72554989.56004696</v>
      </c>
      <c r="M34" t="n">
        <v>16457206.22</v>
      </c>
      <c r="N34" t="n">
        <v>21498277.53</v>
      </c>
      <c r="O34" t="n">
        <v>61168159.57</v>
      </c>
      <c r="P34" t="n">
        <v>54363278.4</v>
      </c>
      <c r="Q34" t="n">
        <v>23686511.95</v>
      </c>
      <c r="R34" t="n">
        <v>26093210.48</v>
      </c>
      <c r="S34" t="n">
        <v>1590580000</v>
      </c>
      <c r="T34" s="31" t="n">
        <v>44747</v>
      </c>
      <c r="U34" t="n">
        <v>20</v>
      </c>
      <c r="V34" t="n">
        <v>17000000</v>
      </c>
      <c r="W34" t="n">
        <v>340000000</v>
      </c>
      <c r="X34" t="n">
        <v>11.87</v>
      </c>
      <c r="Y34" t="n">
        <v>0</v>
      </c>
      <c r="Z34" t="n">
        <v>0</v>
      </c>
    </row>
    <row r="35">
      <c r="A35" t="inlineStr">
        <is>
          <t>A股</t>
        </is>
      </c>
      <c r="B35" t="inlineStr">
        <is>
          <t>920866</t>
        </is>
      </c>
      <c r="C35" t="inlineStr">
        <is>
          <t>绿亨科技</t>
        </is>
      </c>
      <c r="D35" s="31" t="n">
        <v>46022</v>
      </c>
      <c r="E35" t="inlineStr">
        <is>
          <t>CNY</t>
        </is>
      </c>
      <c r="F35" t="inlineStr">
        <is>
          <t>CNY</t>
        </is>
      </c>
      <c r="G35" t="n">
        <v>496252034.27</v>
      </c>
      <c r="H35" t="n">
        <v>501158289.63</v>
      </c>
      <c r="I35" t="n">
        <v>387528650.28</v>
      </c>
      <c r="J35" t="n">
        <v>285907344.7101932</v>
      </c>
      <c r="K35" t="n">
        <v>311059790.4602197</v>
      </c>
      <c r="L35" t="n">
        <v>221711716.6500435</v>
      </c>
      <c r="M35" t="n">
        <v>32060643.9</v>
      </c>
      <c r="N35" t="n">
        <v>49854254.34</v>
      </c>
      <c r="O35" t="n">
        <v>47803926.87</v>
      </c>
      <c r="P35" t="n">
        <v>61902565.35</v>
      </c>
      <c r="Q35" t="n">
        <v>44431519.92</v>
      </c>
      <c r="R35" t="n">
        <v>64888381.36</v>
      </c>
      <c r="S35" t="n">
        <v>1257837182</v>
      </c>
      <c r="T35" s="31" t="n">
        <v>44904</v>
      </c>
      <c r="U35" t="n">
        <v>8</v>
      </c>
      <c r="V35" t="n">
        <v>40495700</v>
      </c>
      <c r="W35" t="n">
        <v>323965600</v>
      </c>
      <c r="X35" t="n">
        <v>6.98</v>
      </c>
      <c r="Y35" t="n">
        <v>0</v>
      </c>
      <c r="Z35" t="n">
        <v>0</v>
      </c>
    </row>
    <row r="36">
      <c r="A36" t="inlineStr">
        <is>
          <t>A股</t>
        </is>
      </c>
      <c r="B36" t="inlineStr">
        <is>
          <t>920857</t>
        </is>
      </c>
      <c r="C36" t="inlineStr">
        <is>
          <t>泓禧科技</t>
        </is>
      </c>
      <c r="D36" s="31" t="n">
        <v>46022</v>
      </c>
      <c r="E36" t="inlineStr">
        <is>
          <t>CNY</t>
        </is>
      </c>
      <c r="F36" t="inlineStr">
        <is>
          <t>CNY</t>
        </is>
      </c>
      <c r="G36" t="n">
        <v>394392012.54</v>
      </c>
      <c r="H36" t="n">
        <v>467648453.31</v>
      </c>
      <c r="I36" t="n">
        <v>427083873.65</v>
      </c>
      <c r="J36" t="n">
        <v>374902498.329894</v>
      </c>
      <c r="K36" t="n">
        <v>405594807.4401767</v>
      </c>
      <c r="L36" t="n">
        <v>363310384.2599365</v>
      </c>
      <c r="M36" t="n">
        <v>-21132792.05</v>
      </c>
      <c r="N36" t="n">
        <v>16332256.44</v>
      </c>
      <c r="O36" t="n">
        <v>32910059.52</v>
      </c>
      <c r="P36" t="n">
        <v>-31740174.81</v>
      </c>
      <c r="Q36" t="n">
        <v>23918332.02</v>
      </c>
      <c r="R36" t="n">
        <v>40607078.21</v>
      </c>
      <c r="S36" t="n">
        <v>1519366831</v>
      </c>
      <c r="T36" s="31" t="n">
        <v>44620</v>
      </c>
      <c r="U36" t="n">
        <v>12</v>
      </c>
      <c r="V36" t="n">
        <v>16000000</v>
      </c>
      <c r="W36" t="n">
        <v>192000000</v>
      </c>
      <c r="X36" t="n">
        <v>20.53</v>
      </c>
      <c r="Y36" t="n">
        <v>0</v>
      </c>
      <c r="Z36" t="n">
        <v>0</v>
      </c>
    </row>
    <row r="37">
      <c r="A37" t="inlineStr">
        <is>
          <t>A股</t>
        </is>
      </c>
      <c r="B37" t="inlineStr">
        <is>
          <t>920856</t>
        </is>
      </c>
      <c r="C37" t="inlineStr">
        <is>
          <t>浩淼科技</t>
        </is>
      </c>
      <c r="D37" s="31" t="n">
        <v>46022</v>
      </c>
      <c r="E37" t="inlineStr">
        <is>
          <t>CNY</t>
        </is>
      </c>
      <c r="F37" t="inlineStr">
        <is>
          <t>CNY</t>
        </is>
      </c>
      <c r="G37" t="n">
        <v>422098946.38</v>
      </c>
      <c r="H37" t="n">
        <v>544598442.13</v>
      </c>
      <c r="I37" t="n">
        <v>449764894.5</v>
      </c>
      <c r="J37" t="n">
        <v>335939622.1599615</v>
      </c>
      <c r="K37" t="n">
        <v>437371337.1801862</v>
      </c>
      <c r="L37" t="n">
        <v>354800411.3298761</v>
      </c>
      <c r="M37" t="n">
        <v>17357995.58</v>
      </c>
      <c r="N37" t="n">
        <v>19040924.79</v>
      </c>
      <c r="O37" t="n">
        <v>32441115.21</v>
      </c>
      <c r="P37" t="n">
        <v>184395695.61</v>
      </c>
      <c r="Q37" t="n">
        <v>-92789584.66</v>
      </c>
      <c r="R37" t="n">
        <v>55978092.81</v>
      </c>
      <c r="S37" t="n">
        <v>1208108176</v>
      </c>
      <c r="T37" s="31" t="n">
        <v>44190</v>
      </c>
      <c r="U37" t="n">
        <v>5.8</v>
      </c>
      <c r="V37" t="n">
        <v>10000000</v>
      </c>
      <c r="W37" t="n">
        <v>58000000</v>
      </c>
      <c r="X37" t="n">
        <v>12.7</v>
      </c>
      <c r="Y37" t="n">
        <v>0</v>
      </c>
      <c r="Z37" t="n">
        <v>0</v>
      </c>
    </row>
    <row r="38">
      <c r="A38" t="inlineStr">
        <is>
          <t>A股</t>
        </is>
      </c>
      <c r="B38" t="inlineStr">
        <is>
          <t>920855</t>
        </is>
      </c>
      <c r="C38" t="inlineStr">
        <is>
          <t>浙江大农</t>
        </is>
      </c>
      <c r="D38" s="31" t="n">
        <v>46022</v>
      </c>
      <c r="E38" t="inlineStr">
        <is>
          <t>CNY</t>
        </is>
      </c>
      <c r="F38" t="inlineStr">
        <is>
          <t>CNY</t>
        </is>
      </c>
      <c r="G38" t="n">
        <v>267819616.11</v>
      </c>
      <c r="H38" t="n">
        <v>262339264.05</v>
      </c>
      <c r="I38" t="n">
        <v>234710482.65</v>
      </c>
      <c r="J38" t="n">
        <v>187404042.299998</v>
      </c>
      <c r="K38" t="n">
        <v>181541797.2601201</v>
      </c>
      <c r="L38" t="n">
        <v>153161636.3800732</v>
      </c>
      <c r="M38" t="n">
        <v>34370185.79</v>
      </c>
      <c r="N38" t="n">
        <v>38786523.22</v>
      </c>
      <c r="O38" t="n">
        <v>42018193.98</v>
      </c>
      <c r="P38" t="n">
        <v>69955692.25</v>
      </c>
      <c r="Q38" t="n">
        <v>28998081.83</v>
      </c>
      <c r="R38" t="n">
        <v>69889615.02</v>
      </c>
      <c r="S38" t="n">
        <v>1009647329</v>
      </c>
      <c r="T38" s="31" t="n">
        <v>44924</v>
      </c>
      <c r="U38" t="n">
        <v>7.5</v>
      </c>
      <c r="V38" t="n">
        <v>18683333</v>
      </c>
      <c r="W38" t="n">
        <v>140124997.5</v>
      </c>
      <c r="X38" t="n">
        <v>13.51</v>
      </c>
      <c r="Y38" t="n">
        <v>0</v>
      </c>
      <c r="Z38" t="n">
        <v>0</v>
      </c>
    </row>
    <row r="39">
      <c r="A39" t="inlineStr">
        <is>
          <t>A股</t>
        </is>
      </c>
      <c r="B39" t="inlineStr">
        <is>
          <t>920839</t>
        </is>
      </c>
      <c r="C39" t="inlineStr">
        <is>
          <t>万通液压</t>
        </is>
      </c>
      <c r="D39" s="31" t="n">
        <v>46022</v>
      </c>
      <c r="E39" t="inlineStr">
        <is>
          <t>CNY</t>
        </is>
      </c>
      <c r="F39" t="inlineStr">
        <is>
          <t>CNY</t>
        </is>
      </c>
      <c r="G39" t="n">
        <v>696465267.5</v>
      </c>
      <c r="H39" t="n">
        <v>628514501.51</v>
      </c>
      <c r="I39" t="n">
        <v>504722942.58</v>
      </c>
      <c r="J39" t="n">
        <v>487952339.0598473</v>
      </c>
      <c r="K39" t="n">
        <v>452993046.3498847</v>
      </c>
      <c r="L39" t="n">
        <v>394698131.3200445</v>
      </c>
      <c r="M39" t="n">
        <v>125532435.84</v>
      </c>
      <c r="N39" t="n">
        <v>108720471.01</v>
      </c>
      <c r="O39" t="n">
        <v>63336992.06</v>
      </c>
      <c r="P39" t="n">
        <v>158638895.82</v>
      </c>
      <c r="Q39" t="n">
        <v>121863581.19</v>
      </c>
      <c r="R39" t="n">
        <v>22533971.99</v>
      </c>
      <c r="S39" t="n">
        <v>2846496102</v>
      </c>
      <c r="T39" s="31" t="n">
        <v>44144</v>
      </c>
      <c r="U39" t="n">
        <v>8</v>
      </c>
      <c r="V39" t="n">
        <v>14000000</v>
      </c>
      <c r="W39" t="n">
        <v>112000000</v>
      </c>
      <c r="X39" t="n">
        <v>24.08</v>
      </c>
      <c r="Y39" t="n">
        <v>0</v>
      </c>
      <c r="Z39" t="n">
        <v>0</v>
      </c>
    </row>
    <row r="40">
      <c r="A40" t="inlineStr">
        <is>
          <t>A股</t>
        </is>
      </c>
      <c r="B40" t="inlineStr">
        <is>
          <t>920837</t>
        </is>
      </c>
      <c r="C40" t="inlineStr">
        <is>
          <t>华原股份</t>
        </is>
      </c>
      <c r="D40" s="31" t="n">
        <v>46022</v>
      </c>
      <c r="E40" t="inlineStr">
        <is>
          <t>CNY</t>
        </is>
      </c>
      <c r="F40" t="inlineStr">
        <is>
          <t>CNY</t>
        </is>
      </c>
      <c r="G40" t="n">
        <v>603630866.34</v>
      </c>
      <c r="H40" t="n">
        <v>526840366.63</v>
      </c>
      <c r="I40" t="n">
        <v>504572454.36</v>
      </c>
      <c r="J40" t="n">
        <v>431639767.2602617</v>
      </c>
      <c r="K40" t="n">
        <v>383981086.4799443</v>
      </c>
      <c r="L40" t="n">
        <v>384631870.8398314</v>
      </c>
      <c r="M40" t="n">
        <v>75086974.06999999</v>
      </c>
      <c r="N40" t="n">
        <v>64718091.98</v>
      </c>
      <c r="O40" t="n">
        <v>38442859.86</v>
      </c>
      <c r="P40" t="n">
        <v>127224517.43</v>
      </c>
      <c r="Q40" t="n">
        <v>87367022.45999999</v>
      </c>
      <c r="R40" t="n">
        <v>67704723.16</v>
      </c>
      <c r="S40" t="n">
        <v>1556284941</v>
      </c>
      <c r="T40" s="31" t="n">
        <v>45061</v>
      </c>
      <c r="U40" t="n">
        <v>3.93</v>
      </c>
      <c r="V40" t="n">
        <v>20000000</v>
      </c>
      <c r="W40" t="n">
        <v>78600000</v>
      </c>
      <c r="X40" t="n">
        <v>10.19</v>
      </c>
      <c r="Y40" t="n">
        <v>0</v>
      </c>
      <c r="Z40" t="n">
        <v>0</v>
      </c>
    </row>
    <row r="41">
      <c r="A41" t="inlineStr">
        <is>
          <t>A股</t>
        </is>
      </c>
      <c r="B41" t="inlineStr">
        <is>
          <t>920834</t>
        </is>
      </c>
      <c r="C41" t="inlineStr">
        <is>
          <t>三维装备</t>
        </is>
      </c>
      <c r="D41" s="31" t="n">
        <v>46022</v>
      </c>
      <c r="E41" t="inlineStr">
        <is>
          <t>CNY</t>
        </is>
      </c>
      <c r="F41" t="inlineStr">
        <is>
          <t>CNY</t>
        </is>
      </c>
      <c r="G41" t="n">
        <v>308453777.87</v>
      </c>
      <c r="H41" t="n">
        <v>271293994.87</v>
      </c>
      <c r="I41" t="n">
        <v>257244177.34</v>
      </c>
      <c r="J41" t="n">
        <v>208352941.4999885</v>
      </c>
      <c r="K41" t="n">
        <v>188254835.6298721</v>
      </c>
      <c r="L41" t="n">
        <v>176881081.1898744</v>
      </c>
      <c r="M41" t="n">
        <v>47098139.82</v>
      </c>
      <c r="N41" t="n">
        <v>33997790.39</v>
      </c>
      <c r="O41" t="n">
        <v>36955547.03</v>
      </c>
      <c r="P41" t="n">
        <v>53144372.6</v>
      </c>
      <c r="Q41" t="n">
        <v>37816097.19</v>
      </c>
      <c r="R41" t="n">
        <v>47231759.57</v>
      </c>
      <c r="S41" t="n">
        <v>1125600047</v>
      </c>
      <c r="T41" s="31" t="n">
        <v>44795</v>
      </c>
      <c r="U41" t="n">
        <v>5.2</v>
      </c>
      <c r="V41" t="n">
        <v>30000000</v>
      </c>
      <c r="W41" t="n">
        <v>156000000</v>
      </c>
      <c r="X41" t="n">
        <v>9.380000000000001</v>
      </c>
      <c r="Y41" t="n">
        <v>0</v>
      </c>
      <c r="Z41" t="n">
        <v>0</v>
      </c>
    </row>
    <row r="42">
      <c r="A42" t="inlineStr">
        <is>
          <t>A股</t>
        </is>
      </c>
      <c r="B42" t="inlineStr">
        <is>
          <t>920833</t>
        </is>
      </c>
      <c r="C42" t="inlineStr">
        <is>
          <t>美心翼申</t>
        </is>
      </c>
      <c r="D42" s="31" t="n">
        <v>46022</v>
      </c>
      <c r="E42" t="inlineStr">
        <is>
          <t>CNY</t>
        </is>
      </c>
      <c r="F42" t="inlineStr">
        <is>
          <t>CNY</t>
        </is>
      </c>
      <c r="G42" t="n">
        <v>437748849.74</v>
      </c>
      <c r="H42" t="n">
        <v>424218845.84</v>
      </c>
      <c r="I42" t="n">
        <v>502226317.99</v>
      </c>
      <c r="J42" t="n">
        <v>329968611.0597815</v>
      </c>
      <c r="K42" t="n">
        <v>344734627.7799983</v>
      </c>
      <c r="L42" t="n">
        <v>377641086.3102006</v>
      </c>
      <c r="M42" t="n">
        <v>28917766.74</v>
      </c>
      <c r="N42" t="n">
        <v>24795539.62</v>
      </c>
      <c r="O42" t="n">
        <v>51308735.71</v>
      </c>
      <c r="P42" t="n">
        <v>103795671.94</v>
      </c>
      <c r="Q42" t="n">
        <v>83342692.48999999</v>
      </c>
      <c r="R42" t="n">
        <v>101885217.22</v>
      </c>
      <c r="S42" t="n">
        <v>1219467600</v>
      </c>
      <c r="T42" s="31" t="n">
        <v>45238</v>
      </c>
      <c r="U42" t="n">
        <v>10</v>
      </c>
      <c r="V42" t="n">
        <v>12000000</v>
      </c>
      <c r="W42" t="n">
        <v>120000000</v>
      </c>
      <c r="X42" t="n">
        <v>10.65</v>
      </c>
      <c r="Y42" t="n">
        <v>0</v>
      </c>
      <c r="Z42" t="n">
        <v>0</v>
      </c>
    </row>
    <row r="43">
      <c r="A43" t="inlineStr">
        <is>
          <t>A股</t>
        </is>
      </c>
      <c r="B43" t="inlineStr">
        <is>
          <t>920832</t>
        </is>
      </c>
      <c r="C43" t="inlineStr">
        <is>
          <t>齐鲁华信</t>
        </is>
      </c>
      <c r="D43" s="31" t="n">
        <v>46022</v>
      </c>
      <c r="E43" t="inlineStr">
        <is>
          <t>CNY</t>
        </is>
      </c>
      <c r="F43" t="inlineStr">
        <is>
          <t>CNY</t>
        </is>
      </c>
      <c r="G43" t="n">
        <v>401231754.37</v>
      </c>
      <c r="H43" t="n">
        <v>436714357.52</v>
      </c>
      <c r="I43" t="n">
        <v>577228216.28</v>
      </c>
      <c r="J43" t="n">
        <v>339538715.0899294</v>
      </c>
      <c r="K43" t="n">
        <v>367590605.3598199</v>
      </c>
      <c r="L43" t="n">
        <v>467523682.1801641</v>
      </c>
      <c r="M43" t="n">
        <v>-5583791.47</v>
      </c>
      <c r="N43" t="n">
        <v>10602259.12</v>
      </c>
      <c r="O43" t="n">
        <v>46877946.19</v>
      </c>
      <c r="P43" t="n">
        <v>68603978.55</v>
      </c>
      <c r="Q43" t="n">
        <v>104493778.31</v>
      </c>
      <c r="R43" t="n">
        <v>26965386.96</v>
      </c>
      <c r="S43" t="n">
        <v>878375265</v>
      </c>
      <c r="T43" s="31" t="n">
        <v>44250</v>
      </c>
      <c r="U43" t="n">
        <v>7</v>
      </c>
      <c r="V43" t="n">
        <v>33457800</v>
      </c>
      <c r="W43" t="n">
        <v>234204600</v>
      </c>
      <c r="X43" t="n">
        <v>6.33</v>
      </c>
      <c r="Y43" t="n">
        <v>0</v>
      </c>
      <c r="Z43" t="n">
        <v>0</v>
      </c>
    </row>
    <row r="44">
      <c r="A44" t="inlineStr">
        <is>
          <t>A股</t>
        </is>
      </c>
      <c r="B44" t="inlineStr">
        <is>
          <t>920826</t>
        </is>
      </c>
      <c r="C44" t="inlineStr">
        <is>
          <t>盖世食品</t>
        </is>
      </c>
      <c r="D44" s="31" t="n">
        <v>46022</v>
      </c>
      <c r="E44" t="inlineStr">
        <is>
          <t>CNY</t>
        </is>
      </c>
      <c r="F44" t="inlineStr">
        <is>
          <t>CNY</t>
        </is>
      </c>
      <c r="G44" t="n">
        <v>630433619.61</v>
      </c>
      <c r="H44" t="n">
        <v>534239925.45</v>
      </c>
      <c r="I44" t="n">
        <v>363590317.26</v>
      </c>
      <c r="J44" t="n">
        <v>512971364.7897726</v>
      </c>
      <c r="K44" t="n">
        <v>439468195.4301625</v>
      </c>
      <c r="L44" t="n">
        <v>299712328.290122</v>
      </c>
      <c r="M44" t="n">
        <v>47581894.97</v>
      </c>
      <c r="N44" t="n">
        <v>41075730.45</v>
      </c>
      <c r="O44" t="n">
        <v>32262870.35</v>
      </c>
      <c r="P44" t="n">
        <v>22118867.28</v>
      </c>
      <c r="Q44" t="n">
        <v>36725673.55</v>
      </c>
      <c r="R44" t="n">
        <v>-32745150.09</v>
      </c>
      <c r="S44" t="n">
        <v>1309607386</v>
      </c>
      <c r="T44" s="31" t="n">
        <v>44208</v>
      </c>
      <c r="U44" t="n">
        <v>3.48</v>
      </c>
      <c r="V44" t="n">
        <v>21338334</v>
      </c>
      <c r="W44" t="n">
        <v>74257402.31999999</v>
      </c>
      <c r="X44" t="n">
        <v>9.32</v>
      </c>
      <c r="Y44" t="n">
        <v>0</v>
      </c>
      <c r="Z44" t="n">
        <v>0</v>
      </c>
    </row>
    <row r="45">
      <c r="A45" t="inlineStr">
        <is>
          <t>A股</t>
        </is>
      </c>
      <c r="B45" t="inlineStr">
        <is>
          <t>920821</t>
        </is>
      </c>
      <c r="C45" t="inlineStr">
        <is>
          <t>则成电子</t>
        </is>
      </c>
      <c r="D45" s="31" t="n">
        <v>46022</v>
      </c>
      <c r="E45" t="inlineStr">
        <is>
          <t>CNY</t>
        </is>
      </c>
      <c r="F45" t="inlineStr">
        <is>
          <t>CNY</t>
        </is>
      </c>
      <c r="G45" t="n">
        <v>394050217.9</v>
      </c>
      <c r="H45" t="n">
        <v>391719678.83</v>
      </c>
      <c r="I45" t="n">
        <v>328467157.94</v>
      </c>
      <c r="J45" t="n">
        <v>295177476.3101719</v>
      </c>
      <c r="K45" t="n">
        <v>287257370.609894</v>
      </c>
      <c r="L45" t="n">
        <v>241326754.2699322</v>
      </c>
      <c r="M45" t="n">
        <v>15245030.57</v>
      </c>
      <c r="N45" t="n">
        <v>25815418.23</v>
      </c>
      <c r="O45" t="n">
        <v>28044461.06</v>
      </c>
      <c r="P45" t="n">
        <v>37365592.75</v>
      </c>
      <c r="Q45" t="n">
        <v>40088727.35</v>
      </c>
      <c r="R45" t="n">
        <v>20207018.51</v>
      </c>
      <c r="S45" t="n">
        <v>2450389231</v>
      </c>
      <c r="T45" s="31" t="n">
        <v>44748</v>
      </c>
      <c r="U45" t="n">
        <v>10.8</v>
      </c>
      <c r="V45" t="n">
        <v>15000000</v>
      </c>
      <c r="W45" t="n">
        <v>162000000</v>
      </c>
      <c r="X45" t="n">
        <v>17.71</v>
      </c>
      <c r="Y45" t="n">
        <v>0</v>
      </c>
      <c r="Z45" t="n">
        <v>0</v>
      </c>
    </row>
    <row r="46">
      <c r="A46" t="inlineStr">
        <is>
          <t>A股</t>
        </is>
      </c>
      <c r="B46" t="inlineStr">
        <is>
          <t>920819</t>
        </is>
      </c>
      <c r="C46" t="inlineStr">
        <is>
          <t>颖泰生物</t>
        </is>
      </c>
      <c r="D46" s="31" t="n">
        <v>46022</v>
      </c>
      <c r="E46" t="inlineStr">
        <is>
          <t>CNY</t>
        </is>
      </c>
      <c r="F46" t="inlineStr">
        <is>
          <t>CNY</t>
        </is>
      </c>
      <c r="G46" t="n">
        <v>5474030024.74</v>
      </c>
      <c r="H46" t="n">
        <v>5659103023.14</v>
      </c>
      <c r="I46" t="n">
        <v>8160945922.95</v>
      </c>
      <c r="J46" t="n">
        <v>4779455867.488042</v>
      </c>
      <c r="K46" t="n">
        <v>5050444692.659422</v>
      </c>
      <c r="L46" t="n">
        <v>6035751022.742223</v>
      </c>
      <c r="M46" t="n">
        <v>-256943685.05</v>
      </c>
      <c r="N46" t="n">
        <v>-587333739.05</v>
      </c>
      <c r="O46" t="n">
        <v>1057261395.52</v>
      </c>
      <c r="P46" t="n">
        <v>598988449.2</v>
      </c>
      <c r="Q46" t="n">
        <v>249890150.37</v>
      </c>
      <c r="R46" t="n">
        <v>1461041757.17</v>
      </c>
      <c r="S46" t="n">
        <v>3910302000</v>
      </c>
      <c r="T46" s="31" t="n">
        <v>44039</v>
      </c>
      <c r="U46" t="n">
        <v>5.45</v>
      </c>
      <c r="V46" t="n">
        <v>100000000</v>
      </c>
      <c r="W46" t="n">
        <v>545000000</v>
      </c>
      <c r="X46" t="n">
        <v>3.19</v>
      </c>
      <c r="Y46" t="n">
        <v>0</v>
      </c>
      <c r="Z46" t="n">
        <v>0</v>
      </c>
    </row>
    <row r="47">
      <c r="A47" t="inlineStr">
        <is>
          <t>A股</t>
        </is>
      </c>
      <c r="B47" t="inlineStr">
        <is>
          <t>920810</t>
        </is>
      </c>
      <c r="C47" t="inlineStr">
        <is>
          <t>春光智能</t>
        </is>
      </c>
      <c r="D47" s="31" t="n">
        <v>46022</v>
      </c>
      <c r="E47" t="inlineStr">
        <is>
          <t>CNY</t>
        </is>
      </c>
      <c r="F47" t="inlineStr">
        <is>
          <t>CNY</t>
        </is>
      </c>
      <c r="G47" t="n">
        <v>130366568.36</v>
      </c>
      <c r="H47" t="n">
        <v>78659353.97</v>
      </c>
      <c r="I47" t="n">
        <v>216082516.98</v>
      </c>
      <c r="J47" t="n">
        <v>92907256.54005663</v>
      </c>
      <c r="K47" t="n">
        <v>66549637.90000782</v>
      </c>
      <c r="L47" t="n">
        <v>114239537.6899577</v>
      </c>
      <c r="M47" t="n">
        <v>1239452.31</v>
      </c>
      <c r="N47" t="n">
        <v>-48728246.63</v>
      </c>
      <c r="O47" t="n">
        <v>41013230.25</v>
      </c>
      <c r="P47" t="n">
        <v>-20447946.17</v>
      </c>
      <c r="Q47" t="n">
        <v>4961337.85</v>
      </c>
      <c r="R47" t="n">
        <v>48321113.32</v>
      </c>
      <c r="S47" t="n">
        <v>935025000</v>
      </c>
      <c r="T47" s="31" t="n">
        <v>44911</v>
      </c>
      <c r="U47" t="n">
        <v>10</v>
      </c>
      <c r="V47" t="n">
        <v>16000000</v>
      </c>
      <c r="W47" t="n">
        <v>160000000</v>
      </c>
      <c r="X47" t="n">
        <v>9.75</v>
      </c>
      <c r="Y47" t="n">
        <v>0</v>
      </c>
      <c r="Z47" t="n">
        <v>0</v>
      </c>
    </row>
    <row r="48">
      <c r="A48" t="inlineStr">
        <is>
          <t>A股</t>
        </is>
      </c>
      <c r="B48" t="inlineStr">
        <is>
          <t>920809</t>
        </is>
      </c>
      <c r="C48" t="inlineStr">
        <is>
          <t>安达科技</t>
        </is>
      </c>
      <c r="D48" s="31" t="n">
        <v>46022</v>
      </c>
      <c r="E48" t="inlineStr">
        <is>
          <t>CNY</t>
        </is>
      </c>
      <c r="F48" t="inlineStr">
        <is>
          <t>CNY</t>
        </is>
      </c>
      <c r="G48" t="n">
        <v>3492794812.61</v>
      </c>
      <c r="H48" t="n">
        <v>1511201199.89</v>
      </c>
      <c r="I48" t="n">
        <v>6557673149.86</v>
      </c>
      <c r="J48" t="n">
        <v>3431512964.82082</v>
      </c>
      <c r="K48" t="n">
        <v>1678441395.379374</v>
      </c>
      <c r="L48" t="n">
        <v>5305190120.978284</v>
      </c>
      <c r="M48" t="n">
        <v>-256808165.63</v>
      </c>
      <c r="N48" t="n">
        <v>-679880766.29</v>
      </c>
      <c r="O48" t="n">
        <v>811497351.61</v>
      </c>
      <c r="P48" t="n">
        <v>-109751272.41</v>
      </c>
      <c r="Q48" t="n">
        <v>-171937169.11</v>
      </c>
      <c r="R48" t="n">
        <v>545845523.78</v>
      </c>
      <c r="S48" t="n">
        <v>4468913000</v>
      </c>
      <c r="T48" s="31" t="n">
        <v>45008</v>
      </c>
      <c r="U48" t="n">
        <v>13</v>
      </c>
      <c r="V48" t="n">
        <v>50000000</v>
      </c>
      <c r="W48" t="n">
        <v>650000000</v>
      </c>
      <c r="X48" t="n">
        <v>7.46</v>
      </c>
      <c r="Y48" t="n">
        <v>0</v>
      </c>
      <c r="Z48" t="n">
        <v>0</v>
      </c>
    </row>
    <row r="49">
      <c r="A49" t="inlineStr">
        <is>
          <t>A股</t>
        </is>
      </c>
      <c r="B49" t="inlineStr">
        <is>
          <t>920808</t>
        </is>
      </c>
      <c r="C49" t="inlineStr">
        <is>
          <t>曙光数创</t>
        </is>
      </c>
      <c r="D49" s="31" t="n">
        <v>46022</v>
      </c>
      <c r="E49" t="inlineStr">
        <is>
          <t>CNY</t>
        </is>
      </c>
      <c r="F49" t="inlineStr">
        <is>
          <t>CNY</t>
        </is>
      </c>
      <c r="G49" t="n">
        <v>882341264.22</v>
      </c>
      <c r="H49" t="n">
        <v>506251725.6</v>
      </c>
      <c r="I49" t="n">
        <v>517601962.07</v>
      </c>
      <c r="J49" t="n">
        <v>655994605.3500692</v>
      </c>
      <c r="K49" t="n">
        <v>353865630.8500255</v>
      </c>
      <c r="L49" t="n">
        <v>310644827.6601058</v>
      </c>
      <c r="M49" t="n">
        <v>36897665.35</v>
      </c>
      <c r="N49" t="n">
        <v>61424446.37</v>
      </c>
      <c r="O49" t="n">
        <v>116906073.15</v>
      </c>
      <c r="P49" t="n">
        <v>-437787362.99</v>
      </c>
      <c r="Q49" t="n">
        <v>-105163050.89</v>
      </c>
      <c r="R49" t="n">
        <v>56193473.5</v>
      </c>
      <c r="S49" t="n">
        <v>11346000057</v>
      </c>
      <c r="T49" s="31" t="n">
        <v>44883</v>
      </c>
      <c r="U49" t="n">
        <v>28.8</v>
      </c>
      <c r="V49" t="n">
        <v>7900000</v>
      </c>
      <c r="W49" t="n">
        <v>227520000</v>
      </c>
      <c r="X49" t="n">
        <v>56.73</v>
      </c>
      <c r="Y49" t="n">
        <v>0</v>
      </c>
      <c r="Z49" t="n">
        <v>0</v>
      </c>
    </row>
    <row r="50">
      <c r="A50" t="inlineStr">
        <is>
          <t>A股</t>
        </is>
      </c>
      <c r="B50" t="inlineStr">
        <is>
          <t>920807</t>
        </is>
      </c>
      <c r="C50" t="inlineStr">
        <is>
          <t>奔朗新材</t>
        </is>
      </c>
      <c r="D50" s="31" t="n">
        <v>46022</v>
      </c>
      <c r="E50" t="inlineStr">
        <is>
          <t>CNY</t>
        </is>
      </c>
      <c r="F50" t="inlineStr">
        <is>
          <t>CNY</t>
        </is>
      </c>
      <c r="G50" t="n">
        <v>596134901.26</v>
      </c>
      <c r="H50" t="n">
        <v>572563079.4299999</v>
      </c>
      <c r="I50" t="n">
        <v>710410319.5599999</v>
      </c>
      <c r="J50" t="n">
        <v>421100955.6999057</v>
      </c>
      <c r="K50" t="n">
        <v>398886555.1599136</v>
      </c>
      <c r="L50" t="n">
        <v>489241121.4402372</v>
      </c>
      <c r="M50" t="n">
        <v>21958462.11</v>
      </c>
      <c r="N50" t="n">
        <v>24392136.45</v>
      </c>
      <c r="O50" t="n">
        <v>60636462.37</v>
      </c>
      <c r="P50" t="n">
        <v>40345346.82</v>
      </c>
      <c r="Q50" t="n">
        <v>-14142727.29</v>
      </c>
      <c r="R50" t="n">
        <v>48655079.37</v>
      </c>
      <c r="S50" t="n">
        <v>1689665200</v>
      </c>
      <c r="T50" s="31" t="n">
        <v>44915</v>
      </c>
      <c r="U50" t="n">
        <v>7</v>
      </c>
      <c r="V50" t="n">
        <v>45470000</v>
      </c>
      <c r="W50" t="n">
        <v>318290000</v>
      </c>
      <c r="X50" t="n">
        <v>9.289999999999999</v>
      </c>
      <c r="Y50" t="n">
        <v>0</v>
      </c>
      <c r="Z50" t="n">
        <v>0</v>
      </c>
    </row>
    <row r="51">
      <c r="A51" t="inlineStr">
        <is>
          <t>A股</t>
        </is>
      </c>
      <c r="B51" t="inlineStr">
        <is>
          <t>920806</t>
        </is>
      </c>
      <c r="C51" t="inlineStr">
        <is>
          <t>云星宇</t>
        </is>
      </c>
      <c r="D51" s="31" t="n">
        <v>46022</v>
      </c>
      <c r="E51" t="inlineStr">
        <is>
          <t>CNY</t>
        </is>
      </c>
      <c r="F51" t="inlineStr">
        <is>
          <t>CNY</t>
        </is>
      </c>
      <c r="G51" t="n">
        <v>1581366153.64</v>
      </c>
      <c r="H51" t="n">
        <v>2296940714.53</v>
      </c>
      <c r="I51" t="n">
        <v>2397288074.27</v>
      </c>
      <c r="J51" t="n">
        <v>1297208587.760006</v>
      </c>
      <c r="K51" t="n">
        <v>1935788481.189772</v>
      </c>
      <c r="L51" t="n">
        <v>2008824119.570627</v>
      </c>
      <c r="M51" t="n">
        <v>76350154.79000001</v>
      </c>
      <c r="N51" t="n">
        <v>116095965.23</v>
      </c>
      <c r="O51" t="n">
        <v>98588985.8</v>
      </c>
      <c r="P51" t="n">
        <v>583191667.89</v>
      </c>
      <c r="Q51" t="n">
        <v>-71630845.11</v>
      </c>
      <c r="R51" t="n">
        <v>-15800789.19</v>
      </c>
      <c r="S51" t="n">
        <v>3148712903</v>
      </c>
      <c r="T51" s="31" t="n">
        <v>45302</v>
      </c>
      <c r="U51" t="n">
        <v>4.63</v>
      </c>
      <c r="V51" t="n">
        <v>72466667</v>
      </c>
      <c r="W51" t="n">
        <v>335520668.21</v>
      </c>
      <c r="X51" t="n">
        <v>10.47</v>
      </c>
      <c r="Y51" t="n">
        <v>0</v>
      </c>
      <c r="Z51" t="n">
        <v>0</v>
      </c>
    </row>
    <row r="52">
      <c r="A52" t="inlineStr">
        <is>
          <t>A股</t>
        </is>
      </c>
      <c r="B52" t="inlineStr">
        <is>
          <t>920802</t>
        </is>
      </c>
      <c r="C52" t="inlineStr">
        <is>
          <t>保丽洁</t>
        </is>
      </c>
      <c r="D52" s="31" t="n">
        <v>46022</v>
      </c>
      <c r="E52" t="inlineStr">
        <is>
          <t>CNY</t>
        </is>
      </c>
      <c r="F52" t="inlineStr">
        <is>
          <t>CNY</t>
        </is>
      </c>
      <c r="G52" t="n">
        <v>200160935.08</v>
      </c>
      <c r="H52" t="n">
        <v>193344968.75</v>
      </c>
      <c r="I52" t="n">
        <v>182049954.1</v>
      </c>
      <c r="J52" t="n">
        <v>126546386.0299774</v>
      </c>
      <c r="K52" t="n">
        <v>127681444.4499503</v>
      </c>
      <c r="L52" t="n">
        <v>114659787.8699572</v>
      </c>
      <c r="M52" t="n">
        <v>24815764.97</v>
      </c>
      <c r="N52" t="n">
        <v>22654372.39</v>
      </c>
      <c r="O52" t="n">
        <v>34796370.52</v>
      </c>
      <c r="P52" t="n">
        <v>50995315.2</v>
      </c>
      <c r="Q52" t="n">
        <v>33316985.3</v>
      </c>
      <c r="R52" t="n">
        <v>34616163.35</v>
      </c>
      <c r="S52" t="n">
        <v>885689532</v>
      </c>
      <c r="T52" s="31" t="n">
        <v>44963</v>
      </c>
      <c r="U52" t="n">
        <v>7.95</v>
      </c>
      <c r="V52" t="n">
        <v>9550700</v>
      </c>
      <c r="W52" t="n">
        <v>75928065</v>
      </c>
      <c r="X52" t="n">
        <v>10.8</v>
      </c>
      <c r="Y52" t="n">
        <v>0</v>
      </c>
      <c r="Z52" t="n">
        <v>0</v>
      </c>
    </row>
    <row r="53">
      <c r="A53" t="inlineStr">
        <is>
          <t>A股</t>
        </is>
      </c>
      <c r="B53" t="inlineStr">
        <is>
          <t>920799</t>
        </is>
      </c>
      <c r="C53" t="inlineStr">
        <is>
          <t>艾融软件</t>
        </is>
      </c>
      <c r="D53" s="31" t="n">
        <v>46022</v>
      </c>
      <c r="E53" t="inlineStr">
        <is>
          <t>CNY</t>
        </is>
      </c>
      <c r="F53" t="inlineStr">
        <is>
          <t>CNY</t>
        </is>
      </c>
      <c r="G53" t="n">
        <v>477399089.4</v>
      </c>
      <c r="H53" t="n">
        <v>608462872.1799999</v>
      </c>
      <c r="I53" t="n">
        <v>606034197.1900001</v>
      </c>
      <c r="J53" t="n">
        <v>330664253.8598864</v>
      </c>
      <c r="K53" t="n">
        <v>413313189.739718</v>
      </c>
      <c r="L53" t="n">
        <v>416592797.0801683</v>
      </c>
      <c r="M53" t="n">
        <v>64492471.88</v>
      </c>
      <c r="N53" t="n">
        <v>65675393.46</v>
      </c>
      <c r="O53" t="n">
        <v>51517247.43</v>
      </c>
      <c r="P53" t="n">
        <v>992613.71</v>
      </c>
      <c r="Q53" t="n">
        <v>92070106.40000001</v>
      </c>
      <c r="R53" t="n">
        <v>35954778.13</v>
      </c>
      <c r="S53" t="n">
        <v>7079571790</v>
      </c>
      <c r="T53" s="31" t="n">
        <v>44039</v>
      </c>
      <c r="U53" t="n">
        <v>25.18</v>
      </c>
      <c r="V53" t="n">
        <v>8800000</v>
      </c>
      <c r="W53" t="n">
        <v>221584000</v>
      </c>
      <c r="X53" t="n">
        <v>33.85</v>
      </c>
      <c r="Y53" t="n">
        <v>0</v>
      </c>
      <c r="Z53" t="n">
        <v>0</v>
      </c>
    </row>
    <row r="54">
      <c r="A54" t="inlineStr">
        <is>
          <t>A股</t>
        </is>
      </c>
      <c r="B54" t="inlineStr">
        <is>
          <t>920792</t>
        </is>
      </c>
      <c r="C54" t="inlineStr">
        <is>
          <t>东和新材</t>
        </is>
      </c>
      <c r="D54" s="31" t="n">
        <v>46022</v>
      </c>
      <c r="E54" t="inlineStr">
        <is>
          <t>CNY</t>
        </is>
      </c>
      <c r="F54" t="inlineStr">
        <is>
          <t>CNY</t>
        </is>
      </c>
      <c r="G54" t="n">
        <v>817189246.26</v>
      </c>
      <c r="H54" t="n">
        <v>682470452.45</v>
      </c>
      <c r="I54" t="n">
        <v>679578474.08</v>
      </c>
      <c r="J54" t="n">
        <v>581522450.899644</v>
      </c>
      <c r="K54" t="n">
        <v>509108271.9299054</v>
      </c>
      <c r="L54" t="n">
        <v>458186961.1702739</v>
      </c>
      <c r="M54" t="n">
        <v>75729520.66</v>
      </c>
      <c r="N54" t="n">
        <v>52119813.49</v>
      </c>
      <c r="O54" t="n">
        <v>111707835.67</v>
      </c>
      <c r="P54" t="n">
        <v>210077911.48</v>
      </c>
      <c r="Q54" t="n">
        <v>51581636.13</v>
      </c>
      <c r="R54" t="n">
        <v>56339415.03</v>
      </c>
      <c r="S54" t="n">
        <v>1612359600</v>
      </c>
      <c r="T54" s="31" t="n">
        <v>45015</v>
      </c>
      <c r="U54" t="n">
        <v>8.68</v>
      </c>
      <c r="V54" t="n">
        <v>20000000</v>
      </c>
      <c r="W54" t="n">
        <v>173600000</v>
      </c>
      <c r="X54" t="n">
        <v>9.74</v>
      </c>
      <c r="Y54" t="n">
        <v>0</v>
      </c>
      <c r="Z54" t="n">
        <v>0</v>
      </c>
    </row>
    <row r="55">
      <c r="A55" t="inlineStr">
        <is>
          <t>A股</t>
        </is>
      </c>
      <c r="B55" t="inlineStr">
        <is>
          <t>920790</t>
        </is>
      </c>
      <c r="C55" t="inlineStr">
        <is>
          <t>联迪信息</t>
        </is>
      </c>
      <c r="D55" s="31" t="n">
        <v>46022</v>
      </c>
      <c r="E55" t="inlineStr">
        <is>
          <t>CNY</t>
        </is>
      </c>
      <c r="F55" t="inlineStr">
        <is>
          <t>CNY</t>
        </is>
      </c>
      <c r="G55" t="n">
        <v>190166388.71</v>
      </c>
      <c r="H55" t="n">
        <v>224844102.99</v>
      </c>
      <c r="I55" t="n">
        <v>238546873.6</v>
      </c>
      <c r="J55" t="n">
        <v>140056838.9700551</v>
      </c>
      <c r="K55" t="n">
        <v>166871792.1700893</v>
      </c>
      <c r="L55" t="n">
        <v>174565876.8100338</v>
      </c>
      <c r="M55" t="n">
        <v>7540804.9</v>
      </c>
      <c r="N55" t="n">
        <v>9612239.050000001</v>
      </c>
      <c r="O55" t="n">
        <v>18746367.49</v>
      </c>
      <c r="P55" t="n">
        <v>32110693.27</v>
      </c>
      <c r="Q55" t="n">
        <v>8562698.83</v>
      </c>
      <c r="R55" t="n">
        <v>-20348154.24</v>
      </c>
      <c r="S55" t="n">
        <v>1910212214</v>
      </c>
      <c r="T55" s="31" t="n">
        <v>44806</v>
      </c>
      <c r="U55" t="n">
        <v>8</v>
      </c>
      <c r="V55" t="n">
        <v>15660000</v>
      </c>
      <c r="W55" t="n">
        <v>125280000</v>
      </c>
      <c r="X55" t="n">
        <v>24.19</v>
      </c>
      <c r="Y55" t="n">
        <v>0</v>
      </c>
      <c r="Z55" t="n">
        <v>0</v>
      </c>
    </row>
    <row r="56">
      <c r="A56" t="inlineStr">
        <is>
          <t>A股</t>
        </is>
      </c>
      <c r="B56" t="inlineStr">
        <is>
          <t>920786</t>
        </is>
      </c>
      <c r="C56" t="inlineStr">
        <is>
          <t>骑士乳业</t>
        </is>
      </c>
      <c r="D56" s="31" t="n">
        <v>46022</v>
      </c>
      <c r="E56" t="inlineStr">
        <is>
          <t>CNY</t>
        </is>
      </c>
      <c r="F56" t="inlineStr">
        <is>
          <t>CNY</t>
        </is>
      </c>
      <c r="G56" t="n">
        <v>1319405776.1</v>
      </c>
      <c r="H56" t="n">
        <v>1296759671.2</v>
      </c>
      <c r="I56" t="n">
        <v>947750110.1900001</v>
      </c>
      <c r="J56" t="n">
        <v>1111018663.290227</v>
      </c>
      <c r="K56" t="n">
        <v>1086157941.3897</v>
      </c>
      <c r="L56" t="n">
        <v>745225623.9798645</v>
      </c>
      <c r="M56" t="n">
        <v>49014695.26</v>
      </c>
      <c r="N56" t="n">
        <v>-7695098.63</v>
      </c>
      <c r="O56" t="n">
        <v>71623890.98</v>
      </c>
      <c r="P56" t="n">
        <v>74030589.47</v>
      </c>
      <c r="Q56" t="n">
        <v>189589228.45</v>
      </c>
      <c r="R56" t="n">
        <v>218276928.6</v>
      </c>
      <c r="S56" t="n">
        <v>1661971350</v>
      </c>
      <c r="T56" s="31" t="n">
        <v>45212</v>
      </c>
      <c r="U56" t="n">
        <v>5</v>
      </c>
      <c r="V56" t="n">
        <v>52270000</v>
      </c>
      <c r="W56" t="n">
        <v>261350000</v>
      </c>
      <c r="X56" t="n">
        <v>7.95</v>
      </c>
      <c r="Y56" t="n">
        <v>0</v>
      </c>
      <c r="Z56" t="n">
        <v>0</v>
      </c>
    </row>
    <row r="57">
      <c r="A57" t="inlineStr">
        <is>
          <t>A股</t>
        </is>
      </c>
      <c r="B57" t="inlineStr">
        <is>
          <t>920781</t>
        </is>
      </c>
      <c r="C57" t="inlineStr">
        <is>
          <t>瑞奇智造</t>
        </is>
      </c>
      <c r="D57" s="31" t="n">
        <v>46022</v>
      </c>
      <c r="E57" t="inlineStr">
        <is>
          <t>CNY</t>
        </is>
      </c>
      <c r="F57" t="inlineStr">
        <is>
          <t>CNY</t>
        </is>
      </c>
      <c r="G57" t="n">
        <v>240105474.07</v>
      </c>
      <c r="H57" t="n">
        <v>450546942.71</v>
      </c>
      <c r="I57" t="n">
        <v>338612160.33</v>
      </c>
      <c r="J57" t="n">
        <v>196292813.1500193</v>
      </c>
      <c r="K57" t="n">
        <v>362297162.0399309</v>
      </c>
      <c r="L57" t="n">
        <v>236770037.580118</v>
      </c>
      <c r="M57" t="n">
        <v>-47498638.79</v>
      </c>
      <c r="N57" t="n">
        <v>22971585.46</v>
      </c>
      <c r="O57" t="n">
        <v>44756613.27</v>
      </c>
      <c r="P57" t="n">
        <v>34957320.78</v>
      </c>
      <c r="Q57" t="n">
        <v>6457716.3</v>
      </c>
      <c r="R57" t="n">
        <v>-12362845.64</v>
      </c>
      <c r="S57" t="n">
        <v>894943243</v>
      </c>
      <c r="T57" s="31" t="n">
        <v>44921</v>
      </c>
      <c r="U57" t="n">
        <v>7.93</v>
      </c>
      <c r="V57" t="n">
        <v>29280000</v>
      </c>
      <c r="W57" t="n">
        <v>232190400</v>
      </c>
      <c r="X57" t="n">
        <v>5.79</v>
      </c>
      <c r="Y57" t="n">
        <v>0</v>
      </c>
      <c r="Z57" t="n">
        <v>0</v>
      </c>
    </row>
    <row r="58">
      <c r="A58" t="inlineStr">
        <is>
          <t>A股</t>
        </is>
      </c>
      <c r="B58" t="inlineStr">
        <is>
          <t>920779</t>
        </is>
      </c>
      <c r="C58" t="inlineStr">
        <is>
          <t>武汉蓝电</t>
        </is>
      </c>
      <c r="D58" s="31" t="n">
        <v>46022</v>
      </c>
      <c r="E58" t="inlineStr">
        <is>
          <t>CNY</t>
        </is>
      </c>
      <c r="F58" t="inlineStr">
        <is>
          <t>CNY</t>
        </is>
      </c>
      <c r="G58" t="n">
        <v>167901805.58</v>
      </c>
      <c r="H58" t="n">
        <v>175365684.96</v>
      </c>
      <c r="I58" t="n">
        <v>167017819.41</v>
      </c>
      <c r="J58" t="n">
        <v>69164371.77007122</v>
      </c>
      <c r="K58" t="n">
        <v>70703738.93008077</v>
      </c>
      <c r="L58" t="n">
        <v>60399770.73993259</v>
      </c>
      <c r="M58" t="n">
        <v>62805847.96</v>
      </c>
      <c r="N58" t="n">
        <v>73597778.81999999</v>
      </c>
      <c r="O58" t="n">
        <v>70638799.69</v>
      </c>
      <c r="P58" t="n">
        <v>63618598.93</v>
      </c>
      <c r="Q58" t="n">
        <v>75614172.26000001</v>
      </c>
      <c r="R58" t="n">
        <v>78601002.33</v>
      </c>
      <c r="S58" t="n">
        <v>1973516468</v>
      </c>
      <c r="T58" s="31" t="n">
        <v>45078</v>
      </c>
      <c r="U58" t="n">
        <v>26.6</v>
      </c>
      <c r="V58" t="n">
        <v>10700000</v>
      </c>
      <c r="W58" t="n">
        <v>284620000</v>
      </c>
      <c r="X58" t="n">
        <v>24.65</v>
      </c>
      <c r="Y58" t="n">
        <v>0</v>
      </c>
      <c r="Z58" t="n">
        <v>0</v>
      </c>
    </row>
    <row r="59">
      <c r="A59" t="inlineStr">
        <is>
          <t>A股</t>
        </is>
      </c>
      <c r="B59" t="inlineStr">
        <is>
          <t>920770</t>
        </is>
      </c>
      <c r="C59" t="inlineStr">
        <is>
          <t>艾能聚</t>
        </is>
      </c>
      <c r="D59" s="31" t="n">
        <v>46022</v>
      </c>
      <c r="E59" t="inlineStr">
        <is>
          <t>CNY</t>
        </is>
      </c>
      <c r="F59" t="inlineStr">
        <is>
          <t>CNY</t>
        </is>
      </c>
      <c r="G59" t="n">
        <v>182528141.53</v>
      </c>
      <c r="H59" t="n">
        <v>154544869.75</v>
      </c>
      <c r="I59" t="n">
        <v>432833982.12</v>
      </c>
      <c r="J59" t="n">
        <v>85473168.40991297</v>
      </c>
      <c r="K59" t="n">
        <v>74787184.83993953</v>
      </c>
      <c r="L59" t="n">
        <v>341525242.8099529</v>
      </c>
      <c r="M59" t="n">
        <v>45195937.88</v>
      </c>
      <c r="N59" t="n">
        <v>35230316.73</v>
      </c>
      <c r="O59" t="n">
        <v>61818080.38</v>
      </c>
      <c r="P59" t="n">
        <v>53820783.15</v>
      </c>
      <c r="Q59" t="n">
        <v>57024047.94</v>
      </c>
      <c r="R59" t="n">
        <v>70040481.97</v>
      </c>
      <c r="S59" t="n">
        <v>1301321750</v>
      </c>
      <c r="T59" s="31" t="n">
        <v>44985</v>
      </c>
      <c r="U59" t="n">
        <v>5.98</v>
      </c>
      <c r="V59" t="n">
        <v>20000000</v>
      </c>
      <c r="W59" t="n">
        <v>119600000</v>
      </c>
      <c r="X59" t="n">
        <v>10</v>
      </c>
      <c r="Y59" t="n">
        <v>0</v>
      </c>
      <c r="Z59" t="n">
        <v>0</v>
      </c>
    </row>
    <row r="60">
      <c r="A60" t="inlineStr">
        <is>
          <t>A股</t>
        </is>
      </c>
      <c r="B60" t="inlineStr">
        <is>
          <t>920768</t>
        </is>
      </c>
      <c r="C60" t="inlineStr">
        <is>
          <t>拾比佰</t>
        </is>
      </c>
      <c r="D60" s="31" t="n">
        <v>46022</v>
      </c>
      <c r="E60" t="inlineStr">
        <is>
          <t>CNY</t>
        </is>
      </c>
      <c r="F60" t="inlineStr">
        <is>
          <t>CNY</t>
        </is>
      </c>
      <c r="G60" t="n">
        <v>1825720059.91</v>
      </c>
      <c r="H60" t="n">
        <v>1627042617.95</v>
      </c>
      <c r="I60" t="n">
        <v>1012410136.93</v>
      </c>
      <c r="J60" t="n">
        <v>1634719838.70036</v>
      </c>
      <c r="K60" t="n">
        <v>1515361092.570781</v>
      </c>
      <c r="L60" t="n">
        <v>930331821.2097359</v>
      </c>
      <c r="M60" t="n">
        <v>54014281.33</v>
      </c>
      <c r="N60" t="n">
        <v>-3675045.78</v>
      </c>
      <c r="O60" t="n">
        <v>13006667.82</v>
      </c>
      <c r="P60" t="n">
        <v>95935017.06999999</v>
      </c>
      <c r="Q60" t="n">
        <v>-13178267.38</v>
      </c>
      <c r="R60" t="n">
        <v>55729495.34</v>
      </c>
      <c r="S60" t="n">
        <v>1118577600</v>
      </c>
      <c r="T60" s="31" t="n">
        <v>44375</v>
      </c>
      <c r="U60" t="n">
        <v>7</v>
      </c>
      <c r="V60" t="n">
        <v>34782700</v>
      </c>
      <c r="W60" t="n">
        <v>243478900</v>
      </c>
      <c r="X60" t="n">
        <v>7.2</v>
      </c>
      <c r="Y60" t="n">
        <v>0</v>
      </c>
      <c r="Z60" t="n">
        <v>0</v>
      </c>
    </row>
    <row r="61">
      <c r="A61" t="inlineStr">
        <is>
          <t>A股</t>
        </is>
      </c>
      <c r="B61" t="inlineStr">
        <is>
          <t>920765</t>
        </is>
      </c>
      <c r="C61" t="inlineStr">
        <is>
          <t>美之高</t>
        </is>
      </c>
      <c r="D61" s="31" t="n">
        <v>46022</v>
      </c>
      <c r="E61" t="inlineStr">
        <is>
          <t>CNY</t>
        </is>
      </c>
      <c r="F61" t="inlineStr">
        <is>
          <t>CNY</t>
        </is>
      </c>
      <c r="G61" t="n">
        <v>523109189.87</v>
      </c>
      <c r="H61" t="n">
        <v>542251121.62</v>
      </c>
      <c r="I61" t="n">
        <v>504114876.6</v>
      </c>
      <c r="J61" t="n">
        <v>384501378.850148</v>
      </c>
      <c r="K61" t="n">
        <v>410826659.359996</v>
      </c>
      <c r="L61" t="n">
        <v>397828312.6600783</v>
      </c>
      <c r="M61" t="n">
        <v>-7503761.37</v>
      </c>
      <c r="N61" t="n">
        <v>19177557.38</v>
      </c>
      <c r="O61" t="n">
        <v>25981392.67</v>
      </c>
      <c r="P61" t="n">
        <v>-9723047.02</v>
      </c>
      <c r="Q61" t="n">
        <v>-34687463.72</v>
      </c>
      <c r="R61" t="n">
        <v>33964176.35</v>
      </c>
      <c r="S61" t="n">
        <v>1249910707</v>
      </c>
      <c r="T61" s="31" t="n">
        <v>44382</v>
      </c>
      <c r="U61" t="n">
        <v>8.699999999999999</v>
      </c>
      <c r="V61" t="n">
        <v>13913044</v>
      </c>
      <c r="W61" t="n">
        <v>121043482.8</v>
      </c>
      <c r="X61" t="n">
        <v>14.38</v>
      </c>
      <c r="Y61" t="n">
        <v>0</v>
      </c>
      <c r="Z61" t="n">
        <v>0</v>
      </c>
    </row>
    <row r="62">
      <c r="A62" t="inlineStr">
        <is>
          <t>A股</t>
        </is>
      </c>
      <c r="B62" t="inlineStr">
        <is>
          <t>920753</t>
        </is>
      </c>
      <c r="C62" t="inlineStr">
        <is>
          <t>天纺标</t>
        </is>
      </c>
      <c r="D62" s="31" t="n">
        <v>46022</v>
      </c>
      <c r="E62" t="inlineStr">
        <is>
          <t>CNY</t>
        </is>
      </c>
      <c r="F62" t="inlineStr">
        <is>
          <t>CNY</t>
        </is>
      </c>
      <c r="G62" t="n">
        <v>240401040.24</v>
      </c>
      <c r="H62" t="n">
        <v>217410317.28</v>
      </c>
      <c r="I62" t="n">
        <v>142633060.05</v>
      </c>
      <c r="J62" t="n">
        <v>120423447.0699682</v>
      </c>
      <c r="K62" t="n">
        <v>112028360.3301008</v>
      </c>
      <c r="L62" t="n">
        <v>65640957.60004975</v>
      </c>
      <c r="M62" t="n">
        <v>32736929.95</v>
      </c>
      <c r="N62" t="n">
        <v>28745445.31</v>
      </c>
      <c r="O62" t="n">
        <v>33030410.94</v>
      </c>
      <c r="P62" t="n">
        <v>70508303.23</v>
      </c>
      <c r="Q62" t="n">
        <v>49978275.32</v>
      </c>
      <c r="R62" t="n">
        <v>44682941.43</v>
      </c>
      <c r="S62" t="n">
        <v>1240602568</v>
      </c>
      <c r="T62" s="31" t="n">
        <v>44865</v>
      </c>
      <c r="U62" t="n">
        <v>10</v>
      </c>
      <c r="V62" t="n">
        <v>13000000</v>
      </c>
      <c r="W62" t="n">
        <v>130000000</v>
      </c>
      <c r="X62" t="n">
        <v>15.24</v>
      </c>
      <c r="Y62" t="n">
        <v>0</v>
      </c>
      <c r="Z62" t="n">
        <v>0</v>
      </c>
    </row>
    <row r="63">
      <c r="A63" t="inlineStr">
        <is>
          <t>A股</t>
        </is>
      </c>
      <c r="B63" t="inlineStr">
        <is>
          <t>920751</t>
        </is>
      </c>
      <c r="C63" t="inlineStr">
        <is>
          <t>惠同新材</t>
        </is>
      </c>
      <c r="D63" s="31" t="n">
        <v>46022</v>
      </c>
      <c r="E63" t="inlineStr">
        <is>
          <t>CNY</t>
        </is>
      </c>
      <c r="F63" t="inlineStr">
        <is>
          <t>CNY</t>
        </is>
      </c>
      <c r="G63" t="n">
        <v>230345769.23</v>
      </c>
      <c r="H63" t="n">
        <v>215215119.81</v>
      </c>
      <c r="I63" t="n">
        <v>186609668.89</v>
      </c>
      <c r="J63" t="n">
        <v>137785754.0199685</v>
      </c>
      <c r="K63" t="n">
        <v>133636898.5900054</v>
      </c>
      <c r="L63" t="n">
        <v>117495251.5700743</v>
      </c>
      <c r="M63" t="n">
        <v>46449753.33</v>
      </c>
      <c r="N63" t="n">
        <v>39603293.26</v>
      </c>
      <c r="O63" t="n">
        <v>33351381</v>
      </c>
      <c r="P63" t="n">
        <v>53509645.76</v>
      </c>
      <c r="Q63" t="n">
        <v>49084197.57</v>
      </c>
      <c r="R63" t="n">
        <v>35068393.71</v>
      </c>
      <c r="S63" t="n">
        <v>1390215600</v>
      </c>
      <c r="T63" s="31" t="n">
        <v>45124</v>
      </c>
      <c r="U63" t="n">
        <v>5.8</v>
      </c>
      <c r="V63" t="n">
        <v>18869566</v>
      </c>
      <c r="W63" t="n">
        <v>109443482.8</v>
      </c>
      <c r="X63" t="n">
        <v>16.02</v>
      </c>
      <c r="Y63" t="n">
        <v>0</v>
      </c>
      <c r="Z63" t="n">
        <v>0</v>
      </c>
    </row>
    <row r="64">
      <c r="A64" t="inlineStr">
        <is>
          <t>A股</t>
        </is>
      </c>
      <c r="B64" t="inlineStr">
        <is>
          <t>920748</t>
        </is>
      </c>
      <c r="C64" t="inlineStr">
        <is>
          <t>路桥信息</t>
        </is>
      </c>
      <c r="D64" s="31" t="n">
        <v>46022</v>
      </c>
      <c r="E64" t="inlineStr">
        <is>
          <t>CNY</t>
        </is>
      </c>
      <c r="F64" t="inlineStr">
        <is>
          <t>CNY</t>
        </is>
      </c>
      <c r="G64" t="n">
        <v>88973514.73999999</v>
      </c>
      <c r="H64" t="n">
        <v>214688902.89</v>
      </c>
      <c r="I64" t="n">
        <v>286234371.66</v>
      </c>
      <c r="J64" t="n">
        <v>79096763.10001294</v>
      </c>
      <c r="K64" t="n">
        <v>139876959.7599615</v>
      </c>
      <c r="L64" t="n">
        <v>180462411.3999756</v>
      </c>
      <c r="M64" t="n">
        <v>-68524863.27</v>
      </c>
      <c r="N64" t="n">
        <v>3721515.85</v>
      </c>
      <c r="O64" t="n">
        <v>36660640.02</v>
      </c>
      <c r="P64" t="n">
        <v>-28122422.54</v>
      </c>
      <c r="Q64" t="n">
        <v>6815132.09</v>
      </c>
      <c r="R64" t="n">
        <v>13426860.72</v>
      </c>
      <c r="S64" t="n">
        <v>1936150200</v>
      </c>
      <c r="T64" s="31" t="n">
        <v>45154</v>
      </c>
      <c r="U64" t="n">
        <v>7</v>
      </c>
      <c r="V64" t="n">
        <v>13600000</v>
      </c>
      <c r="W64" t="n">
        <v>95200000</v>
      </c>
      <c r="X64" t="n">
        <v>25.23</v>
      </c>
      <c r="Y64" t="n">
        <v>0</v>
      </c>
      <c r="Z64" t="n">
        <v>0</v>
      </c>
    </row>
    <row r="65">
      <c r="A65" t="inlineStr">
        <is>
          <t>A股</t>
        </is>
      </c>
      <c r="B65" t="inlineStr">
        <is>
          <t>920735</t>
        </is>
      </c>
      <c r="C65" t="inlineStr">
        <is>
          <t>德源药业</t>
        </is>
      </c>
      <c r="D65" s="31" t="n">
        <v>46022</v>
      </c>
      <c r="E65" t="inlineStr">
        <is>
          <t>CNY</t>
        </is>
      </c>
      <c r="F65" t="inlineStr">
        <is>
          <t>CNY</t>
        </is>
      </c>
      <c r="G65" t="n">
        <v>1057759831.41</v>
      </c>
      <c r="H65" t="n">
        <v>868464593.5599999</v>
      </c>
      <c r="I65" t="n">
        <v>635047016.37</v>
      </c>
      <c r="J65" t="n">
        <v>168420428.6897678</v>
      </c>
      <c r="K65" t="n">
        <v>134078358.9196382</v>
      </c>
      <c r="L65" t="n">
        <v>126538292.6497873</v>
      </c>
      <c r="M65" t="n">
        <v>236929075.58</v>
      </c>
      <c r="N65" t="n">
        <v>176983423.5</v>
      </c>
      <c r="O65" t="n">
        <v>120592817.34</v>
      </c>
      <c r="P65" t="n">
        <v>156667083.89</v>
      </c>
      <c r="Q65" t="n">
        <v>116322020.97</v>
      </c>
      <c r="R65" t="n">
        <v>133672877.06</v>
      </c>
      <c r="S65" t="n">
        <v>3445570626</v>
      </c>
      <c r="T65" s="31" t="n">
        <v>44246</v>
      </c>
      <c r="U65" t="n">
        <v>18.3</v>
      </c>
      <c r="V65" t="n">
        <v>15197000</v>
      </c>
      <c r="W65" t="n">
        <v>278105100</v>
      </c>
      <c r="X65" t="n">
        <v>26.7</v>
      </c>
      <c r="Y65" t="n">
        <v>0</v>
      </c>
      <c r="Z65" t="n">
        <v>0</v>
      </c>
    </row>
    <row r="66">
      <c r="A66" t="inlineStr">
        <is>
          <t>A股</t>
        </is>
      </c>
      <c r="B66" t="inlineStr">
        <is>
          <t>920729</t>
        </is>
      </c>
      <c r="C66" t="inlineStr">
        <is>
          <t>永顺生物</t>
        </is>
      </c>
      <c r="D66" s="31" t="n">
        <v>46022</v>
      </c>
      <c r="E66" t="inlineStr">
        <is>
          <t>CNY</t>
        </is>
      </c>
      <c r="F66" t="inlineStr">
        <is>
          <t>CNY</t>
        </is>
      </c>
      <c r="G66" t="n">
        <v>238174536.39</v>
      </c>
      <c r="H66" t="n">
        <v>268985086.87</v>
      </c>
      <c r="I66" t="n">
        <v>348717555.84</v>
      </c>
      <c r="J66" t="n">
        <v>101297830.8000112</v>
      </c>
      <c r="K66" t="n">
        <v>112624020.3699343</v>
      </c>
      <c r="L66" t="n">
        <v>130660644.6700685</v>
      </c>
      <c r="M66" t="n">
        <v>41257977.62</v>
      </c>
      <c r="N66" t="n">
        <v>40143422.44</v>
      </c>
      <c r="O66" t="n">
        <v>86122768.23</v>
      </c>
      <c r="P66" t="n">
        <v>100032695.41</v>
      </c>
      <c r="Q66" t="n">
        <v>72536641.95999999</v>
      </c>
      <c r="R66" t="n">
        <v>69106539.37</v>
      </c>
      <c r="S66" t="n">
        <v>1913100000</v>
      </c>
      <c r="T66" s="31" t="n">
        <v>44039</v>
      </c>
      <c r="U66" t="n">
        <v>29.88</v>
      </c>
      <c r="V66" t="n">
        <v>1200000</v>
      </c>
      <c r="W66" t="n">
        <v>35856000</v>
      </c>
      <c r="X66" t="n">
        <v>7</v>
      </c>
      <c r="Y66" t="n">
        <v>0</v>
      </c>
      <c r="Z66" t="n">
        <v>0</v>
      </c>
    </row>
    <row r="67">
      <c r="A67" t="inlineStr">
        <is>
          <t>A股</t>
        </is>
      </c>
      <c r="B67" t="inlineStr">
        <is>
          <t>920726</t>
        </is>
      </c>
      <c r="C67" t="inlineStr">
        <is>
          <t>朱老六</t>
        </is>
      </c>
      <c r="D67" s="31" t="n">
        <v>46022</v>
      </c>
      <c r="E67" t="inlineStr">
        <is>
          <t>CNY</t>
        </is>
      </c>
      <c r="F67" t="inlineStr">
        <is>
          <t>CNY</t>
        </is>
      </c>
      <c r="G67" t="n">
        <v>215786186.85</v>
      </c>
      <c r="H67" t="n">
        <v>238070384.3</v>
      </c>
      <c r="I67" t="n">
        <v>304451592.16</v>
      </c>
      <c r="J67" t="n">
        <v>169352887.3500229</v>
      </c>
      <c r="K67" t="n">
        <v>185116974.679931</v>
      </c>
      <c r="L67" t="n">
        <v>206132123.0301424</v>
      </c>
      <c r="M67" t="n">
        <v>19751381.68</v>
      </c>
      <c r="N67" t="n">
        <v>18395168.74</v>
      </c>
      <c r="O67" t="n">
        <v>64038583.73</v>
      </c>
      <c r="P67" t="n">
        <v>76564714.16</v>
      </c>
      <c r="Q67" t="n">
        <v>84097076.66</v>
      </c>
      <c r="R67" t="n">
        <v>92207509.86</v>
      </c>
      <c r="S67" t="n">
        <v>1766846400</v>
      </c>
      <c r="T67" s="31" t="n">
        <v>44343</v>
      </c>
      <c r="U67" t="n">
        <v>9</v>
      </c>
      <c r="V67" t="n">
        <v>23450000</v>
      </c>
      <c r="W67" t="n">
        <v>211050000</v>
      </c>
      <c r="X67" t="n">
        <v>17.44</v>
      </c>
      <c r="Y67" t="n">
        <v>0</v>
      </c>
      <c r="Z67" t="n">
        <v>0</v>
      </c>
    </row>
    <row r="68">
      <c r="A68" t="inlineStr">
        <is>
          <t>A股</t>
        </is>
      </c>
      <c r="B68" t="inlineStr">
        <is>
          <t>920725</t>
        </is>
      </c>
      <c r="C68" t="inlineStr">
        <is>
          <t>惠丰钻石</t>
        </is>
      </c>
      <c r="D68" s="31" t="n">
        <v>46022</v>
      </c>
      <c r="E68" t="inlineStr">
        <is>
          <t>CNY</t>
        </is>
      </c>
      <c r="F68" t="inlineStr">
        <is>
          <t>CNY</t>
        </is>
      </c>
      <c r="G68" t="n">
        <v>169549380.35</v>
      </c>
      <c r="H68" t="n">
        <v>216294525.45</v>
      </c>
      <c r="I68" t="n">
        <v>431442552.86</v>
      </c>
      <c r="J68" t="n">
        <v>130632700.7099808</v>
      </c>
      <c r="K68" t="n">
        <v>170526147.6200294</v>
      </c>
      <c r="L68" t="n">
        <v>304174325.0098008</v>
      </c>
      <c r="M68" t="n">
        <v>-18749002.46</v>
      </c>
      <c r="N68" t="n">
        <v>3939331.08</v>
      </c>
      <c r="O68" t="n">
        <v>73531271.34</v>
      </c>
      <c r="P68" t="n">
        <v>45110130.75</v>
      </c>
      <c r="Q68" t="n">
        <v>30525758.35</v>
      </c>
      <c r="R68" t="n">
        <v>-43020112.13</v>
      </c>
      <c r="S68" t="n">
        <v>6662162250</v>
      </c>
      <c r="T68" s="31" t="n">
        <v>44760</v>
      </c>
      <c r="U68" t="n">
        <v>28.18</v>
      </c>
      <c r="V68" t="n">
        <v>11000000</v>
      </c>
      <c r="W68" t="n">
        <v>309980000</v>
      </c>
      <c r="X68" t="n">
        <v>72.98999999999999</v>
      </c>
      <c r="Y68" t="n">
        <v>0</v>
      </c>
      <c r="Z68" t="n">
        <v>0</v>
      </c>
    </row>
    <row r="69">
      <c r="A69" t="inlineStr">
        <is>
          <t>A股</t>
        </is>
      </c>
      <c r="B69" t="inlineStr">
        <is>
          <t>920720</t>
        </is>
      </c>
      <c r="C69" t="inlineStr">
        <is>
          <t>吉冈精密</t>
        </is>
      </c>
      <c r="D69" s="31" t="n">
        <v>46022</v>
      </c>
      <c r="E69" t="inlineStr">
        <is>
          <t>CNY</t>
        </is>
      </c>
      <c r="F69" t="inlineStr">
        <is>
          <t>CNY</t>
        </is>
      </c>
      <c r="G69" t="n">
        <v>719359347.64</v>
      </c>
      <c r="H69" t="n">
        <v>576789617.25</v>
      </c>
      <c r="I69" t="n">
        <v>400250272.34</v>
      </c>
      <c r="J69" t="n">
        <v>571075696.5097585</v>
      </c>
      <c r="K69" t="n">
        <v>457929111.6501582</v>
      </c>
      <c r="L69" t="n">
        <v>302902584.4598069</v>
      </c>
      <c r="M69" t="n">
        <v>63023841.58</v>
      </c>
      <c r="N69" t="n">
        <v>56747955.03</v>
      </c>
      <c r="O69" t="n">
        <v>60796444.75</v>
      </c>
      <c r="P69" t="n">
        <v>88011702.23</v>
      </c>
      <c r="Q69" t="n">
        <v>26659494.1</v>
      </c>
      <c r="R69" t="n">
        <v>41697413.12</v>
      </c>
      <c r="S69" t="n">
        <v>2482031856</v>
      </c>
      <c r="T69" s="31" t="n">
        <v>44524</v>
      </c>
      <c r="U69" t="n">
        <v>10.5</v>
      </c>
      <c r="V69" t="n">
        <v>21030000</v>
      </c>
      <c r="W69" t="n">
        <v>220815000</v>
      </c>
      <c r="X69" t="n">
        <v>9.369999999999999</v>
      </c>
      <c r="Y69" t="n">
        <v>0</v>
      </c>
      <c r="Z69" t="n">
        <v>0</v>
      </c>
    </row>
    <row r="70">
      <c r="A70" t="inlineStr">
        <is>
          <t>A股</t>
        </is>
      </c>
      <c r="B70" t="inlineStr">
        <is>
          <t>920719</t>
        </is>
      </c>
      <c r="C70" t="inlineStr">
        <is>
          <t>宁新新材</t>
        </is>
      </c>
      <c r="D70" s="31" t="n">
        <v>46022</v>
      </c>
      <c r="E70" t="inlineStr">
        <is>
          <t>CNY</t>
        </is>
      </c>
      <c r="F70" t="inlineStr">
        <is>
          <t>CNY</t>
        </is>
      </c>
      <c r="G70" t="n">
        <v>203761124.7</v>
      </c>
      <c r="H70" t="n">
        <v>371535661.95</v>
      </c>
      <c r="I70" t="n">
        <v>556284097.34</v>
      </c>
      <c r="J70" t="n">
        <v>272625732.5499459</v>
      </c>
      <c r="K70" t="n">
        <v>345046500.3099399</v>
      </c>
      <c r="L70" t="n">
        <v>376452984.8898867</v>
      </c>
      <c r="M70" t="n">
        <v>-500376630.46</v>
      </c>
      <c r="N70" t="n">
        <v>-259425392.86</v>
      </c>
      <c r="O70" t="n">
        <v>91668390.05</v>
      </c>
      <c r="P70" t="n">
        <v>-5028458.82</v>
      </c>
      <c r="Q70" t="n">
        <v>-10331465.98</v>
      </c>
      <c r="R70" t="n">
        <v>1970841.21</v>
      </c>
      <c r="S70" t="n">
        <v>684236490</v>
      </c>
      <c r="T70" s="31" t="n">
        <v>45072</v>
      </c>
      <c r="U70" t="n">
        <v>14.68</v>
      </c>
      <c r="V70" t="n">
        <v>23273400</v>
      </c>
      <c r="W70" t="n">
        <v>341653512</v>
      </c>
      <c r="X70" t="n">
        <v>7.35</v>
      </c>
      <c r="Y70" t="n">
        <v>0</v>
      </c>
      <c r="Z70" t="n">
        <v>0</v>
      </c>
    </row>
    <row r="71">
      <c r="A71" t="inlineStr">
        <is>
          <t>A股</t>
        </is>
      </c>
      <c r="B71" t="inlineStr">
        <is>
          <t>920718</t>
        </is>
      </c>
      <c r="C71" t="inlineStr">
        <is>
          <t>合肥高科</t>
        </is>
      </c>
      <c r="D71" s="31" t="n">
        <v>46022</v>
      </c>
      <c r="E71" t="inlineStr">
        <is>
          <t>CNY</t>
        </is>
      </c>
      <c r="F71" t="inlineStr">
        <is>
          <t>CNY</t>
        </is>
      </c>
      <c r="G71" t="n">
        <v>1143274338.6</v>
      </c>
      <c r="H71" t="n">
        <v>1197633753.78</v>
      </c>
      <c r="I71" t="n">
        <v>919010465.05</v>
      </c>
      <c r="J71" t="n">
        <v>1028147380.280222</v>
      </c>
      <c r="K71" t="n">
        <v>1048315437.749994</v>
      </c>
      <c r="L71" t="n">
        <v>812310257.6003462</v>
      </c>
      <c r="M71" t="n">
        <v>39012945.8</v>
      </c>
      <c r="N71" t="n">
        <v>76244332.27</v>
      </c>
      <c r="O71" t="n">
        <v>45047738.3</v>
      </c>
      <c r="P71" t="n">
        <v>100698972.1</v>
      </c>
      <c r="Q71" t="n">
        <v>83871442.56999999</v>
      </c>
      <c r="R71" t="n">
        <v>-17397651.37</v>
      </c>
      <c r="S71" t="n">
        <v>865866985</v>
      </c>
      <c r="T71" s="31" t="n">
        <v>44917</v>
      </c>
      <c r="U71" t="n">
        <v>6.5</v>
      </c>
      <c r="V71" t="n">
        <v>22666700</v>
      </c>
      <c r="W71" t="n">
        <v>147333550</v>
      </c>
      <c r="X71" t="n">
        <v>9.550000000000001</v>
      </c>
      <c r="Y71" t="n">
        <v>0</v>
      </c>
      <c r="Z71" t="n">
        <v>0</v>
      </c>
    </row>
    <row r="72">
      <c r="A72" t="inlineStr">
        <is>
          <t>A股</t>
        </is>
      </c>
      <c r="B72" t="inlineStr">
        <is>
          <t>920717</t>
        </is>
      </c>
      <c r="C72" t="inlineStr">
        <is>
          <t>瑞星股份</t>
        </is>
      </c>
      <c r="D72" s="31" t="n">
        <v>46022</v>
      </c>
      <c r="E72" t="inlineStr">
        <is>
          <t>CNY</t>
        </is>
      </c>
      <c r="F72" t="inlineStr">
        <is>
          <t>CNY</t>
        </is>
      </c>
      <c r="G72" t="n">
        <v>148344167.66</v>
      </c>
      <c r="H72" t="n">
        <v>176050610.71</v>
      </c>
      <c r="I72" t="n">
        <v>203271401.83</v>
      </c>
      <c r="J72" t="n">
        <v>103303680.2999703</v>
      </c>
      <c r="K72" t="n">
        <v>107929116.9300302</v>
      </c>
      <c r="L72" t="n">
        <v>111914929.5100822</v>
      </c>
      <c r="M72" t="n">
        <v>-13859448.15</v>
      </c>
      <c r="N72" t="n">
        <v>16019684.76</v>
      </c>
      <c r="O72" t="n">
        <v>37602209.59</v>
      </c>
      <c r="P72" t="n">
        <v>31779228.28</v>
      </c>
      <c r="Q72" t="n">
        <v>13963556.77</v>
      </c>
      <c r="R72" t="n">
        <v>50111222.73</v>
      </c>
      <c r="S72" t="n">
        <v>815374800</v>
      </c>
      <c r="T72" s="31" t="n">
        <v>45110</v>
      </c>
      <c r="U72" t="n">
        <v>5.07</v>
      </c>
      <c r="V72" t="n">
        <v>28680000</v>
      </c>
      <c r="W72" t="n">
        <v>145407600</v>
      </c>
      <c r="X72" t="n">
        <v>7.11</v>
      </c>
      <c r="Y72" t="n">
        <v>0</v>
      </c>
      <c r="Z72" t="n">
        <v>0</v>
      </c>
    </row>
    <row r="73">
      <c r="A73" t="inlineStr">
        <is>
          <t>A股</t>
        </is>
      </c>
      <c r="B73" t="inlineStr">
        <is>
          <t>920706</t>
        </is>
      </c>
      <c r="C73" t="inlineStr">
        <is>
          <t>铁拓机械</t>
        </is>
      </c>
      <c r="D73" s="31" t="n">
        <v>46022</v>
      </c>
      <c r="E73" t="inlineStr">
        <is>
          <t>CNY</t>
        </is>
      </c>
      <c r="F73" t="inlineStr">
        <is>
          <t>CNY</t>
        </is>
      </c>
      <c r="G73" t="n">
        <v>375444373.99</v>
      </c>
      <c r="H73" t="n">
        <v>455694499.25</v>
      </c>
      <c r="I73" t="n">
        <v>359417259.86</v>
      </c>
      <c r="J73" t="n">
        <v>258459749.4898521</v>
      </c>
      <c r="K73" t="n">
        <v>317526267.1600601</v>
      </c>
      <c r="L73" t="n">
        <v>255229759.7800404</v>
      </c>
      <c r="M73" t="n">
        <v>48182747.8</v>
      </c>
      <c r="N73" t="n">
        <v>51171454.61</v>
      </c>
      <c r="O73" t="n">
        <v>41849867.28</v>
      </c>
      <c r="P73" t="n">
        <v>79811033.8</v>
      </c>
      <c r="Q73" t="n">
        <v>13264271.14</v>
      </c>
      <c r="R73" t="n">
        <v>92282728.09</v>
      </c>
      <c r="S73" t="n">
        <v>1348124741</v>
      </c>
      <c r="T73" s="31" t="n">
        <v>45359</v>
      </c>
      <c r="U73" t="n">
        <v>6.69</v>
      </c>
      <c r="V73" t="n">
        <v>22266300</v>
      </c>
      <c r="W73" t="n">
        <v>148961547</v>
      </c>
      <c r="X73" t="n">
        <v>14.25</v>
      </c>
      <c r="Y73" t="n">
        <v>0</v>
      </c>
      <c r="Z73" t="n">
        <v>0</v>
      </c>
    </row>
    <row r="74">
      <c r="A74" t="inlineStr">
        <is>
          <t>A股</t>
        </is>
      </c>
      <c r="B74" t="inlineStr">
        <is>
          <t>920703</t>
        </is>
      </c>
      <c r="C74" t="inlineStr">
        <is>
          <t>广厦环能</t>
        </is>
      </c>
      <c r="D74" s="31" t="n">
        <v>46022</v>
      </c>
      <c r="E74" t="inlineStr">
        <is>
          <t>CNY</t>
        </is>
      </c>
      <c r="F74" t="inlineStr">
        <is>
          <t>CNY</t>
        </is>
      </c>
      <c r="G74" t="n">
        <v>368361306.7</v>
      </c>
      <c r="H74" t="n">
        <v>540975730.52</v>
      </c>
      <c r="I74" t="n">
        <v>476093925.06</v>
      </c>
      <c r="J74" t="n">
        <v>211579654.0000098</v>
      </c>
      <c r="K74" t="n">
        <v>303744692.9801905</v>
      </c>
      <c r="L74" t="n">
        <v>275302374.1401021</v>
      </c>
      <c r="M74" t="n">
        <v>90620264.7</v>
      </c>
      <c r="N74" t="n">
        <v>154169365.78</v>
      </c>
      <c r="O74" t="n">
        <v>131260358.47</v>
      </c>
      <c r="P74" t="n">
        <v>94077560.45</v>
      </c>
      <c r="Q74" t="n">
        <v>136961173.74</v>
      </c>
      <c r="R74" t="n">
        <v>140791904.52</v>
      </c>
      <c r="S74" t="n">
        <v>1504225520</v>
      </c>
      <c r="T74" s="31" t="n">
        <v>45265</v>
      </c>
      <c r="U74" t="n">
        <v>23.45</v>
      </c>
      <c r="V74" t="n">
        <v>15000000</v>
      </c>
      <c r="W74" t="n">
        <v>351750000</v>
      </c>
      <c r="X74" t="n">
        <v>9.98</v>
      </c>
      <c r="Y74" t="n">
        <v>0</v>
      </c>
      <c r="Z74" t="n">
        <v>0</v>
      </c>
    </row>
    <row r="75">
      <c r="A75" t="inlineStr">
        <is>
          <t>A股</t>
        </is>
      </c>
      <c r="B75" t="inlineStr">
        <is>
          <t>920701</t>
        </is>
      </c>
      <c r="C75" t="inlineStr">
        <is>
          <t>豪声电子</t>
        </is>
      </c>
      <c r="D75" s="31" t="n">
        <v>46022</v>
      </c>
      <c r="E75" t="inlineStr">
        <is>
          <t>CNY</t>
        </is>
      </c>
      <c r="F75" t="inlineStr">
        <is>
          <t>CNY</t>
        </is>
      </c>
      <c r="G75" t="n">
        <v>894869649.76</v>
      </c>
      <c r="H75" t="n">
        <v>799511571.49</v>
      </c>
      <c r="I75" t="n">
        <v>669209468.9299999</v>
      </c>
      <c r="J75" t="n">
        <v>732011788.5196056</v>
      </c>
      <c r="K75" t="n">
        <v>687805160.5496392</v>
      </c>
      <c r="L75" t="n">
        <v>545096562.7097964</v>
      </c>
      <c r="M75" t="n">
        <v>70050550.09999999</v>
      </c>
      <c r="N75" t="n">
        <v>171501831.59</v>
      </c>
      <c r="O75" t="n">
        <v>65371571.96</v>
      </c>
      <c r="P75" t="n">
        <v>104139019.23</v>
      </c>
      <c r="Q75" t="n">
        <v>19924480.07</v>
      </c>
      <c r="R75" t="n">
        <v>163574760.83</v>
      </c>
      <c r="S75" t="n">
        <v>1647772000</v>
      </c>
      <c r="T75" s="31" t="n">
        <v>45126</v>
      </c>
      <c r="U75" t="n">
        <v>8.800000000000001</v>
      </c>
      <c r="V75" t="n">
        <v>24500000</v>
      </c>
      <c r="W75" t="n">
        <v>215600000</v>
      </c>
      <c r="X75" t="n">
        <v>12.01</v>
      </c>
      <c r="Y75" t="n">
        <v>0</v>
      </c>
      <c r="Z75" t="n">
        <v>0</v>
      </c>
    </row>
    <row r="76">
      <c r="A76" t="inlineStr">
        <is>
          <t>A股</t>
        </is>
      </c>
      <c r="B76" t="inlineStr">
        <is>
          <t>920699</t>
        </is>
      </c>
      <c r="C76" t="inlineStr">
        <is>
          <t>海达尔</t>
        </is>
      </c>
      <c r="D76" s="31" t="n">
        <v>46022</v>
      </c>
      <c r="E76" t="inlineStr">
        <is>
          <t>CNY</t>
        </is>
      </c>
      <c r="F76" t="inlineStr">
        <is>
          <t>CNY</t>
        </is>
      </c>
      <c r="G76" t="n">
        <v>370456944.57</v>
      </c>
      <c r="H76" t="n">
        <v>417051985.73</v>
      </c>
      <c r="I76" t="n">
        <v>263734936.44</v>
      </c>
      <c r="J76" t="n">
        <v>261180608.8299657</v>
      </c>
      <c r="K76" t="n">
        <v>292934038.030162</v>
      </c>
      <c r="L76" t="n">
        <v>206113931.6200582</v>
      </c>
      <c r="M76" t="n">
        <v>63410973.5</v>
      </c>
      <c r="N76" t="n">
        <v>81392709.59</v>
      </c>
      <c r="O76" t="n">
        <v>30137541.19</v>
      </c>
      <c r="P76" t="n">
        <v>74621803.29000001</v>
      </c>
      <c r="Q76" t="n">
        <v>56952887.89</v>
      </c>
      <c r="R76" t="n">
        <v>23376028.82</v>
      </c>
      <c r="S76" t="n">
        <v>5094064745</v>
      </c>
      <c r="T76" s="31" t="n">
        <v>45055</v>
      </c>
      <c r="U76" t="n">
        <v>10.25</v>
      </c>
      <c r="V76" t="n">
        <v>11000000</v>
      </c>
      <c r="W76" t="n">
        <v>112750000</v>
      </c>
      <c r="X76" t="n">
        <v>79.75</v>
      </c>
      <c r="Y76" t="n">
        <v>0</v>
      </c>
      <c r="Z76" t="n">
        <v>0</v>
      </c>
    </row>
    <row r="77">
      <c r="A77" t="inlineStr">
        <is>
          <t>A股</t>
        </is>
      </c>
      <c r="B77" t="inlineStr">
        <is>
          <t>920694</t>
        </is>
      </c>
      <c r="C77" t="inlineStr">
        <is>
          <t>中裕科技</t>
        </is>
      </c>
      <c r="D77" s="31" t="n">
        <v>46022</v>
      </c>
      <c r="E77" t="inlineStr">
        <is>
          <t>CNY</t>
        </is>
      </c>
      <c r="F77" t="inlineStr">
        <is>
          <t>CNY</t>
        </is>
      </c>
      <c r="G77" t="n">
        <v>709625816.9299999</v>
      </c>
      <c r="H77" t="n">
        <v>599270895.05</v>
      </c>
      <c r="I77" t="n">
        <v>606739996.78</v>
      </c>
      <c r="J77" t="n">
        <v>365225708.3798577</v>
      </c>
      <c r="K77" t="n">
        <v>306529496.6902962</v>
      </c>
      <c r="L77" t="n">
        <v>345270075.3597699</v>
      </c>
      <c r="M77" t="n">
        <v>89887627.79000001</v>
      </c>
      <c r="N77" t="n">
        <v>104827226.21</v>
      </c>
      <c r="O77" t="n">
        <v>92205249.8</v>
      </c>
      <c r="P77" t="n">
        <v>94564536.09999999</v>
      </c>
      <c r="Q77" t="n">
        <v>58961638.97</v>
      </c>
      <c r="R77" t="n">
        <v>95364249.01000001</v>
      </c>
      <c r="S77" t="n">
        <v>2119932850</v>
      </c>
      <c r="T77" s="31" t="n">
        <v>45040</v>
      </c>
      <c r="U77" t="n">
        <v>12.33</v>
      </c>
      <c r="V77" t="n">
        <v>24100000</v>
      </c>
      <c r="W77" t="n">
        <v>297153000</v>
      </c>
      <c r="X77" t="n">
        <v>16.12</v>
      </c>
      <c r="Y77" t="n">
        <v>0</v>
      </c>
      <c r="Z77" t="n">
        <v>0</v>
      </c>
    </row>
    <row r="78">
      <c r="A78" t="inlineStr">
        <is>
          <t>A股</t>
        </is>
      </c>
      <c r="B78" t="inlineStr">
        <is>
          <t>920693</t>
        </is>
      </c>
      <c r="C78" t="inlineStr">
        <is>
          <t>阿为特</t>
        </is>
      </c>
      <c r="D78" s="31" t="n">
        <v>46022</v>
      </c>
      <c r="E78" t="inlineStr">
        <is>
          <t>CNY</t>
        </is>
      </c>
      <c r="F78" t="inlineStr">
        <is>
          <t>CNY</t>
        </is>
      </c>
      <c r="G78" t="n">
        <v>292344753.74</v>
      </c>
      <c r="H78" t="n">
        <v>246879870.49</v>
      </c>
      <c r="I78" t="n">
        <v>233448483.95</v>
      </c>
      <c r="J78" t="n">
        <v>229924228.3900249</v>
      </c>
      <c r="K78" t="n">
        <v>181788051.8600641</v>
      </c>
      <c r="L78" t="n">
        <v>164274399.0499674</v>
      </c>
      <c r="M78" t="n">
        <v>3726917.09</v>
      </c>
      <c r="N78" t="n">
        <v>17166856.46</v>
      </c>
      <c r="O78" t="n">
        <v>28237060.02</v>
      </c>
      <c r="P78" t="n">
        <v>54062625.91</v>
      </c>
      <c r="Q78" t="n">
        <v>17800858.29</v>
      </c>
      <c r="R78" t="n">
        <v>24098542.5</v>
      </c>
      <c r="S78" t="n">
        <v>1685186000</v>
      </c>
      <c r="T78" s="31" t="n">
        <v>45226</v>
      </c>
      <c r="U78" t="n">
        <v>6.36</v>
      </c>
      <c r="V78" t="n">
        <v>10000000</v>
      </c>
      <c r="W78" t="n">
        <v>63600000</v>
      </c>
      <c r="X78" t="n">
        <v>23.18</v>
      </c>
      <c r="Y78" t="n">
        <v>0</v>
      </c>
      <c r="Z78" t="n">
        <v>0</v>
      </c>
    </row>
    <row r="79">
      <c r="A79" t="inlineStr">
        <is>
          <t>A股</t>
        </is>
      </c>
      <c r="B79" t="inlineStr">
        <is>
          <t>920690</t>
        </is>
      </c>
      <c r="C79" t="inlineStr">
        <is>
          <t>捷众科技</t>
        </is>
      </c>
      <c r="D79" s="31" t="n">
        <v>46022</v>
      </c>
      <c r="E79" t="inlineStr">
        <is>
          <t>CNY</t>
        </is>
      </c>
      <c r="F79" t="inlineStr">
        <is>
          <t>CNY</t>
        </is>
      </c>
      <c r="G79" t="n">
        <v>390578220.65</v>
      </c>
      <c r="H79" t="n">
        <v>285805886.07</v>
      </c>
      <c r="I79" t="n">
        <v>195378670.98</v>
      </c>
      <c r="J79" t="n">
        <v>250897014.4601366</v>
      </c>
      <c r="K79" t="n">
        <v>176028731.2999255</v>
      </c>
      <c r="L79" t="n">
        <v>123960058.5099716</v>
      </c>
      <c r="M79" t="n">
        <v>72083140.81</v>
      </c>
      <c r="N79" t="n">
        <v>62511391.87</v>
      </c>
      <c r="O79" t="n">
        <v>37560203.34</v>
      </c>
      <c r="P79" t="n">
        <v>69884783.04000001</v>
      </c>
      <c r="Q79" t="n">
        <v>42303752.19</v>
      </c>
      <c r="R79" t="n">
        <v>54944082.36</v>
      </c>
      <c r="S79" t="n">
        <v>1379040000</v>
      </c>
      <c r="T79" s="31" t="n">
        <v>45296</v>
      </c>
      <c r="U79" t="n">
        <v>9.34</v>
      </c>
      <c r="V79" t="n">
        <v>12000000</v>
      </c>
      <c r="W79" t="n">
        <v>112080000</v>
      </c>
      <c r="X79" t="n">
        <v>16</v>
      </c>
      <c r="Y79" t="n">
        <v>0</v>
      </c>
      <c r="Z79" t="n">
        <v>0</v>
      </c>
    </row>
    <row r="80">
      <c r="A80" t="inlineStr">
        <is>
          <t>A股</t>
        </is>
      </c>
      <c r="B80" t="inlineStr">
        <is>
          <t>920689</t>
        </is>
      </c>
      <c r="C80" t="inlineStr">
        <is>
          <t>克莱特</t>
        </is>
      </c>
      <c r="D80" s="31" t="n">
        <v>46022</v>
      </c>
      <c r="E80" t="inlineStr">
        <is>
          <t>CNY</t>
        </is>
      </c>
      <c r="F80" t="inlineStr">
        <is>
          <t>CNY</t>
        </is>
      </c>
      <c r="G80" t="n">
        <v>586707595.34</v>
      </c>
      <c r="H80" t="n">
        <v>528730342.1</v>
      </c>
      <c r="I80" t="n">
        <v>421877507.71</v>
      </c>
      <c r="J80" t="n">
        <v>421456438.3600478</v>
      </c>
      <c r="K80" t="n">
        <v>380304153.879966</v>
      </c>
      <c r="L80" t="n">
        <v>298898334.2500008</v>
      </c>
      <c r="M80" t="n">
        <v>55093315.36</v>
      </c>
      <c r="N80" t="n">
        <v>54655421.93</v>
      </c>
      <c r="O80" t="n">
        <v>50250883.16</v>
      </c>
      <c r="P80" t="n">
        <v>54649272.2</v>
      </c>
      <c r="Q80" t="n">
        <v>92924855.63</v>
      </c>
      <c r="R80" t="n">
        <v>61029123.22</v>
      </c>
      <c r="S80" t="n">
        <v>1483414000</v>
      </c>
      <c r="T80" s="31" t="n">
        <v>44641</v>
      </c>
      <c r="U80" t="n">
        <v>10.8</v>
      </c>
      <c r="V80" t="n">
        <v>10000000</v>
      </c>
      <c r="W80" t="n">
        <v>108000000</v>
      </c>
      <c r="X80" t="n">
        <v>20.21</v>
      </c>
      <c r="Y80" t="n">
        <v>0</v>
      </c>
      <c r="Z80" t="n">
        <v>0</v>
      </c>
    </row>
    <row r="81">
      <c r="A81" t="inlineStr">
        <is>
          <t>A股</t>
        </is>
      </c>
      <c r="B81" t="inlineStr">
        <is>
          <t>920685</t>
        </is>
      </c>
      <c r="C81" t="inlineStr">
        <is>
          <t>新芝生物</t>
        </is>
      </c>
      <c r="D81" s="31" t="n">
        <v>46022</v>
      </c>
      <c r="E81" t="inlineStr">
        <is>
          <t>CNY</t>
        </is>
      </c>
      <c r="F81" t="inlineStr">
        <is>
          <t>CNY</t>
        </is>
      </c>
      <c r="G81" t="n">
        <v>169724864.23</v>
      </c>
      <c r="H81" t="n">
        <v>168092009.31</v>
      </c>
      <c r="I81" t="n">
        <v>190228158.94</v>
      </c>
      <c r="J81" t="n">
        <v>62457166.52996408</v>
      </c>
      <c r="K81" t="n">
        <v>64652854.65992094</v>
      </c>
      <c r="L81" t="n">
        <v>71175879.4900323</v>
      </c>
      <c r="M81" t="n">
        <v>35204715.35</v>
      </c>
      <c r="N81" t="n">
        <v>41627687.27</v>
      </c>
      <c r="O81" t="n">
        <v>40080560.14</v>
      </c>
      <c r="P81" t="n">
        <v>61131100.62</v>
      </c>
      <c r="Q81" t="n">
        <v>51004793.12</v>
      </c>
      <c r="R81" t="n">
        <v>69979688.20999999</v>
      </c>
      <c r="S81" t="n">
        <v>1104597408</v>
      </c>
      <c r="T81" s="31" t="n">
        <v>44844</v>
      </c>
      <c r="U81" t="n">
        <v>15</v>
      </c>
      <c r="V81" t="n">
        <v>22190000</v>
      </c>
      <c r="W81" t="n">
        <v>332850000</v>
      </c>
      <c r="X81" t="n">
        <v>12.07</v>
      </c>
      <c r="Y81" t="n">
        <v>0</v>
      </c>
      <c r="Z81" t="n">
        <v>0</v>
      </c>
    </row>
    <row r="82">
      <c r="A82" t="inlineStr">
        <is>
          <t>A股</t>
        </is>
      </c>
      <c r="B82" t="inlineStr">
        <is>
          <t>920682</t>
        </is>
      </c>
      <c r="C82" t="inlineStr">
        <is>
          <t>球冠电缆</t>
        </is>
      </c>
      <c r="D82" s="31" t="n">
        <v>46022</v>
      </c>
      <c r="E82" t="inlineStr">
        <is>
          <t>CNY</t>
        </is>
      </c>
      <c r="F82" t="inlineStr">
        <is>
          <t>CNY</t>
        </is>
      </c>
      <c r="G82" t="n">
        <v>3812462740.78</v>
      </c>
      <c r="H82" t="n">
        <v>3584725310.92</v>
      </c>
      <c r="I82" t="n">
        <v>2656226235.1</v>
      </c>
      <c r="J82" t="n">
        <v>3419854672.700003</v>
      </c>
      <c r="K82" t="n">
        <v>3195367146.760236</v>
      </c>
      <c r="L82" t="n">
        <v>2320984741.071169</v>
      </c>
      <c r="M82" t="n">
        <v>96622462.89</v>
      </c>
      <c r="N82" t="n">
        <v>132916429.19</v>
      </c>
      <c r="O82" t="n">
        <v>108104318.2</v>
      </c>
      <c r="P82" t="n">
        <v>-27784657.94</v>
      </c>
      <c r="Q82" t="n">
        <v>3417897.7</v>
      </c>
      <c r="R82" t="n">
        <v>168591102.68</v>
      </c>
      <c r="S82" t="n">
        <v>2266168320</v>
      </c>
      <c r="T82" s="31" t="n">
        <v>44039</v>
      </c>
      <c r="U82" t="n">
        <v>9.1</v>
      </c>
      <c r="V82" t="n">
        <v>40000000</v>
      </c>
      <c r="W82" t="n">
        <v>364000000</v>
      </c>
      <c r="X82" t="n">
        <v>5.82</v>
      </c>
      <c r="Y82" t="n">
        <v>0</v>
      </c>
      <c r="Z82" t="n">
        <v>0</v>
      </c>
    </row>
    <row r="83">
      <c r="A83" t="inlineStr">
        <is>
          <t>A股</t>
        </is>
      </c>
      <c r="B83" t="inlineStr">
        <is>
          <t>920680</t>
        </is>
      </c>
      <c r="C83" t="inlineStr">
        <is>
          <t>广道退</t>
        </is>
      </c>
      <c r="T83" s="31" t="n">
        <v>44515</v>
      </c>
      <c r="U83" t="n">
        <v>12.25</v>
      </c>
      <c r="V83" t="n">
        <v>14565200</v>
      </c>
      <c r="W83" t="n">
        <v>178423700</v>
      </c>
      <c r="Y83" t="n">
        <v>0</v>
      </c>
      <c r="Z83" t="n">
        <v>0</v>
      </c>
    </row>
    <row r="84">
      <c r="A84" t="inlineStr">
        <is>
          <t>A股</t>
        </is>
      </c>
      <c r="B84" t="inlineStr">
        <is>
          <t>920679</t>
        </is>
      </c>
      <c r="C84" t="inlineStr">
        <is>
          <t>前进科技</t>
        </is>
      </c>
      <c r="D84" s="31" t="n">
        <v>46022</v>
      </c>
      <c r="E84" t="inlineStr">
        <is>
          <t>CNY</t>
        </is>
      </c>
      <c r="F84" t="inlineStr">
        <is>
          <t>CNY</t>
        </is>
      </c>
      <c r="G84" t="n">
        <v>112155874.78</v>
      </c>
      <c r="H84" t="n">
        <v>137220174.71</v>
      </c>
      <c r="I84" t="n">
        <v>219368951.88</v>
      </c>
      <c r="J84" t="n">
        <v>77406815.06004931</v>
      </c>
      <c r="K84" t="n">
        <v>89782442.01000939</v>
      </c>
      <c r="L84" t="n">
        <v>136536962.7300242</v>
      </c>
      <c r="M84" t="n">
        <v>19410377.5</v>
      </c>
      <c r="N84" t="n">
        <v>23136173.2</v>
      </c>
      <c r="O84" t="n">
        <v>52057739.61</v>
      </c>
      <c r="P84" t="n">
        <v>45038680.56</v>
      </c>
      <c r="Q84" t="n">
        <v>39864741.41</v>
      </c>
      <c r="R84" t="n">
        <v>36032052.05</v>
      </c>
      <c r="S84" t="n">
        <v>893041500</v>
      </c>
      <c r="T84" s="31" t="n">
        <v>45240</v>
      </c>
      <c r="U84" t="n">
        <v>13.99</v>
      </c>
      <c r="V84" t="n">
        <v>13460000</v>
      </c>
      <c r="W84" t="n">
        <v>188305400</v>
      </c>
      <c r="X84" t="n">
        <v>15.99</v>
      </c>
      <c r="Y84" t="n">
        <v>0</v>
      </c>
      <c r="Z84" t="n">
        <v>0</v>
      </c>
    </row>
    <row r="85">
      <c r="A85" t="inlineStr">
        <is>
          <t>A股</t>
        </is>
      </c>
      <c r="B85" t="inlineStr">
        <is>
          <t>920675</t>
        </is>
      </c>
      <c r="C85" t="inlineStr">
        <is>
          <t>秉扬科技</t>
        </is>
      </c>
      <c r="D85" s="31" t="n">
        <v>46022</v>
      </c>
      <c r="E85" t="inlineStr">
        <is>
          <t>CNY</t>
        </is>
      </c>
      <c r="F85" t="inlineStr">
        <is>
          <t>CNY</t>
        </is>
      </c>
      <c r="G85" t="n">
        <v>527243555.7</v>
      </c>
      <c r="H85" t="n">
        <v>607145720.74</v>
      </c>
      <c r="I85" t="n">
        <v>465603694.14</v>
      </c>
      <c r="J85" t="n">
        <v>425893383.6000473</v>
      </c>
      <c r="K85" t="n">
        <v>497016472.9202487</v>
      </c>
      <c r="L85" t="n">
        <v>356035166.5097916</v>
      </c>
      <c r="M85" t="n">
        <v>47844733.08</v>
      </c>
      <c r="N85" t="n">
        <v>50718637.47</v>
      </c>
      <c r="O85" t="n">
        <v>61333166.77</v>
      </c>
      <c r="P85" t="n">
        <v>90553406.26000001</v>
      </c>
      <c r="Q85" t="n">
        <v>72999031.62</v>
      </c>
      <c r="R85" t="n">
        <v>-44261407.08</v>
      </c>
      <c r="S85" t="n">
        <v>1291230000</v>
      </c>
      <c r="T85" s="31" t="n">
        <v>44193</v>
      </c>
      <c r="U85" t="n">
        <v>7.2</v>
      </c>
      <c r="V85" t="n">
        <v>35600000</v>
      </c>
      <c r="W85" t="n">
        <v>256320000</v>
      </c>
      <c r="X85" t="n">
        <v>7.5</v>
      </c>
      <c r="Y85" t="n">
        <v>0</v>
      </c>
      <c r="Z85" t="n">
        <v>0</v>
      </c>
    </row>
    <row r="86">
      <c r="A86" t="inlineStr">
        <is>
          <t>A股</t>
        </is>
      </c>
      <c r="B86" t="inlineStr">
        <is>
          <t>920670</t>
        </is>
      </c>
      <c r="C86" t="inlineStr">
        <is>
          <t>数字人</t>
        </is>
      </c>
      <c r="D86" s="31" t="n">
        <v>46022</v>
      </c>
      <c r="E86" t="inlineStr">
        <is>
          <t>CNY</t>
        </is>
      </c>
      <c r="F86" t="inlineStr">
        <is>
          <t>CNY</t>
        </is>
      </c>
      <c r="G86" t="n">
        <v>99654907.06999999</v>
      </c>
      <c r="H86" t="n">
        <v>66341007.26</v>
      </c>
      <c r="I86" t="n">
        <v>71427286.01000001</v>
      </c>
      <c r="J86" t="n">
        <v>30372270.63001974</v>
      </c>
      <c r="K86" t="n">
        <v>18423845.47998527</v>
      </c>
      <c r="L86" t="n">
        <v>23230879.289968</v>
      </c>
      <c r="M86" t="n">
        <v>8184058.64</v>
      </c>
      <c r="N86" t="n">
        <v>-4159237.26</v>
      </c>
      <c r="O86" t="n">
        <v>-4244228.99</v>
      </c>
      <c r="P86" t="n">
        <v>37034671.5</v>
      </c>
      <c r="Q86" t="n">
        <v>28859827.45</v>
      </c>
      <c r="R86" t="n">
        <v>6984399.12</v>
      </c>
      <c r="S86" t="n">
        <v>1337898240</v>
      </c>
      <c r="T86" s="31" t="n">
        <v>44173</v>
      </c>
      <c r="U86" t="n">
        <v>12.5</v>
      </c>
      <c r="V86" t="n">
        <v>6956522</v>
      </c>
      <c r="W86" t="n">
        <v>86956525</v>
      </c>
      <c r="X86" t="n">
        <v>12.6</v>
      </c>
      <c r="Y86" t="n">
        <v>0</v>
      </c>
      <c r="Z86" t="n">
        <v>0</v>
      </c>
    </row>
    <row r="87">
      <c r="A87" t="inlineStr">
        <is>
          <t>A股</t>
        </is>
      </c>
      <c r="B87" t="inlineStr">
        <is>
          <t>920665</t>
        </is>
      </c>
      <c r="C87" t="inlineStr">
        <is>
          <t>科强股份</t>
        </is>
      </c>
      <c r="D87" s="31" t="n">
        <v>46022</v>
      </c>
      <c r="E87" t="inlineStr">
        <is>
          <t>CNY</t>
        </is>
      </c>
      <c r="F87" t="inlineStr">
        <is>
          <t>CNY</t>
        </is>
      </c>
      <c r="G87" t="n">
        <v>324867645.38</v>
      </c>
      <c r="H87" t="n">
        <v>336759174.83</v>
      </c>
      <c r="I87" t="n">
        <v>283953279.48</v>
      </c>
      <c r="J87" t="n">
        <v>220110690.1400849</v>
      </c>
      <c r="K87" t="n">
        <v>208166519.2900722</v>
      </c>
      <c r="L87" t="n">
        <v>178128796.1500029</v>
      </c>
      <c r="M87" t="n">
        <v>32449337.14</v>
      </c>
      <c r="N87" t="n">
        <v>62103584.25</v>
      </c>
      <c r="O87" t="n">
        <v>52415423.25</v>
      </c>
      <c r="P87" t="n">
        <v>60728013.78</v>
      </c>
      <c r="Q87" t="n">
        <v>70183504.40000001</v>
      </c>
      <c r="R87" t="n">
        <v>41190459.67</v>
      </c>
      <c r="S87" t="n">
        <v>1119213900</v>
      </c>
      <c r="T87" s="31" t="n">
        <v>45195</v>
      </c>
      <c r="U87" t="n">
        <v>6.28</v>
      </c>
      <c r="V87" t="n">
        <v>30000000</v>
      </c>
      <c r="W87" t="n">
        <v>188400000</v>
      </c>
      <c r="X87" t="n">
        <v>8.609999999999999</v>
      </c>
      <c r="Y87" t="n">
        <v>0</v>
      </c>
      <c r="Z87" t="n">
        <v>0</v>
      </c>
    </row>
    <row r="88">
      <c r="A88" t="inlineStr">
        <is>
          <t>A股</t>
        </is>
      </c>
      <c r="B88" t="inlineStr">
        <is>
          <t>920663</t>
        </is>
      </c>
      <c r="C88" t="inlineStr">
        <is>
          <t>明阳科技</t>
        </is>
      </c>
      <c r="D88" s="31" t="n">
        <v>46022</v>
      </c>
      <c r="E88" t="inlineStr">
        <is>
          <t>CNY</t>
        </is>
      </c>
      <c r="F88" t="inlineStr">
        <is>
          <t>CNY</t>
        </is>
      </c>
      <c r="G88" t="n">
        <v>389054371.56</v>
      </c>
      <c r="H88" t="n">
        <v>304321303.12</v>
      </c>
      <c r="I88" t="n">
        <v>207396466.5</v>
      </c>
      <c r="J88" t="n">
        <v>230375095.1898599</v>
      </c>
      <c r="K88" t="n">
        <v>173588281.620032</v>
      </c>
      <c r="L88" t="n">
        <v>113943795.4400279</v>
      </c>
      <c r="M88" t="n">
        <v>85365532.41</v>
      </c>
      <c r="N88" t="n">
        <v>79125973.23999999</v>
      </c>
      <c r="O88" t="n">
        <v>50945009.63</v>
      </c>
      <c r="P88" t="n">
        <v>78867121.76000001</v>
      </c>
      <c r="Q88" t="n">
        <v>102142722.04</v>
      </c>
      <c r="R88" t="n">
        <v>12576698.49</v>
      </c>
      <c r="S88" t="n">
        <v>1782926009</v>
      </c>
      <c r="T88" s="31" t="n">
        <v>45000</v>
      </c>
      <c r="U88" t="n">
        <v>11.88</v>
      </c>
      <c r="V88" t="n">
        <v>12900000</v>
      </c>
      <c r="W88" t="n">
        <v>153252000</v>
      </c>
      <c r="X88" t="n">
        <v>13.35</v>
      </c>
      <c r="Y88" t="n">
        <v>0</v>
      </c>
      <c r="Z88" t="n">
        <v>0</v>
      </c>
    </row>
    <row r="89">
      <c r="A89" t="inlineStr">
        <is>
          <t>A股</t>
        </is>
      </c>
      <c r="B89" t="inlineStr">
        <is>
          <t>920662</t>
        </is>
      </c>
      <c r="C89" t="inlineStr">
        <is>
          <t>方盛股份</t>
        </is>
      </c>
      <c r="D89" s="31" t="n">
        <v>46022</v>
      </c>
      <c r="E89" t="inlineStr">
        <is>
          <t>CNY</t>
        </is>
      </c>
      <c r="F89" t="inlineStr">
        <is>
          <t>CNY</t>
        </is>
      </c>
      <c r="G89" t="n">
        <v>386423474.05</v>
      </c>
      <c r="H89" t="n">
        <v>347167424.95</v>
      </c>
      <c r="I89" t="n">
        <v>352957113.48</v>
      </c>
      <c r="J89" t="n">
        <v>310863272.5400884</v>
      </c>
      <c r="K89" t="n">
        <v>269205573.749852</v>
      </c>
      <c r="L89" t="n">
        <v>251414011.5698942</v>
      </c>
      <c r="M89" t="n">
        <v>19833236.46</v>
      </c>
      <c r="N89" t="n">
        <v>29808798.02</v>
      </c>
      <c r="O89" t="n">
        <v>53972847.38</v>
      </c>
      <c r="P89" t="n">
        <v>14721184.67</v>
      </c>
      <c r="Q89" t="n">
        <v>63748611.78</v>
      </c>
      <c r="R89" t="n">
        <v>74463899.14</v>
      </c>
      <c r="S89" t="n">
        <v>1708976039</v>
      </c>
      <c r="T89" s="31" t="n">
        <v>44893</v>
      </c>
      <c r="U89" t="n">
        <v>6.5</v>
      </c>
      <c r="V89" t="n">
        <v>21000000</v>
      </c>
      <c r="W89" t="n">
        <v>136500000</v>
      </c>
      <c r="X89" t="n">
        <v>19.52</v>
      </c>
      <c r="Y89" t="n">
        <v>0</v>
      </c>
      <c r="Z89" t="n">
        <v>0</v>
      </c>
    </row>
    <row r="90">
      <c r="A90" t="inlineStr">
        <is>
          <t>A股</t>
        </is>
      </c>
      <c r="B90" t="inlineStr">
        <is>
          <t>920656</t>
        </is>
      </c>
      <c r="C90" t="inlineStr">
        <is>
          <t>海昇药业</t>
        </is>
      </c>
      <c r="D90" s="31" t="n">
        <v>46022</v>
      </c>
      <c r="E90" t="inlineStr">
        <is>
          <t>CNY</t>
        </is>
      </c>
      <c r="F90" t="inlineStr">
        <is>
          <t>CNY</t>
        </is>
      </c>
      <c r="G90" t="n">
        <v>220598316.5</v>
      </c>
      <c r="H90" t="n">
        <v>166209055.55</v>
      </c>
      <c r="I90" t="n">
        <v>264415476.77</v>
      </c>
      <c r="J90" t="n">
        <v>126003200.0900199</v>
      </c>
      <c r="K90" t="n">
        <v>99745346.32003529</v>
      </c>
      <c r="L90" t="n">
        <v>125687413.9599482</v>
      </c>
      <c r="M90" t="n">
        <v>69456983.52</v>
      </c>
      <c r="N90" t="n">
        <v>50750223.4</v>
      </c>
      <c r="O90" t="n">
        <v>112680976.01</v>
      </c>
      <c r="P90" t="n">
        <v>35328702.9</v>
      </c>
      <c r="Q90" t="n">
        <v>24653187.71</v>
      </c>
      <c r="R90" t="n">
        <v>97135713.02</v>
      </c>
      <c r="S90" t="n">
        <v>1465000000</v>
      </c>
      <c r="T90" s="31" t="n">
        <v>45324</v>
      </c>
      <c r="U90" t="n">
        <v>19.9</v>
      </c>
      <c r="V90" t="n">
        <v>20000000</v>
      </c>
      <c r="W90" t="n">
        <v>398000000</v>
      </c>
      <c r="X90" t="n">
        <v>14.65</v>
      </c>
      <c r="Y90" t="n">
        <v>0</v>
      </c>
      <c r="Z90" t="n">
        <v>0</v>
      </c>
    </row>
    <row r="91">
      <c r="A91" t="inlineStr">
        <is>
          <t>A股</t>
        </is>
      </c>
      <c r="B91" t="inlineStr">
        <is>
          <t>920651</t>
        </is>
      </c>
      <c r="C91" t="inlineStr">
        <is>
          <t>天罡股份</t>
        </is>
      </c>
      <c r="D91" s="31" t="n">
        <v>46022</v>
      </c>
      <c r="E91" t="inlineStr">
        <is>
          <t>CNY</t>
        </is>
      </c>
      <c r="F91" t="inlineStr">
        <is>
          <t>CNY</t>
        </is>
      </c>
      <c r="G91" t="n">
        <v>352163942.75</v>
      </c>
      <c r="H91" t="n">
        <v>299674302.71</v>
      </c>
      <c r="I91" t="n">
        <v>238969359.14</v>
      </c>
      <c r="J91" t="n">
        <v>191905511.8501361</v>
      </c>
      <c r="K91" t="n">
        <v>149770832.3200186</v>
      </c>
      <c r="L91" t="n">
        <v>117123466.7800737</v>
      </c>
      <c r="M91" t="n">
        <v>76813036.73999999</v>
      </c>
      <c r="N91" t="n">
        <v>74316278.7</v>
      </c>
      <c r="O91" t="n">
        <v>57161073.2</v>
      </c>
      <c r="P91" t="n">
        <v>72979142.98</v>
      </c>
      <c r="Q91" t="n">
        <v>39737482.94</v>
      </c>
      <c r="R91" t="n">
        <v>67380106.42</v>
      </c>
      <c r="S91" t="n">
        <v>1593320000</v>
      </c>
      <c r="T91" s="31" t="n">
        <v>45104</v>
      </c>
      <c r="U91" t="n">
        <v>12.88</v>
      </c>
      <c r="V91" t="n">
        <v>10650000</v>
      </c>
      <c r="W91" t="n">
        <v>137172000</v>
      </c>
      <c r="X91" t="n">
        <v>26.12</v>
      </c>
      <c r="Y91" t="n">
        <v>0</v>
      </c>
      <c r="Z91" t="n">
        <v>0</v>
      </c>
    </row>
    <row r="92">
      <c r="A92" t="inlineStr">
        <is>
          <t>A股</t>
        </is>
      </c>
      <c r="B92" t="inlineStr">
        <is>
          <t>920642</t>
        </is>
      </c>
      <c r="C92" t="inlineStr">
        <is>
          <t>通易航天</t>
        </is>
      </c>
      <c r="D92" s="31" t="n">
        <v>46022</v>
      </c>
      <c r="E92" t="inlineStr">
        <is>
          <t>CNY</t>
        </is>
      </c>
      <c r="F92" t="inlineStr">
        <is>
          <t>CNY</t>
        </is>
      </c>
      <c r="G92" t="n">
        <v>90048681.98999999</v>
      </c>
      <c r="H92" t="n">
        <v>166612741.34</v>
      </c>
      <c r="I92" t="n">
        <v>187717932.22</v>
      </c>
      <c r="J92" t="n">
        <v>69634703.20997316</v>
      </c>
      <c r="K92" t="n">
        <v>132313774.419919</v>
      </c>
      <c r="L92" t="n">
        <v>123973099.6099749</v>
      </c>
      <c r="M92" t="n">
        <v>-34706426.44</v>
      </c>
      <c r="N92" t="n">
        <v>-1584762.17</v>
      </c>
      <c r="O92" t="n">
        <v>28791291.47</v>
      </c>
      <c r="P92" t="n">
        <v>-16972615.17</v>
      </c>
      <c r="Q92" t="n">
        <v>-4532698.37</v>
      </c>
      <c r="R92" t="n">
        <v>48975020.13</v>
      </c>
      <c r="S92" t="n">
        <v>1032555969</v>
      </c>
      <c r="T92" s="31" t="n">
        <v>44424</v>
      </c>
      <c r="U92" t="n">
        <v>8.5</v>
      </c>
      <c r="V92" t="n">
        <v>6434782</v>
      </c>
      <c r="W92" t="n">
        <v>54695647</v>
      </c>
      <c r="X92" t="n">
        <v>9.960000000000001</v>
      </c>
      <c r="Y92" t="n">
        <v>0</v>
      </c>
      <c r="Z92" t="n">
        <v>0</v>
      </c>
    </row>
    <row r="93">
      <c r="A93" t="inlineStr">
        <is>
          <t>A股</t>
        </is>
      </c>
      <c r="B93" t="inlineStr">
        <is>
          <t>920641</t>
        </is>
      </c>
      <c r="C93" t="inlineStr">
        <is>
          <t>格利尔</t>
        </is>
      </c>
      <c r="D93" s="31" t="n">
        <v>46022</v>
      </c>
      <c r="E93" t="inlineStr">
        <is>
          <t>CNY</t>
        </is>
      </c>
      <c r="F93" t="inlineStr">
        <is>
          <t>CNY</t>
        </is>
      </c>
      <c r="G93" t="n">
        <v>517838751.08</v>
      </c>
      <c r="H93" t="n">
        <v>544022472.5599999</v>
      </c>
      <c r="I93" t="n">
        <v>721140971.83</v>
      </c>
      <c r="J93" t="n">
        <v>415521671.6299945</v>
      </c>
      <c r="K93" t="n">
        <v>443891330.6798332</v>
      </c>
      <c r="L93" t="n">
        <v>536675991.8298923</v>
      </c>
      <c r="M93" t="n">
        <v>8734305.74</v>
      </c>
      <c r="N93" t="n">
        <v>-8017512.59</v>
      </c>
      <c r="O93" t="n">
        <v>63218941.63</v>
      </c>
      <c r="P93" t="n">
        <v>38405802.11</v>
      </c>
      <c r="Q93" t="n">
        <v>48138314.51</v>
      </c>
      <c r="R93" t="n">
        <v>50379436.87</v>
      </c>
      <c r="S93" t="n">
        <v>1066065000</v>
      </c>
      <c r="T93" s="31" t="n">
        <v>44897</v>
      </c>
      <c r="U93" t="n">
        <v>9.6</v>
      </c>
      <c r="V93" t="n">
        <v>10500000</v>
      </c>
      <c r="W93" t="n">
        <v>100800000</v>
      </c>
      <c r="X93" t="n">
        <v>14.2</v>
      </c>
      <c r="Y93" t="n">
        <v>0</v>
      </c>
      <c r="Z93" t="n">
        <v>0</v>
      </c>
    </row>
    <row r="94">
      <c r="A94" t="inlineStr">
        <is>
          <t>A股</t>
        </is>
      </c>
      <c r="B94" t="inlineStr">
        <is>
          <t>920640</t>
        </is>
      </c>
      <c r="C94" t="inlineStr">
        <is>
          <t>富士达</t>
        </is>
      </c>
      <c r="D94" s="31" t="n">
        <v>46022</v>
      </c>
      <c r="E94" t="inlineStr">
        <is>
          <t>CNY</t>
        </is>
      </c>
      <c r="F94" t="inlineStr">
        <is>
          <t>CNY</t>
        </is>
      </c>
      <c r="G94" t="n">
        <v>881136430.37</v>
      </c>
      <c r="H94" t="n">
        <v>762797542.26</v>
      </c>
      <c r="I94" t="n">
        <v>808483650.87</v>
      </c>
      <c r="J94" t="n">
        <v>586579806.9297907</v>
      </c>
      <c r="K94" t="n">
        <v>513397197.0702961</v>
      </c>
      <c r="L94" t="n">
        <v>489867601.9497586</v>
      </c>
      <c r="M94" t="n">
        <v>77725628.73999999</v>
      </c>
      <c r="N94" t="n">
        <v>51126712.39</v>
      </c>
      <c r="O94" t="n">
        <v>142825530.4</v>
      </c>
      <c r="P94" t="n">
        <v>66527774.22</v>
      </c>
      <c r="Q94" t="n">
        <v>107831454.5</v>
      </c>
      <c r="R94" t="n">
        <v>123050092.78</v>
      </c>
      <c r="S94" t="n">
        <v>4742009280</v>
      </c>
      <c r="T94" s="31" t="n">
        <v>44039</v>
      </c>
      <c r="U94" t="n">
        <v>15.96</v>
      </c>
      <c r="V94" t="n">
        <v>15000000</v>
      </c>
      <c r="W94" t="n">
        <v>239400000</v>
      </c>
      <c r="X94" t="n">
        <v>25.26</v>
      </c>
      <c r="Y94" t="n">
        <v>0</v>
      </c>
      <c r="Z94" t="n">
        <v>0</v>
      </c>
    </row>
    <row r="95">
      <c r="A95" t="inlineStr">
        <is>
          <t>A股</t>
        </is>
      </c>
      <c r="B95" t="inlineStr">
        <is>
          <t>920639</t>
        </is>
      </c>
      <c r="C95" t="inlineStr">
        <is>
          <t>晨光电缆</t>
        </is>
      </c>
      <c r="D95" s="31" t="n">
        <v>46022</v>
      </c>
      <c r="E95" t="inlineStr">
        <is>
          <t>CNY</t>
        </is>
      </c>
      <c r="F95" t="inlineStr">
        <is>
          <t>CNY</t>
        </is>
      </c>
      <c r="G95" t="n">
        <v>2274847650.02</v>
      </c>
      <c r="H95" t="n">
        <v>2007610317.29</v>
      </c>
      <c r="I95" t="n">
        <v>1864757979.72</v>
      </c>
      <c r="J95" t="n">
        <v>2027576424.329331</v>
      </c>
      <c r="K95" t="n">
        <v>1755976310.569777</v>
      </c>
      <c r="L95" t="n">
        <v>1624663611.469359</v>
      </c>
      <c r="M95" t="n">
        <v>16282414.91</v>
      </c>
      <c r="N95" t="n">
        <v>24071745.16</v>
      </c>
      <c r="O95" t="n">
        <v>57465069.12</v>
      </c>
      <c r="P95" t="n">
        <v>99920477.77</v>
      </c>
      <c r="Q95" t="n">
        <v>-69857812.84</v>
      </c>
      <c r="R95" t="n">
        <v>-41091848.42</v>
      </c>
      <c r="S95" t="n">
        <v>1253952000</v>
      </c>
      <c r="T95" s="31" t="n">
        <v>44754</v>
      </c>
      <c r="U95" t="n">
        <v>4.3</v>
      </c>
      <c r="V95" t="n">
        <v>46666667</v>
      </c>
      <c r="W95" t="n">
        <v>200666668.1</v>
      </c>
      <c r="X95" t="n">
        <v>6.22</v>
      </c>
      <c r="Y95" t="n">
        <v>0</v>
      </c>
      <c r="Z95" t="n">
        <v>0</v>
      </c>
    </row>
    <row r="96">
      <c r="A96" t="inlineStr">
        <is>
          <t>A股</t>
        </is>
      </c>
      <c r="B96" t="inlineStr">
        <is>
          <t>920634</t>
        </is>
      </c>
      <c r="C96" t="inlineStr">
        <is>
          <t>新威凌</t>
        </is>
      </c>
      <c r="D96" s="31" t="n">
        <v>46022</v>
      </c>
      <c r="E96" t="inlineStr">
        <is>
          <t>CNY</t>
        </is>
      </c>
      <c r="F96" t="inlineStr">
        <is>
          <t>CNY</t>
        </is>
      </c>
      <c r="G96" t="n">
        <v>822743944.46</v>
      </c>
      <c r="H96" t="n">
        <v>947405239.71</v>
      </c>
      <c r="I96" t="n">
        <v>585241848.5599999</v>
      </c>
      <c r="J96" t="n">
        <v>757683409.6497761</v>
      </c>
      <c r="K96" t="n">
        <v>868417669.3195429</v>
      </c>
      <c r="L96" t="n">
        <v>534460943.3402505</v>
      </c>
      <c r="M96" t="n">
        <v>17736171.68</v>
      </c>
      <c r="N96" t="n">
        <v>27845569.2</v>
      </c>
      <c r="O96" t="n">
        <v>20038593.85</v>
      </c>
      <c r="P96" t="n">
        <v>-6505047.21</v>
      </c>
      <c r="Q96" t="n">
        <v>16469424.25</v>
      </c>
      <c r="R96" t="n">
        <v>-14866735.59</v>
      </c>
      <c r="S96" t="n">
        <v>1076694207</v>
      </c>
      <c r="T96" s="31" t="n">
        <v>44889</v>
      </c>
      <c r="U96" t="n">
        <v>9.6</v>
      </c>
      <c r="V96" t="n">
        <v>11280000</v>
      </c>
      <c r="W96" t="n">
        <v>108288000</v>
      </c>
      <c r="X96" t="n">
        <v>16.85</v>
      </c>
      <c r="Y96" t="n">
        <v>0</v>
      </c>
      <c r="Z96" t="n">
        <v>0</v>
      </c>
    </row>
    <row r="97">
      <c r="A97" t="inlineStr">
        <is>
          <t>A股</t>
        </is>
      </c>
      <c r="B97" t="inlineStr">
        <is>
          <t>920627</t>
        </is>
      </c>
      <c r="C97" t="inlineStr">
        <is>
          <t>力王股份</t>
        </is>
      </c>
      <c r="D97" s="31" t="n">
        <v>46022</v>
      </c>
      <c r="E97" t="inlineStr">
        <is>
          <t>CNY</t>
        </is>
      </c>
      <c r="F97" t="inlineStr">
        <is>
          <t>CNY</t>
        </is>
      </c>
      <c r="G97" t="n">
        <v>765011297.15</v>
      </c>
      <c r="H97" t="n">
        <v>714552958.73</v>
      </c>
      <c r="I97" t="n">
        <v>549611728.64</v>
      </c>
      <c r="J97" t="n">
        <v>665851203.9601229</v>
      </c>
      <c r="K97" t="n">
        <v>610557698.3599838</v>
      </c>
      <c r="L97" t="n">
        <v>460680342.730078</v>
      </c>
      <c r="M97" t="n">
        <v>26763912.69</v>
      </c>
      <c r="N97" t="n">
        <v>32854666.53</v>
      </c>
      <c r="O97" t="n">
        <v>37816455.95</v>
      </c>
      <c r="P97" t="n">
        <v>46422547.41</v>
      </c>
      <c r="Q97" t="n">
        <v>43750890.35</v>
      </c>
      <c r="R97" t="n">
        <v>39970031.16</v>
      </c>
      <c r="S97" t="n">
        <v>1345912500</v>
      </c>
      <c r="T97" s="31" t="n">
        <v>45176</v>
      </c>
      <c r="U97" t="n">
        <v>6</v>
      </c>
      <c r="V97" t="n">
        <v>23000000</v>
      </c>
      <c r="W97" t="n">
        <v>138000000</v>
      </c>
      <c r="X97" t="n">
        <v>14.25</v>
      </c>
      <c r="Y97" t="n">
        <v>0</v>
      </c>
      <c r="Z97" t="n">
        <v>0</v>
      </c>
    </row>
    <row r="98">
      <c r="A98" t="inlineStr">
        <is>
          <t>A股</t>
        </is>
      </c>
      <c r="B98" t="inlineStr">
        <is>
          <t>920608</t>
        </is>
      </c>
      <c r="C98" t="inlineStr">
        <is>
          <t>丰安股份</t>
        </is>
      </c>
      <c r="D98" s="31" t="n">
        <v>46022</v>
      </c>
      <c r="E98" t="inlineStr">
        <is>
          <t>CNY</t>
        </is>
      </c>
      <c r="F98" t="inlineStr">
        <is>
          <t>CNY</t>
        </is>
      </c>
      <c r="G98" t="n">
        <v>147264513.57</v>
      </c>
      <c r="H98" t="n">
        <v>155589100.33</v>
      </c>
      <c r="I98" t="n">
        <v>147660502.78</v>
      </c>
      <c r="J98" t="n">
        <v>97164811.89998977</v>
      </c>
      <c r="K98" t="n">
        <v>103615934.3100573</v>
      </c>
      <c r="L98" t="n">
        <v>100174570.6100664</v>
      </c>
      <c r="M98" t="n">
        <v>33557442.37</v>
      </c>
      <c r="N98" t="n">
        <v>32962350.61</v>
      </c>
      <c r="O98" t="n">
        <v>34494422.56</v>
      </c>
      <c r="P98" t="n">
        <v>30733968.43</v>
      </c>
      <c r="Q98" t="n">
        <v>-12254499.97</v>
      </c>
      <c r="R98" t="n">
        <v>-4366722.46</v>
      </c>
      <c r="S98" t="n">
        <v>932977600</v>
      </c>
      <c r="T98" s="31" t="n">
        <v>44911</v>
      </c>
      <c r="U98" t="n">
        <v>10</v>
      </c>
      <c r="V98" t="n">
        <v>15560000</v>
      </c>
      <c r="W98" t="n">
        <v>155600000</v>
      </c>
      <c r="X98" t="n">
        <v>14.99</v>
      </c>
      <c r="Y98" t="n">
        <v>0</v>
      </c>
      <c r="Z98" t="n">
        <v>0</v>
      </c>
    </row>
    <row r="99">
      <c r="A99" t="inlineStr">
        <is>
          <t>A股</t>
        </is>
      </c>
      <c r="B99" t="inlineStr">
        <is>
          <t>920599</t>
        </is>
      </c>
      <c r="C99" t="inlineStr">
        <is>
          <t>同力股份</t>
        </is>
      </c>
      <c r="D99" s="31" t="n">
        <v>46022</v>
      </c>
      <c r="E99" t="inlineStr">
        <is>
          <t>CNY</t>
        </is>
      </c>
      <c r="F99" t="inlineStr">
        <is>
          <t>CNY</t>
        </is>
      </c>
      <c r="G99" t="n">
        <v>6388883151.17</v>
      </c>
      <c r="H99" t="n">
        <v>6144633130.71</v>
      </c>
      <c r="I99" t="n">
        <v>5201569347.86</v>
      </c>
      <c r="J99" t="n">
        <v>4919943332.987502</v>
      </c>
      <c r="K99" t="n">
        <v>4826669408.970058</v>
      </c>
      <c r="L99" t="n">
        <v>4200974989.272251</v>
      </c>
      <c r="M99" t="n">
        <v>839351487.83</v>
      </c>
      <c r="N99" t="n">
        <v>793079033.92</v>
      </c>
      <c r="O99" t="n">
        <v>466302793.82</v>
      </c>
      <c r="P99" t="n">
        <v>393317437.08</v>
      </c>
      <c r="Q99" t="n">
        <v>1469908095.61</v>
      </c>
      <c r="R99" t="n">
        <v>61785024.71</v>
      </c>
      <c r="S99" t="n">
        <v>8260696500</v>
      </c>
      <c r="T99" s="31" t="n">
        <v>44249</v>
      </c>
      <c r="U99" t="n">
        <v>10</v>
      </c>
      <c r="V99" t="n">
        <v>50000000</v>
      </c>
      <c r="W99" t="n">
        <v>500000000</v>
      </c>
      <c r="X99" t="n">
        <v>17.86</v>
      </c>
      <c r="Y99" t="n">
        <v>0</v>
      </c>
      <c r="Z99" t="n">
        <v>0</v>
      </c>
    </row>
    <row r="100">
      <c r="A100" t="inlineStr">
        <is>
          <t>A股</t>
        </is>
      </c>
      <c r="B100" t="inlineStr">
        <is>
          <t>920593</t>
        </is>
      </c>
      <c r="C100" t="inlineStr">
        <is>
          <t>鼎智科技</t>
        </is>
      </c>
      <c r="D100" s="31" t="n">
        <v>46022</v>
      </c>
      <c r="E100" t="inlineStr">
        <is>
          <t>CNY</t>
        </is>
      </c>
      <c r="F100" t="inlineStr">
        <is>
          <t>CNY</t>
        </is>
      </c>
      <c r="G100" t="n">
        <v>267847958.21</v>
      </c>
      <c r="H100" t="n">
        <v>223717075.81</v>
      </c>
      <c r="I100" t="n">
        <v>318474819.71</v>
      </c>
      <c r="J100" t="n">
        <v>136064620.1501337</v>
      </c>
      <c r="K100" t="n">
        <v>105829996.5399807</v>
      </c>
      <c r="L100" t="n">
        <v>142079883.510148</v>
      </c>
      <c r="M100" t="n">
        <v>29924726.2</v>
      </c>
      <c r="N100" t="n">
        <v>38700349</v>
      </c>
      <c r="O100" t="n">
        <v>100882261.95</v>
      </c>
      <c r="P100" t="n">
        <v>45017518.3</v>
      </c>
      <c r="Q100" t="n">
        <v>43693516.13</v>
      </c>
      <c r="R100" t="n">
        <v>128066548.34</v>
      </c>
      <c r="S100" t="n">
        <v>4385167350</v>
      </c>
      <c r="T100" s="31" t="n">
        <v>45029</v>
      </c>
      <c r="U100" t="n">
        <v>30.6</v>
      </c>
      <c r="V100" t="n">
        <v>11572000</v>
      </c>
      <c r="W100" t="n">
        <v>354103200</v>
      </c>
      <c r="X100" t="n">
        <v>23.05</v>
      </c>
      <c r="Y100" t="n">
        <v>0</v>
      </c>
      <c r="Z100" t="n">
        <v>0</v>
      </c>
    </row>
    <row r="101">
      <c r="A101" t="inlineStr">
        <is>
          <t>A股</t>
        </is>
      </c>
      <c r="B101" t="inlineStr">
        <is>
          <t>920592</t>
        </is>
      </c>
      <c r="C101" t="inlineStr">
        <is>
          <t>华信永道</t>
        </is>
      </c>
      <c r="D101" s="31" t="n">
        <v>46022</v>
      </c>
      <c r="E101" t="inlineStr">
        <is>
          <t>CNY</t>
        </is>
      </c>
      <c r="F101" t="inlineStr">
        <is>
          <t>CNY</t>
        </is>
      </c>
      <c r="G101" t="n">
        <v>186209692.06</v>
      </c>
      <c r="H101" t="n">
        <v>210050992.45</v>
      </c>
      <c r="I101" t="n">
        <v>241493896.04</v>
      </c>
      <c r="J101" t="n">
        <v>141087955.3499181</v>
      </c>
      <c r="K101" t="n">
        <v>118712710.4100013</v>
      </c>
      <c r="L101" t="n">
        <v>125672137.9400281</v>
      </c>
      <c r="M101" t="n">
        <v>-38866953.02</v>
      </c>
      <c r="N101" t="n">
        <v>12018742.71</v>
      </c>
      <c r="O101" t="n">
        <v>36086412.59</v>
      </c>
      <c r="P101" t="n">
        <v>-1688091.59</v>
      </c>
      <c r="Q101" t="n">
        <v>2187447.25</v>
      </c>
      <c r="R101" t="n">
        <v>10920321.65</v>
      </c>
      <c r="S101" t="n">
        <v>1793649000</v>
      </c>
      <c r="T101" s="31" t="n">
        <v>45117</v>
      </c>
      <c r="U101" t="n">
        <v>10.38</v>
      </c>
      <c r="V101" t="n">
        <v>11000000</v>
      </c>
      <c r="W101" t="n">
        <v>114180000</v>
      </c>
      <c r="X101" t="n">
        <v>22.2</v>
      </c>
      <c r="Y101" t="n">
        <v>0</v>
      </c>
      <c r="Z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f2,f20（按指定证券分批）</t>
        </is>
      </c>
      <c r="G2" s="32" t="n">
        <v>46263.2614091318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b">
        <v>1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大宗交易</t>
        </is>
      </c>
      <c r="E3" t="inlineStr">
        <is>
          <t>东方财富</t>
        </is>
      </c>
      <c r="F3" t="inlineStr">
        <is>
          <t>RPT_DATA_BLOCKTRADE 2026（全市场分页后本地聚合）</t>
        </is>
      </c>
      <c r="G3" s="32" t="n">
        <v>46263.26141481438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东方财富</t>
        </is>
      </c>
      <c r="N3" t="b">
        <v>1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年度财务</t>
        </is>
      </c>
      <c r="E4" t="inlineStr">
        <is>
          <t>东方财富</t>
        </is>
      </c>
      <c r="F4" t="inlineStr">
        <is>
          <t>RPT_LICO_FN_CPD + RPT_DMSK_FN_CASHFLOW；巨潮回退原因：未配置巨潮官方 API 凭证/端点（CNINFO_ACCESS_TOKEN、CNINFO_INCOME_API_URL、CNINFO_CASHFLOW_API_URL）</t>
        </is>
      </c>
      <c r="G4" s="32" t="n">
        <v>46263.2614255638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1</v>
      </c>
      <c r="M4" t="inlineStr">
        <is>
          <t>巨潮资讯（CNINFO Data Service）</t>
        </is>
      </c>
      <c r="N4" t="b">
        <v>1</v>
      </c>
    </row>
    <row r="5">
      <c r="A5" t="inlineStr">
        <is>
          <t>A股</t>
        </is>
      </c>
      <c r="B5" t="inlineStr">
        <is>
          <t>920992</t>
        </is>
      </c>
      <c r="C5" t="inlineStr">
        <is>
          <t>中科美菱</t>
        </is>
      </c>
      <c r="D5" t="inlineStr">
        <is>
          <t>上市与发行信息</t>
        </is>
      </c>
      <c r="E5" t="inlineStr">
        <is>
          <t>东方财富</t>
        </is>
      </c>
      <c r="F5" t="inlineStr">
        <is>
          <t>RPT_PCF10_ORG_ISSUEINFO</t>
        </is>
      </c>
      <c r="G5" s="32" t="n">
        <v>46263.26154085607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b">
        <v>1</v>
      </c>
    </row>
    <row r="6">
      <c r="A6" t="inlineStr">
        <is>
          <t>A股</t>
        </is>
      </c>
      <c r="B6" t="inlineStr">
        <is>
          <t>920992</t>
        </is>
      </c>
      <c r="C6" t="inlineStr">
        <is>
          <t>中科美菱</t>
        </is>
      </c>
      <c r="D6" t="inlineStr">
        <is>
          <t>资金流</t>
        </is>
      </c>
      <c r="E6" t="inlineStr">
        <is>
          <t>东方财富</t>
        </is>
      </c>
      <c r="F6" t="inlineStr">
        <is>
          <t>fast-mode-no-reliable-batch-endpoint</t>
        </is>
      </c>
      <c r="G6" s="32" t="n">
        <v>46263.26159564944</v>
      </c>
      <c r="I6" t="inlineStr">
        <is>
          <t>CNY</t>
        </is>
      </c>
      <c r="J6" t="inlineStr">
        <is>
          <t>optional_missing</t>
        </is>
      </c>
      <c r="K6" t="inlineStr">
        <is>
          <t>快速模式未发现可靠的批量近五个交易日同口径字段，为避免逐股慢请求，本次留空</t>
        </is>
      </c>
      <c r="L6" t="b">
        <v>0</v>
      </c>
      <c r="M6" t="inlineStr">
        <is>
          <t>东方财富</t>
        </is>
      </c>
      <c r="N6" t="b">
        <v>1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f2,f20（按指定证券分批）</t>
        </is>
      </c>
      <c r="G7" s="32" t="n">
        <v>46263.2614091318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b">
        <v>1</v>
      </c>
    </row>
    <row r="8">
      <c r="A8" t="inlineStr">
        <is>
          <t>A股</t>
        </is>
      </c>
      <c r="B8" t="inlineStr">
        <is>
          <t>920985</t>
        </is>
      </c>
      <c r="C8" t="inlineStr">
        <is>
          <t>海泰新能</t>
        </is>
      </c>
      <c r="D8" t="inlineStr">
        <is>
          <t>大宗交易</t>
        </is>
      </c>
      <c r="E8" t="inlineStr">
        <is>
          <t>东方财富</t>
        </is>
      </c>
      <c r="F8" t="inlineStr">
        <is>
          <t>RPT_DATA_BLOCKTRADE 2026（全市场分页后本地聚合）</t>
        </is>
      </c>
      <c r="G8" s="32" t="n">
        <v>46263.26141481438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东方财富</t>
        </is>
      </c>
      <c r="N8" t="b">
        <v>1</v>
      </c>
    </row>
    <row r="9">
      <c r="A9" t="inlineStr">
        <is>
          <t>A股</t>
        </is>
      </c>
      <c r="B9" t="inlineStr">
        <is>
          <t>920985</t>
        </is>
      </c>
      <c r="C9" t="inlineStr">
        <is>
          <t>海泰新能</t>
        </is>
      </c>
      <c r="D9" t="inlineStr">
        <is>
          <t>年度财务</t>
        </is>
      </c>
      <c r="E9" t="inlineStr">
        <is>
          <t>东方财富</t>
        </is>
      </c>
      <c r="F9" t="inlineStr">
        <is>
          <t>RPT_LICO_FN_CPD + RPT_DMSK_FN_CASHFLOW；巨潮回退原因：未配置巨潮官方 API 凭证/端点（CNINFO_ACCESS_TOKEN、CNINFO_INCOME_API_URL、CNINFO_CASHFLOW_API_URL）</t>
        </is>
      </c>
      <c r="G9" s="32" t="n">
        <v>46263.26142455641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L9" t="b">
        <v>1</v>
      </c>
      <c r="M9" t="inlineStr">
        <is>
          <t>巨潮资讯（CNINFO Data Service）</t>
        </is>
      </c>
      <c r="N9" t="b">
        <v>1</v>
      </c>
    </row>
    <row r="10">
      <c r="A10" t="inlineStr">
        <is>
          <t>A股</t>
        </is>
      </c>
      <c r="B10" t="inlineStr">
        <is>
          <t>920985</t>
        </is>
      </c>
      <c r="C10" t="inlineStr">
        <is>
          <t>海泰新能</t>
        </is>
      </c>
      <c r="D10" t="inlineStr">
        <is>
          <t>上市与发行信息</t>
        </is>
      </c>
      <c r="E10" t="inlineStr">
        <is>
          <t>东方财富</t>
        </is>
      </c>
      <c r="F10" t="inlineStr">
        <is>
          <t>RPT_PCF10_ORG_ISSUEINFO</t>
        </is>
      </c>
      <c r="G10" s="32" t="n">
        <v>46263.26154096767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b">
        <v>1</v>
      </c>
    </row>
    <row r="11">
      <c r="A11" t="inlineStr">
        <is>
          <t>A股</t>
        </is>
      </c>
      <c r="B11" t="inlineStr">
        <is>
          <t>920985</t>
        </is>
      </c>
      <c r="C11" t="inlineStr">
        <is>
          <t>海泰新能</t>
        </is>
      </c>
      <c r="D11" t="inlineStr">
        <is>
          <t>资金流</t>
        </is>
      </c>
      <c r="E11" t="inlineStr">
        <is>
          <t>东方财富</t>
        </is>
      </c>
      <c r="F11" t="inlineStr">
        <is>
          <t>fast-mode-no-reliable-batch-endpoint</t>
        </is>
      </c>
      <c r="G11" s="32" t="n">
        <v>46263.26159564944</v>
      </c>
      <c r="I11" t="inlineStr">
        <is>
          <t>CNY</t>
        </is>
      </c>
      <c r="J11" t="inlineStr">
        <is>
          <t>optional_missing</t>
        </is>
      </c>
      <c r="K11" t="inlineStr">
        <is>
          <t>快速模式未发现可靠的批量近五个交易日同口径字段，为避免逐股慢请求，本次留空</t>
        </is>
      </c>
      <c r="L11" t="b">
        <v>0</v>
      </c>
      <c r="M11" t="inlineStr">
        <is>
          <t>东方财富</t>
        </is>
      </c>
      <c r="N11" t="b">
        <v>1</v>
      </c>
    </row>
    <row r="12">
      <c r="A12" t="inlineStr">
        <is>
          <t>A股</t>
        </is>
      </c>
      <c r="B12" t="inlineStr">
        <is>
          <t>920982</t>
        </is>
      </c>
      <c r="C12" t="inlineStr">
        <is>
          <t>锦波生物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f2,f20（按指定证券分批）</t>
        </is>
      </c>
      <c r="G12" s="32" t="n">
        <v>46263.26140913873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b">
        <v>1</v>
      </c>
    </row>
    <row r="13">
      <c r="A13" t="inlineStr">
        <is>
          <t>A股</t>
        </is>
      </c>
      <c r="B13" t="inlineStr">
        <is>
          <t>920982</t>
        </is>
      </c>
      <c r="C13" t="inlineStr">
        <is>
          <t>锦波生物</t>
        </is>
      </c>
      <c r="D13" t="inlineStr">
        <is>
          <t>大宗交易</t>
        </is>
      </c>
      <c r="E13" t="inlineStr">
        <is>
          <t>东方财富</t>
        </is>
      </c>
      <c r="F13" t="inlineStr">
        <is>
          <t>RPT_DATA_BLOCKTRADE 2026（全市场分页后本地聚合）</t>
        </is>
      </c>
      <c r="G13" s="32" t="n">
        <v>46263.26141481438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东方财富</t>
        </is>
      </c>
      <c r="N13" t="b">
        <v>1</v>
      </c>
    </row>
    <row r="14">
      <c r="A14" t="inlineStr">
        <is>
          <t>A股</t>
        </is>
      </c>
      <c r="B14" t="inlineStr">
        <is>
          <t>920982</t>
        </is>
      </c>
      <c r="C14" t="inlineStr">
        <is>
          <t>锦波生物</t>
        </is>
      </c>
      <c r="D14" t="inlineStr">
        <is>
          <t>年度财务</t>
        </is>
      </c>
      <c r="E14" t="inlineStr">
        <is>
          <t>东方财富</t>
        </is>
      </c>
      <c r="F14" t="inlineStr">
        <is>
          <t>RPT_LICO_FN_CPD + RPT_DMSK_FN_CASHFLOW；巨潮回退原因：未配置巨潮官方 API 凭证/端点（CNINFO_ACCESS_TOKEN、CNINFO_INCOME_API_URL、CNINFO_CASHFLOW_API_URL）</t>
        </is>
      </c>
      <c r="G14" s="32" t="n">
        <v>46263.26142786188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1</v>
      </c>
      <c r="M14" t="inlineStr">
        <is>
          <t>巨潮资讯（CNINFO Data Service）</t>
        </is>
      </c>
      <c r="N14" t="b">
        <v>1</v>
      </c>
    </row>
    <row r="15">
      <c r="A15" t="inlineStr">
        <is>
          <t>A股</t>
        </is>
      </c>
      <c r="B15" t="inlineStr">
        <is>
          <t>920982</t>
        </is>
      </c>
      <c r="C15" t="inlineStr">
        <is>
          <t>锦波生物</t>
        </is>
      </c>
      <c r="D15" t="inlineStr">
        <is>
          <t>上市与发行信息</t>
        </is>
      </c>
      <c r="E15" t="inlineStr">
        <is>
          <t>东方财富</t>
        </is>
      </c>
      <c r="F15" t="inlineStr">
        <is>
          <t>RPT_PCF10_ORG_ISSUEINFO</t>
        </is>
      </c>
      <c r="G15" s="32" t="n">
        <v>46263.26154109718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b">
        <v>1</v>
      </c>
    </row>
    <row r="16">
      <c r="A16" t="inlineStr">
        <is>
          <t>A股</t>
        </is>
      </c>
      <c r="B16" t="inlineStr">
        <is>
          <t>920982</t>
        </is>
      </c>
      <c r="C16" t="inlineStr">
        <is>
          <t>锦波生物</t>
        </is>
      </c>
      <c r="D16" t="inlineStr">
        <is>
          <t>资金流</t>
        </is>
      </c>
      <c r="E16" t="inlineStr">
        <is>
          <t>东方财富</t>
        </is>
      </c>
      <c r="F16" t="inlineStr">
        <is>
          <t>fast-mode-no-reliable-batch-endpoint</t>
        </is>
      </c>
      <c r="G16" s="32" t="n">
        <v>46263.26159564944</v>
      </c>
      <c r="I16" t="inlineStr">
        <is>
          <t>CNY</t>
        </is>
      </c>
      <c r="J16" t="inlineStr">
        <is>
          <t>optional_missing</t>
        </is>
      </c>
      <c r="K16" t="inlineStr">
        <is>
          <t>快速模式未发现可靠的批量近五个交易日同口径字段，为避免逐股慢请求，本次留空</t>
        </is>
      </c>
      <c r="L16" t="b">
        <v>0</v>
      </c>
      <c r="M16" t="inlineStr">
        <is>
          <t>东方财富</t>
        </is>
      </c>
      <c r="N16" t="b">
        <v>1</v>
      </c>
    </row>
    <row r="17">
      <c r="A17" t="inlineStr">
        <is>
          <t>A股</t>
        </is>
      </c>
      <c r="B17" t="inlineStr">
        <is>
          <t>920981</t>
        </is>
      </c>
      <c r="C17" t="inlineStr">
        <is>
          <t>晶赛科技</t>
        </is>
      </c>
      <c r="D17" t="inlineStr">
        <is>
          <t>最新行情</t>
        </is>
      </c>
      <c r="E17" t="inlineStr">
        <is>
          <t>东方财富</t>
        </is>
      </c>
      <c r="F17" t="inlineStr">
        <is>
          <t>push2 ulist.np/get f2,f20（按指定证券分批）</t>
        </is>
      </c>
      <c r="G17" s="32" t="n">
        <v>46263.26140913873</v>
      </c>
      <c r="H17" t="inlineStr">
        <is>
          <t>CNY</t>
        </is>
      </c>
      <c r="I17" t="inlineStr">
        <is>
          <t>CNY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b">
        <v>1</v>
      </c>
    </row>
    <row r="18">
      <c r="A18" t="inlineStr">
        <is>
          <t>A股</t>
        </is>
      </c>
      <c r="B18" t="inlineStr">
        <is>
          <t>920981</t>
        </is>
      </c>
      <c r="C18" t="inlineStr">
        <is>
          <t>晶赛科技</t>
        </is>
      </c>
      <c r="D18" t="inlineStr">
        <is>
          <t>大宗交易</t>
        </is>
      </c>
      <c r="E18" t="inlineStr">
        <is>
          <t>东方财富</t>
        </is>
      </c>
      <c r="F18" t="inlineStr">
        <is>
          <t>RPT_DATA_BLOCKTRADE 2026（全市场分页后本地聚合）</t>
        </is>
      </c>
      <c r="G18" s="32" t="n">
        <v>46263.26141481438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东方财富</t>
        </is>
      </c>
      <c r="N18" t="b">
        <v>1</v>
      </c>
    </row>
    <row r="19">
      <c r="A19" t="inlineStr">
        <is>
          <t>A股</t>
        </is>
      </c>
      <c r="B19" t="inlineStr">
        <is>
          <t>920981</t>
        </is>
      </c>
      <c r="C19" t="inlineStr">
        <is>
          <t>晶赛科技</t>
        </is>
      </c>
      <c r="D19" t="inlineStr">
        <is>
          <t>年度财务</t>
        </is>
      </c>
      <c r="E19" t="inlineStr">
        <is>
          <t>东方财富</t>
        </is>
      </c>
      <c r="F19" t="inlineStr">
        <is>
          <t>RPT_LICO_FN_CPD + RPT_DMSK_FN_CASHFLOW；巨潮回退原因：未配置巨潮官方 API 凭证/端点（CNINFO_ACCESS_TOKEN、CNINFO_INCOME_API_URL、CNINFO_CASHFLOW_API_URL）</t>
        </is>
      </c>
      <c r="G19" s="32" t="n">
        <v>46263.26142375555</v>
      </c>
      <c r="H19" t="inlineStr">
        <is>
          <t>CNY</t>
        </is>
      </c>
      <c r="I19" t="inlineStr">
        <is>
          <t>CNY</t>
        </is>
      </c>
      <c r="J19" t="inlineStr">
        <is>
          <t>ok</t>
        </is>
      </c>
      <c r="L19" t="b">
        <v>1</v>
      </c>
      <c r="M19" t="inlineStr">
        <is>
          <t>巨潮资讯（CNINFO Data Service）</t>
        </is>
      </c>
      <c r="N19" t="b">
        <v>1</v>
      </c>
    </row>
    <row r="20">
      <c r="A20" t="inlineStr">
        <is>
          <t>A股</t>
        </is>
      </c>
      <c r="B20" t="inlineStr">
        <is>
          <t>920981</t>
        </is>
      </c>
      <c r="C20" t="inlineStr">
        <is>
          <t>晶赛科技</t>
        </is>
      </c>
      <c r="D20" t="inlineStr">
        <is>
          <t>上市与发行信息</t>
        </is>
      </c>
      <c r="E20" t="inlineStr">
        <is>
          <t>东方财富</t>
        </is>
      </c>
      <c r="F20" t="inlineStr">
        <is>
          <t>RPT_PCF10_ORG_ISSUEINFO</t>
        </is>
      </c>
      <c r="G20" s="32" t="n">
        <v>46263.26154112049</v>
      </c>
      <c r="H20" t="inlineStr">
        <is>
          <t>CNY</t>
        </is>
      </c>
      <c r="I20" t="inlineStr">
        <is>
          <t>CNY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b">
        <v>1</v>
      </c>
    </row>
    <row r="21">
      <c r="A21" t="inlineStr">
        <is>
          <t>A股</t>
        </is>
      </c>
      <c r="B21" t="inlineStr">
        <is>
          <t>920981</t>
        </is>
      </c>
      <c r="C21" t="inlineStr">
        <is>
          <t>晶赛科技</t>
        </is>
      </c>
      <c r="D21" t="inlineStr">
        <is>
          <t>资金流</t>
        </is>
      </c>
      <c r="E21" t="inlineStr">
        <is>
          <t>东方财富</t>
        </is>
      </c>
      <c r="F21" t="inlineStr">
        <is>
          <t>fast-mode-no-reliable-batch-endpoint</t>
        </is>
      </c>
      <c r="G21" s="32" t="n">
        <v>46263.26159564944</v>
      </c>
      <c r="I21" t="inlineStr">
        <is>
          <t>CNY</t>
        </is>
      </c>
      <c r="J21" t="inlineStr">
        <is>
          <t>optional_missing</t>
        </is>
      </c>
      <c r="K21" t="inlineStr">
        <is>
          <t>快速模式未发现可靠的批量近五个交易日同口径字段，为避免逐股慢请求，本次留空</t>
        </is>
      </c>
      <c r="L21" t="b">
        <v>0</v>
      </c>
      <c r="M21" t="inlineStr">
        <is>
          <t>东方财富</t>
        </is>
      </c>
      <c r="N21" t="b">
        <v>1</v>
      </c>
    </row>
    <row r="22">
      <c r="A22" t="inlineStr">
        <is>
          <t>A股</t>
        </is>
      </c>
      <c r="B22" t="inlineStr">
        <is>
          <t>920978</t>
        </is>
      </c>
      <c r="C22" t="inlineStr">
        <is>
          <t>开特股份</t>
        </is>
      </c>
      <c r="D22" t="inlineStr">
        <is>
          <t>最新行情</t>
        </is>
      </c>
      <c r="E22" t="inlineStr">
        <is>
          <t>东方财富</t>
        </is>
      </c>
      <c r="F22" t="inlineStr">
        <is>
          <t>push2 ulist.np/get f2,f20（按指定证券分批）</t>
        </is>
      </c>
      <c r="G22" s="32" t="n">
        <v>46263.26140913873</v>
      </c>
      <c r="H22" t="inlineStr">
        <is>
          <t>CNY</t>
        </is>
      </c>
      <c r="I22" t="inlineStr">
        <is>
          <t>CNY</t>
        </is>
      </c>
      <c r="J22" t="inlineStr">
        <is>
          <t>ok</t>
        </is>
      </c>
      <c r="L22" t="b">
        <v>0</v>
      </c>
      <c r="M22" t="inlineStr">
        <is>
          <t>东方财富</t>
        </is>
      </c>
      <c r="N22" t="b">
        <v>1</v>
      </c>
    </row>
    <row r="23">
      <c r="A23" t="inlineStr">
        <is>
          <t>A股</t>
        </is>
      </c>
      <c r="B23" t="inlineStr">
        <is>
          <t>920978</t>
        </is>
      </c>
      <c r="C23" t="inlineStr">
        <is>
          <t>开特股份</t>
        </is>
      </c>
      <c r="D23" t="inlineStr">
        <is>
          <t>大宗交易</t>
        </is>
      </c>
      <c r="E23" t="inlineStr">
        <is>
          <t>东方财富</t>
        </is>
      </c>
      <c r="F23" t="inlineStr">
        <is>
          <t>RPT_DATA_BLOCKTRADE 2026（全市场分页后本地聚合）</t>
        </is>
      </c>
      <c r="G23" s="32" t="n">
        <v>46263.26141481438</v>
      </c>
      <c r="H23" t="inlineStr">
        <is>
          <t>CNY</t>
        </is>
      </c>
      <c r="I23" t="inlineStr">
        <is>
          <t>CNY</t>
        </is>
      </c>
      <c r="J23" t="inlineStr">
        <is>
          <t>ok</t>
        </is>
      </c>
      <c r="L23" t="b">
        <v>0</v>
      </c>
      <c r="M23" t="inlineStr">
        <is>
          <t>东方财富</t>
        </is>
      </c>
      <c r="N23" t="b">
        <v>1</v>
      </c>
    </row>
    <row r="24">
      <c r="A24" t="inlineStr">
        <is>
          <t>A股</t>
        </is>
      </c>
      <c r="B24" t="inlineStr">
        <is>
          <t>920978</t>
        </is>
      </c>
      <c r="C24" t="inlineStr">
        <is>
          <t>开特股份</t>
        </is>
      </c>
      <c r="D24" t="inlineStr">
        <is>
          <t>年度财务</t>
        </is>
      </c>
      <c r="E24" t="inlineStr">
        <is>
          <t>东方财富</t>
        </is>
      </c>
      <c r="F24" t="inlineStr">
        <is>
          <t>RPT_LICO_FN_CPD + RPT_DMSK_FN_CASHFLOW；巨潮回退原因：未配置巨潮官方 API 凭证/端点（CNINFO_ACCESS_TOKEN、CNINFO_INCOME_API_URL、CNINFO_CASHFLOW_API_URL）</t>
        </is>
      </c>
      <c r="G24" s="32" t="n">
        <v>46263.26142778298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L24" t="b">
        <v>1</v>
      </c>
      <c r="M24" t="inlineStr">
        <is>
          <t>巨潮资讯（CNINFO Data Service）</t>
        </is>
      </c>
      <c r="N24" t="b">
        <v>1</v>
      </c>
    </row>
    <row r="25">
      <c r="A25" t="inlineStr">
        <is>
          <t>A股</t>
        </is>
      </c>
      <c r="B25" t="inlineStr">
        <is>
          <t>920978</t>
        </is>
      </c>
      <c r="C25" t="inlineStr">
        <is>
          <t>开特股份</t>
        </is>
      </c>
      <c r="D25" t="inlineStr">
        <is>
          <t>上市与发行信息</t>
        </is>
      </c>
      <c r="E25" t="inlineStr">
        <is>
          <t>东方财富</t>
        </is>
      </c>
      <c r="F25" t="inlineStr">
        <is>
          <t>RPT_PCF10_ORG_ISSUEINFO</t>
        </is>
      </c>
      <c r="G25" s="32" t="n">
        <v>46263.26154103061</v>
      </c>
      <c r="H25" t="inlineStr">
        <is>
          <t>CNY</t>
        </is>
      </c>
      <c r="I25" t="inlineStr">
        <is>
          <t>CNY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b">
        <v>1</v>
      </c>
    </row>
    <row r="26">
      <c r="A26" t="inlineStr">
        <is>
          <t>A股</t>
        </is>
      </c>
      <c r="B26" t="inlineStr">
        <is>
          <t>920978</t>
        </is>
      </c>
      <c r="C26" t="inlineStr">
        <is>
          <t>开特股份</t>
        </is>
      </c>
      <c r="D26" t="inlineStr">
        <is>
          <t>资金流</t>
        </is>
      </c>
      <c r="E26" t="inlineStr">
        <is>
          <t>东方财富</t>
        </is>
      </c>
      <c r="F26" t="inlineStr">
        <is>
          <t>fast-mode-no-reliable-batch-endpoint</t>
        </is>
      </c>
      <c r="G26" s="32" t="n">
        <v>46263.26159564944</v>
      </c>
      <c r="I26" t="inlineStr">
        <is>
          <t>CNY</t>
        </is>
      </c>
      <c r="J26" t="inlineStr">
        <is>
          <t>optional_missing</t>
        </is>
      </c>
      <c r="K26" t="inlineStr">
        <is>
          <t>快速模式未发现可靠的批量近五个交易日同口径字段，为避免逐股慢请求，本次留空</t>
        </is>
      </c>
      <c r="L26" t="b">
        <v>0</v>
      </c>
      <c r="M26" t="inlineStr">
        <is>
          <t>东方财富</t>
        </is>
      </c>
      <c r="N26" t="b">
        <v>1</v>
      </c>
    </row>
    <row r="27">
      <c r="A27" t="inlineStr">
        <is>
          <t>A股</t>
        </is>
      </c>
      <c r="B27" t="inlineStr">
        <is>
          <t>920976</t>
        </is>
      </c>
      <c r="C27" t="inlineStr">
        <is>
          <t>视声智能</t>
        </is>
      </c>
      <c r="D27" t="inlineStr">
        <is>
          <t>最新行情</t>
        </is>
      </c>
      <c r="E27" t="inlineStr">
        <is>
          <t>东方财富</t>
        </is>
      </c>
      <c r="F27" t="inlineStr">
        <is>
          <t>push2 ulist.np/get f2,f20（按指定证券分批）</t>
        </is>
      </c>
      <c r="G27" s="32" t="n">
        <v>46263.26140913873</v>
      </c>
      <c r="H27" t="inlineStr">
        <is>
          <t>CNY</t>
        </is>
      </c>
      <c r="I27" t="inlineStr">
        <is>
          <t>CNY</t>
        </is>
      </c>
      <c r="J27" t="inlineStr">
        <is>
          <t>ok</t>
        </is>
      </c>
      <c r="L27" t="b">
        <v>0</v>
      </c>
      <c r="M27" t="inlineStr">
        <is>
          <t>东方财富</t>
        </is>
      </c>
      <c r="N27" t="b">
        <v>1</v>
      </c>
    </row>
    <row r="28">
      <c r="A28" t="inlineStr">
        <is>
          <t>A股</t>
        </is>
      </c>
      <c r="B28" t="inlineStr">
        <is>
          <t>920976</t>
        </is>
      </c>
      <c r="C28" t="inlineStr">
        <is>
          <t>视声智能</t>
        </is>
      </c>
      <c r="D28" t="inlineStr">
        <is>
          <t>大宗交易</t>
        </is>
      </c>
      <c r="E28" t="inlineStr">
        <is>
          <t>东方财富</t>
        </is>
      </c>
      <c r="F28" t="inlineStr">
        <is>
          <t>RPT_DATA_BLOCKTRADE 2026（全市场分页后本地聚合）</t>
        </is>
      </c>
      <c r="G28" s="32" t="n">
        <v>46263.26141482598</v>
      </c>
      <c r="H28" t="inlineStr">
        <is>
          <t>CNY</t>
        </is>
      </c>
      <c r="I28" t="inlineStr">
        <is>
          <t>CNY</t>
        </is>
      </c>
      <c r="J28" t="inlineStr">
        <is>
          <t>ok</t>
        </is>
      </c>
      <c r="L28" t="b">
        <v>0</v>
      </c>
      <c r="M28" t="inlineStr">
        <is>
          <t>东方财富</t>
        </is>
      </c>
      <c r="N28" t="b">
        <v>1</v>
      </c>
    </row>
    <row r="29">
      <c r="A29" t="inlineStr">
        <is>
          <t>A股</t>
        </is>
      </c>
      <c r="B29" t="inlineStr">
        <is>
          <t>920976</t>
        </is>
      </c>
      <c r="C29" t="inlineStr">
        <is>
          <t>视声智能</t>
        </is>
      </c>
      <c r="D29" t="inlineStr">
        <is>
          <t>年度财务</t>
        </is>
      </c>
      <c r="E29" t="inlineStr">
        <is>
          <t>东方财富</t>
        </is>
      </c>
      <c r="F29" t="inlineStr">
        <is>
          <t>RPT_LICO_FN_CPD + RPT_DMSK_FN_CASHFLOW；巨潮回退原因：未配置巨潮官方 API 凭证/端点（CNINFO_ACCESS_TOKEN、CNINFO_INCOME_API_URL、CNINFO_CASHFLOW_API_URL）</t>
        </is>
      </c>
      <c r="G29" s="32" t="n">
        <v>46263.26142702884</v>
      </c>
      <c r="H29" t="inlineStr">
        <is>
          <t>CNY</t>
        </is>
      </c>
      <c r="I29" t="inlineStr">
        <is>
          <t>CNY</t>
        </is>
      </c>
      <c r="J29" t="inlineStr">
        <is>
          <t>ok</t>
        </is>
      </c>
      <c r="L29" t="b">
        <v>1</v>
      </c>
      <c r="M29" t="inlineStr">
        <is>
          <t>巨潮资讯（CNINFO Data Service）</t>
        </is>
      </c>
      <c r="N29" t="b">
        <v>1</v>
      </c>
    </row>
    <row r="30">
      <c r="A30" t="inlineStr">
        <is>
          <t>A股</t>
        </is>
      </c>
      <c r="B30" t="inlineStr">
        <is>
          <t>920976</t>
        </is>
      </c>
      <c r="C30" t="inlineStr">
        <is>
          <t>视声智能</t>
        </is>
      </c>
      <c r="D30" t="inlineStr">
        <is>
          <t>上市与发行信息</t>
        </is>
      </c>
      <c r="E30" t="inlineStr">
        <is>
          <t>东方财富</t>
        </is>
      </c>
      <c r="F30" t="inlineStr">
        <is>
          <t>RPT_PCF10_ORG_ISSUEINFO</t>
        </is>
      </c>
      <c r="G30" s="32" t="n">
        <v>46263.26154142321</v>
      </c>
      <c r="H30" t="inlineStr">
        <is>
          <t>CNY</t>
        </is>
      </c>
      <c r="I30" t="inlineStr">
        <is>
          <t>CNY</t>
        </is>
      </c>
      <c r="J30" t="inlineStr">
        <is>
          <t>ok</t>
        </is>
      </c>
      <c r="L30" t="b">
        <v>0</v>
      </c>
      <c r="M30" t="inlineStr">
        <is>
          <t>东方财富</t>
        </is>
      </c>
      <c r="N30" t="b">
        <v>1</v>
      </c>
    </row>
    <row r="31">
      <c r="A31" t="inlineStr">
        <is>
          <t>A股</t>
        </is>
      </c>
      <c r="B31" t="inlineStr">
        <is>
          <t>920976</t>
        </is>
      </c>
      <c r="C31" t="inlineStr">
        <is>
          <t>视声智能</t>
        </is>
      </c>
      <c r="D31" t="inlineStr">
        <is>
          <t>资金流</t>
        </is>
      </c>
      <c r="E31" t="inlineStr">
        <is>
          <t>东方财富</t>
        </is>
      </c>
      <c r="F31" t="inlineStr">
        <is>
          <t>fast-mode-no-reliable-batch-endpoint</t>
        </is>
      </c>
      <c r="G31" s="32" t="n">
        <v>46263.26159564944</v>
      </c>
      <c r="I31" t="inlineStr">
        <is>
          <t>CNY</t>
        </is>
      </c>
      <c r="J31" t="inlineStr">
        <is>
          <t>optional_missing</t>
        </is>
      </c>
      <c r="K31" t="inlineStr">
        <is>
          <t>快速模式未发现可靠的批量近五个交易日同口径字段，为避免逐股慢请求，本次留空</t>
        </is>
      </c>
      <c r="L31" t="b">
        <v>0</v>
      </c>
      <c r="M31" t="inlineStr">
        <is>
          <t>东方财富</t>
        </is>
      </c>
      <c r="N31" t="b">
        <v>1</v>
      </c>
    </row>
    <row r="32">
      <c r="A32" t="inlineStr">
        <is>
          <t>A股</t>
        </is>
      </c>
      <c r="B32" t="inlineStr">
        <is>
          <t>920974</t>
        </is>
      </c>
      <c r="C32" t="inlineStr">
        <is>
          <t>凯大催化</t>
        </is>
      </c>
      <c r="D32" t="inlineStr">
        <is>
          <t>最新行情</t>
        </is>
      </c>
      <c r="E32" t="inlineStr">
        <is>
          <t>东方财富</t>
        </is>
      </c>
      <c r="F32" t="inlineStr">
        <is>
          <t>push2 ulist.np/get f2,f20（按指定证券分批）</t>
        </is>
      </c>
      <c r="G32" s="32" t="n">
        <v>46263.26140913873</v>
      </c>
      <c r="H32" t="inlineStr">
        <is>
          <t>CNY</t>
        </is>
      </c>
      <c r="I32" t="inlineStr">
        <is>
          <t>CNY</t>
        </is>
      </c>
      <c r="J32" t="inlineStr">
        <is>
          <t>ok</t>
        </is>
      </c>
      <c r="L32" t="b">
        <v>0</v>
      </c>
      <c r="M32" t="inlineStr">
        <is>
          <t>东方财富</t>
        </is>
      </c>
      <c r="N32" t="b">
        <v>1</v>
      </c>
    </row>
    <row r="33">
      <c r="A33" t="inlineStr">
        <is>
          <t>A股</t>
        </is>
      </c>
      <c r="B33" t="inlineStr">
        <is>
          <t>920974</t>
        </is>
      </c>
      <c r="C33" t="inlineStr">
        <is>
          <t>凯大催化</t>
        </is>
      </c>
      <c r="D33" t="inlineStr">
        <is>
          <t>大宗交易</t>
        </is>
      </c>
      <c r="E33" t="inlineStr">
        <is>
          <t>东方财富</t>
        </is>
      </c>
      <c r="F33" t="inlineStr">
        <is>
          <t>RPT_DATA_BLOCKTRADE 2026（全市场分页后本地聚合）</t>
        </is>
      </c>
      <c r="G33" s="32" t="n">
        <v>46263.26141482598</v>
      </c>
      <c r="H33" t="inlineStr">
        <is>
          <t>CNY</t>
        </is>
      </c>
      <c r="I33" t="inlineStr">
        <is>
          <t>CNY</t>
        </is>
      </c>
      <c r="J33" t="inlineStr">
        <is>
          <t>ok</t>
        </is>
      </c>
      <c r="L33" t="b">
        <v>0</v>
      </c>
      <c r="M33" t="inlineStr">
        <is>
          <t>东方财富</t>
        </is>
      </c>
      <c r="N33" t="b">
        <v>1</v>
      </c>
    </row>
    <row r="34">
      <c r="A34" t="inlineStr">
        <is>
          <t>A股</t>
        </is>
      </c>
      <c r="B34" t="inlineStr">
        <is>
          <t>920974</t>
        </is>
      </c>
      <c r="C34" t="inlineStr">
        <is>
          <t>凯大催化</t>
        </is>
      </c>
      <c r="D34" t="inlineStr">
        <is>
          <t>年度财务</t>
        </is>
      </c>
      <c r="E34" t="inlineStr">
        <is>
          <t>东方财富</t>
        </is>
      </c>
      <c r="F34" t="inlineStr">
        <is>
          <t>RPT_LICO_FN_CPD + RPT_DMSK_FN_CASHFLOW；巨潮回退原因：未配置巨潮官方 API 凭证/端点（CNINFO_ACCESS_TOKEN、CNINFO_INCOME_API_URL、CNINFO_CASHFLOW_API_URL）</t>
        </is>
      </c>
      <c r="G34" s="32" t="n">
        <v>46263.2614259066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L34" t="b">
        <v>1</v>
      </c>
      <c r="M34" t="inlineStr">
        <is>
          <t>巨潮资讯（CNINFO Data Service）</t>
        </is>
      </c>
      <c r="N34" t="b">
        <v>1</v>
      </c>
    </row>
    <row r="35">
      <c r="A35" t="inlineStr">
        <is>
          <t>A股</t>
        </is>
      </c>
      <c r="B35" t="inlineStr">
        <is>
          <t>920974</t>
        </is>
      </c>
      <c r="C35" t="inlineStr">
        <is>
          <t>凯大催化</t>
        </is>
      </c>
      <c r="D35" t="inlineStr">
        <is>
          <t>上市与发行信息</t>
        </is>
      </c>
      <c r="E35" t="inlineStr">
        <is>
          <t>东方财富</t>
        </is>
      </c>
      <c r="F35" t="inlineStr">
        <is>
          <t>RPT_PCF10_ORG_ISSUEINFO</t>
        </is>
      </c>
      <c r="G35" s="32" t="n">
        <v>46263.26154163322</v>
      </c>
      <c r="H35" t="inlineStr">
        <is>
          <t>CNY</t>
        </is>
      </c>
      <c r="I35" t="inlineStr">
        <is>
          <t>CNY</t>
        </is>
      </c>
      <c r="J35" t="inlineStr">
        <is>
          <t>ok</t>
        </is>
      </c>
      <c r="L35" t="b">
        <v>0</v>
      </c>
      <c r="M35" t="inlineStr">
        <is>
          <t>东方财富</t>
        </is>
      </c>
      <c r="N35" t="b">
        <v>1</v>
      </c>
    </row>
    <row r="36">
      <c r="A36" t="inlineStr">
        <is>
          <t>A股</t>
        </is>
      </c>
      <c r="B36" t="inlineStr">
        <is>
          <t>920974</t>
        </is>
      </c>
      <c r="C36" t="inlineStr">
        <is>
          <t>凯大催化</t>
        </is>
      </c>
      <c r="D36" t="inlineStr">
        <is>
          <t>资金流</t>
        </is>
      </c>
      <c r="E36" t="inlineStr">
        <is>
          <t>东方财富</t>
        </is>
      </c>
      <c r="F36" t="inlineStr">
        <is>
          <t>fast-mode-no-reliable-batch-endpoint</t>
        </is>
      </c>
      <c r="G36" s="32" t="n">
        <v>46263.26159564944</v>
      </c>
      <c r="I36" t="inlineStr">
        <is>
          <t>CNY</t>
        </is>
      </c>
      <c r="J36" t="inlineStr">
        <is>
          <t>optional_missing</t>
        </is>
      </c>
      <c r="K36" t="inlineStr">
        <is>
          <t>快速模式未发现可靠的批量近五个交易日同口径字段，为避免逐股慢请求，本次留空</t>
        </is>
      </c>
      <c r="L36" t="b">
        <v>0</v>
      </c>
      <c r="M36" t="inlineStr">
        <is>
          <t>东方财富</t>
        </is>
      </c>
      <c r="N36" t="b">
        <v>1</v>
      </c>
    </row>
    <row r="37">
      <c r="A37" t="inlineStr">
        <is>
          <t>A股</t>
        </is>
      </c>
      <c r="B37" t="inlineStr">
        <is>
          <t>920971</t>
        </is>
      </c>
      <c r="C37" t="inlineStr">
        <is>
          <t>天马新材</t>
        </is>
      </c>
      <c r="D37" t="inlineStr">
        <is>
          <t>最新行情</t>
        </is>
      </c>
      <c r="E37" t="inlineStr">
        <is>
          <t>东方财富</t>
        </is>
      </c>
      <c r="F37" t="inlineStr">
        <is>
          <t>push2 ulist.np/get f2,f20（按指定证券分批）</t>
        </is>
      </c>
      <c r="G37" s="32" t="n">
        <v>46263.26140913873</v>
      </c>
      <c r="H37" t="inlineStr">
        <is>
          <t>CNY</t>
        </is>
      </c>
      <c r="I37" t="inlineStr">
        <is>
          <t>CNY</t>
        </is>
      </c>
      <c r="J37" t="inlineStr">
        <is>
          <t>ok</t>
        </is>
      </c>
      <c r="L37" t="b">
        <v>0</v>
      </c>
      <c r="M37" t="inlineStr">
        <is>
          <t>东方财富</t>
        </is>
      </c>
      <c r="N37" t="b">
        <v>1</v>
      </c>
    </row>
    <row r="38">
      <c r="A38" t="inlineStr">
        <is>
          <t>A股</t>
        </is>
      </c>
      <c r="B38" t="inlineStr">
        <is>
          <t>920971</t>
        </is>
      </c>
      <c r="C38" t="inlineStr">
        <is>
          <t>天马新材</t>
        </is>
      </c>
      <c r="D38" t="inlineStr">
        <is>
          <t>大宗交易</t>
        </is>
      </c>
      <c r="E38" t="inlineStr">
        <is>
          <t>东方财富</t>
        </is>
      </c>
      <c r="F38" t="inlineStr">
        <is>
          <t>RPT_DATA_BLOCKTRADE 2026（全市场分页后本地聚合）</t>
        </is>
      </c>
      <c r="G38" s="32" t="n">
        <v>46263.26141482598</v>
      </c>
      <c r="H38" t="inlineStr">
        <is>
          <t>CNY</t>
        </is>
      </c>
      <c r="I38" t="inlineStr">
        <is>
          <t>CNY</t>
        </is>
      </c>
      <c r="J38" t="inlineStr">
        <is>
          <t>ok</t>
        </is>
      </c>
      <c r="L38" t="b">
        <v>0</v>
      </c>
      <c r="M38" t="inlineStr">
        <is>
          <t>东方财富</t>
        </is>
      </c>
      <c r="N38" t="b">
        <v>1</v>
      </c>
    </row>
    <row r="39">
      <c r="A39" t="inlineStr">
        <is>
          <t>A股</t>
        </is>
      </c>
      <c r="B39" t="inlineStr">
        <is>
          <t>920971</t>
        </is>
      </c>
      <c r="C39" t="inlineStr">
        <is>
          <t>天马新材</t>
        </is>
      </c>
      <c r="D39" t="inlineStr">
        <is>
          <t>年度财务</t>
        </is>
      </c>
      <c r="E39" t="inlineStr">
        <is>
          <t>东方财富</t>
        </is>
      </c>
      <c r="F39" t="inlineStr">
        <is>
          <t>RPT_LICO_FN_CPD + RPT_DMSK_FN_CASHFLOW；巨潮回退原因：未配置巨潮官方 API 凭证/端点（CNINFO_ACCESS_TOKEN、CNINFO_INCOME_API_URL、CNINFO_CASHFLOW_API_URL）</t>
        </is>
      </c>
      <c r="G39" s="32" t="n">
        <v>46263.26142602618</v>
      </c>
      <c r="H39" t="inlineStr">
        <is>
          <t>CNY</t>
        </is>
      </c>
      <c r="I39" t="inlineStr">
        <is>
          <t>CNY</t>
        </is>
      </c>
      <c r="J39" t="inlineStr">
        <is>
          <t>ok</t>
        </is>
      </c>
      <c r="L39" t="b">
        <v>1</v>
      </c>
      <c r="M39" t="inlineStr">
        <is>
          <t>巨潮资讯（CNINFO Data Service）</t>
        </is>
      </c>
      <c r="N39" t="b">
        <v>1</v>
      </c>
    </row>
    <row r="40">
      <c r="A40" t="inlineStr">
        <is>
          <t>A股</t>
        </is>
      </c>
      <c r="B40" t="inlineStr">
        <is>
          <t>920971</t>
        </is>
      </c>
      <c r="C40" t="inlineStr">
        <is>
          <t>天马新材</t>
        </is>
      </c>
      <c r="D40" t="inlineStr">
        <is>
          <t>上市与发行信息</t>
        </is>
      </c>
      <c r="E40" t="inlineStr">
        <is>
          <t>东方财富</t>
        </is>
      </c>
      <c r="F40" t="inlineStr">
        <is>
          <t>RPT_PCF10_ORG_ISSUEINFO</t>
        </is>
      </c>
      <c r="G40" s="32" t="n">
        <v>46263.26154221905</v>
      </c>
      <c r="H40" t="inlineStr">
        <is>
          <t>CNY</t>
        </is>
      </c>
      <c r="I40" t="inlineStr">
        <is>
          <t>CNY</t>
        </is>
      </c>
      <c r="J40" t="inlineStr">
        <is>
          <t>ok</t>
        </is>
      </c>
      <c r="L40" t="b">
        <v>0</v>
      </c>
      <c r="M40" t="inlineStr">
        <is>
          <t>东方财富</t>
        </is>
      </c>
      <c r="N40" t="b">
        <v>1</v>
      </c>
    </row>
    <row r="41">
      <c r="A41" t="inlineStr">
        <is>
          <t>A股</t>
        </is>
      </c>
      <c r="B41" t="inlineStr">
        <is>
          <t>920971</t>
        </is>
      </c>
      <c r="C41" t="inlineStr">
        <is>
          <t>天马新材</t>
        </is>
      </c>
      <c r="D41" t="inlineStr">
        <is>
          <t>资金流</t>
        </is>
      </c>
      <c r="E41" t="inlineStr">
        <is>
          <t>东方财富</t>
        </is>
      </c>
      <c r="F41" t="inlineStr">
        <is>
          <t>fast-mode-no-reliable-batch-endpoint</t>
        </is>
      </c>
      <c r="G41" s="32" t="n">
        <v>46263.26159564944</v>
      </c>
      <c r="I41" t="inlineStr">
        <is>
          <t>CNY</t>
        </is>
      </c>
      <c r="J41" t="inlineStr">
        <is>
          <t>optional_missing</t>
        </is>
      </c>
      <c r="K41" t="inlineStr">
        <is>
          <t>快速模式未发现可靠的批量近五个交易日同口径字段，为避免逐股慢请求，本次留空</t>
        </is>
      </c>
      <c r="L41" t="b">
        <v>0</v>
      </c>
      <c r="M41" t="inlineStr">
        <is>
          <t>东方财富</t>
        </is>
      </c>
      <c r="N41" t="b">
        <v>1</v>
      </c>
    </row>
    <row r="42">
      <c r="A42" t="inlineStr">
        <is>
          <t>A股</t>
        </is>
      </c>
      <c r="B42" t="inlineStr">
        <is>
          <t>920970</t>
        </is>
      </c>
      <c r="C42" t="inlineStr">
        <is>
          <t>大禹生物</t>
        </is>
      </c>
      <c r="D42" t="inlineStr">
        <is>
          <t>最新行情</t>
        </is>
      </c>
      <c r="E42" t="inlineStr">
        <is>
          <t>东方财富</t>
        </is>
      </c>
      <c r="F42" t="inlineStr">
        <is>
          <t>push2 ulist.np/get f2,f20（按指定证券分批）</t>
        </is>
      </c>
      <c r="G42" s="32" t="n">
        <v>46263.26140913873</v>
      </c>
      <c r="H42" t="inlineStr">
        <is>
          <t>CNY</t>
        </is>
      </c>
      <c r="I42" t="inlineStr">
        <is>
          <t>CNY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b">
        <v>1</v>
      </c>
    </row>
    <row r="43">
      <c r="A43" t="inlineStr">
        <is>
          <t>A股</t>
        </is>
      </c>
      <c r="B43" t="inlineStr">
        <is>
          <t>920970</t>
        </is>
      </c>
      <c r="C43" t="inlineStr">
        <is>
          <t>大禹生物</t>
        </is>
      </c>
      <c r="D43" t="inlineStr">
        <is>
          <t>大宗交易</t>
        </is>
      </c>
      <c r="E43" t="inlineStr">
        <is>
          <t>东方财富</t>
        </is>
      </c>
      <c r="F43" t="inlineStr">
        <is>
          <t>RPT_DATA_BLOCKTRADE 2026（全市场分页后本地聚合）</t>
        </is>
      </c>
      <c r="G43" s="32" t="n">
        <v>46263.26141482598</v>
      </c>
      <c r="H43" t="inlineStr">
        <is>
          <t>CNY</t>
        </is>
      </c>
      <c r="I43" t="inlineStr">
        <is>
          <t>CNY</t>
        </is>
      </c>
      <c r="J43" t="inlineStr">
        <is>
          <t>ok</t>
        </is>
      </c>
      <c r="L43" t="b">
        <v>0</v>
      </c>
      <c r="M43" t="inlineStr">
        <is>
          <t>东方财富</t>
        </is>
      </c>
      <c r="N43" t="b">
        <v>1</v>
      </c>
    </row>
    <row r="44">
      <c r="A44" t="inlineStr">
        <is>
          <t>A股</t>
        </is>
      </c>
      <c r="B44" t="inlineStr">
        <is>
          <t>920970</t>
        </is>
      </c>
      <c r="C44" t="inlineStr">
        <is>
          <t>大禹生物</t>
        </is>
      </c>
      <c r="D44" t="inlineStr">
        <is>
          <t>年度财务</t>
        </is>
      </c>
      <c r="E44" t="inlineStr">
        <is>
          <t>东方财富</t>
        </is>
      </c>
      <c r="F44" t="inlineStr">
        <is>
          <t>RPT_LICO_FN_CPD + RPT_DMSK_FN_CASHFLOW；巨潮回退原因：未配置巨潮官方 API 凭证/端点（CNINFO_ACCESS_TOKEN、CNINFO_INCOME_API_URL、CNINFO_CASHFLOW_API_URL）</t>
        </is>
      </c>
      <c r="G44" s="32" t="n">
        <v>46263.26143147671</v>
      </c>
      <c r="H44" t="inlineStr">
        <is>
          <t>CNY</t>
        </is>
      </c>
      <c r="I44" t="inlineStr">
        <is>
          <t>CNY</t>
        </is>
      </c>
      <c r="J44" t="inlineStr">
        <is>
          <t>ok</t>
        </is>
      </c>
      <c r="L44" t="b">
        <v>1</v>
      </c>
      <c r="M44" t="inlineStr">
        <is>
          <t>巨潮资讯（CNINFO Data Service）</t>
        </is>
      </c>
      <c r="N44" t="b">
        <v>1</v>
      </c>
    </row>
    <row r="45">
      <c r="A45" t="inlineStr">
        <is>
          <t>A股</t>
        </is>
      </c>
      <c r="B45" t="inlineStr">
        <is>
          <t>920970</t>
        </is>
      </c>
      <c r="C45" t="inlineStr">
        <is>
          <t>大禹生物</t>
        </is>
      </c>
      <c r="D45" t="inlineStr">
        <is>
          <t>上市与发行信息</t>
        </is>
      </c>
      <c r="E45" t="inlineStr">
        <is>
          <t>东方财富</t>
        </is>
      </c>
      <c r="F45" t="inlineStr">
        <is>
          <t>RPT_PCF10_ORG_ISSUEINFO</t>
        </is>
      </c>
      <c r="G45" s="32" t="n">
        <v>46263.2615429425</v>
      </c>
      <c r="H45" t="inlineStr">
        <is>
          <t>CNY</t>
        </is>
      </c>
      <c r="I45" t="inlineStr">
        <is>
          <t>CNY</t>
        </is>
      </c>
      <c r="J45" t="inlineStr">
        <is>
          <t>ok</t>
        </is>
      </c>
      <c r="L45" t="b">
        <v>0</v>
      </c>
      <c r="M45" t="inlineStr">
        <is>
          <t>东方财富</t>
        </is>
      </c>
      <c r="N45" t="b">
        <v>1</v>
      </c>
    </row>
    <row r="46">
      <c r="A46" t="inlineStr">
        <is>
          <t>A股</t>
        </is>
      </c>
      <c r="B46" t="inlineStr">
        <is>
          <t>920970</t>
        </is>
      </c>
      <c r="C46" t="inlineStr">
        <is>
          <t>大禹生物</t>
        </is>
      </c>
      <c r="D46" t="inlineStr">
        <is>
          <t>资金流</t>
        </is>
      </c>
      <c r="E46" t="inlineStr">
        <is>
          <t>东方财富</t>
        </is>
      </c>
      <c r="F46" t="inlineStr">
        <is>
          <t>fast-mode-no-reliable-batch-endpoint</t>
        </is>
      </c>
      <c r="G46" s="32" t="n">
        <v>46263.26159564944</v>
      </c>
      <c r="I46" t="inlineStr">
        <is>
          <t>CNY</t>
        </is>
      </c>
      <c r="J46" t="inlineStr">
        <is>
          <t>optional_missing</t>
        </is>
      </c>
      <c r="K46" t="inlineStr">
        <is>
          <t>快速模式未发现可靠的批量近五个交易日同口径字段，为避免逐股慢请求，本次留空</t>
        </is>
      </c>
      <c r="L46" t="b">
        <v>0</v>
      </c>
      <c r="M46" t="inlineStr">
        <is>
          <t>东方财富</t>
        </is>
      </c>
      <c r="N46" t="b">
        <v>1</v>
      </c>
    </row>
    <row r="47">
      <c r="A47" t="inlineStr">
        <is>
          <t>A股</t>
        </is>
      </c>
      <c r="B47" t="inlineStr">
        <is>
          <t>920964</t>
        </is>
      </c>
      <c r="C47" t="inlineStr">
        <is>
          <t>润农节水</t>
        </is>
      </c>
      <c r="D47" t="inlineStr">
        <is>
          <t>最新行情</t>
        </is>
      </c>
      <c r="E47" t="inlineStr">
        <is>
          <t>东方财富</t>
        </is>
      </c>
      <c r="F47" t="inlineStr">
        <is>
          <t>push2 ulist.np/get f2,f20（按指定证券分批）</t>
        </is>
      </c>
      <c r="G47" s="32" t="n">
        <v>46263.26140913873</v>
      </c>
      <c r="H47" t="inlineStr">
        <is>
          <t>CNY</t>
        </is>
      </c>
      <c r="I47" t="inlineStr">
        <is>
          <t>CNY</t>
        </is>
      </c>
      <c r="J47" t="inlineStr">
        <is>
          <t>ok</t>
        </is>
      </c>
      <c r="L47" t="b">
        <v>0</v>
      </c>
      <c r="M47" t="inlineStr">
        <is>
          <t>东方财富</t>
        </is>
      </c>
      <c r="N47" t="b">
        <v>1</v>
      </c>
    </row>
    <row r="48">
      <c r="A48" t="inlineStr">
        <is>
          <t>A股</t>
        </is>
      </c>
      <c r="B48" t="inlineStr">
        <is>
          <t>920964</t>
        </is>
      </c>
      <c r="C48" t="inlineStr">
        <is>
          <t>润农节水</t>
        </is>
      </c>
      <c r="D48" t="inlineStr">
        <is>
          <t>大宗交易</t>
        </is>
      </c>
      <c r="E48" t="inlineStr">
        <is>
          <t>东方财富</t>
        </is>
      </c>
      <c r="F48" t="inlineStr">
        <is>
          <t>RPT_DATA_BLOCKTRADE 2026（全市场分页后本地聚合）</t>
        </is>
      </c>
      <c r="G48" s="32" t="n">
        <v>46263.26141482598</v>
      </c>
      <c r="H48" t="inlineStr">
        <is>
          <t>CNY</t>
        </is>
      </c>
      <c r="I48" t="inlineStr">
        <is>
          <t>CNY</t>
        </is>
      </c>
      <c r="J48" t="inlineStr">
        <is>
          <t>ok</t>
        </is>
      </c>
      <c r="L48" t="b">
        <v>0</v>
      </c>
      <c r="M48" t="inlineStr">
        <is>
          <t>东方财富</t>
        </is>
      </c>
      <c r="N48" t="b">
        <v>1</v>
      </c>
    </row>
    <row r="49">
      <c r="A49" t="inlineStr">
        <is>
          <t>A股</t>
        </is>
      </c>
      <c r="B49" t="inlineStr">
        <is>
          <t>920964</t>
        </is>
      </c>
      <c r="C49" t="inlineStr">
        <is>
          <t>润农节水</t>
        </is>
      </c>
      <c r="D49" t="inlineStr">
        <is>
          <t>年度财务</t>
        </is>
      </c>
      <c r="E49" t="inlineStr">
        <is>
          <t>东方财富</t>
        </is>
      </c>
      <c r="F49" t="inlineStr">
        <is>
          <t>RPT_LICO_FN_CPD + RPT_DMSK_FN_CASHFLOW；巨潮回退原因：未配置巨潮官方 API 凭证/端点（CNINFO_ACCESS_TOKEN、CNINFO_INCOME_API_URL、CNINFO_CASHFLOW_API_URL）</t>
        </is>
      </c>
      <c r="G49" s="32" t="n">
        <v>46263.26143421313</v>
      </c>
      <c r="H49" t="inlineStr">
        <is>
          <t>CNY</t>
        </is>
      </c>
      <c r="I49" t="inlineStr">
        <is>
          <t>CNY</t>
        </is>
      </c>
      <c r="J49" t="inlineStr">
        <is>
          <t>ok</t>
        </is>
      </c>
      <c r="L49" t="b">
        <v>1</v>
      </c>
      <c r="M49" t="inlineStr">
        <is>
          <t>巨潮资讯（CNINFO Data Service）</t>
        </is>
      </c>
      <c r="N49" t="b">
        <v>1</v>
      </c>
    </row>
    <row r="50">
      <c r="A50" t="inlineStr">
        <is>
          <t>A股</t>
        </is>
      </c>
      <c r="B50" t="inlineStr">
        <is>
          <t>920964</t>
        </is>
      </c>
      <c r="C50" t="inlineStr">
        <is>
          <t>润农节水</t>
        </is>
      </c>
      <c r="D50" t="inlineStr">
        <is>
          <t>上市与发行信息</t>
        </is>
      </c>
      <c r="E50" t="inlineStr">
        <is>
          <t>东方财富</t>
        </is>
      </c>
      <c r="F50" t="inlineStr">
        <is>
          <t>RPT_PCF10_ORG_ISSUEINFO</t>
        </is>
      </c>
      <c r="G50" s="32" t="n">
        <v>46263.26154546526</v>
      </c>
      <c r="H50" t="inlineStr">
        <is>
          <t>CNY</t>
        </is>
      </c>
      <c r="I50" t="inlineStr">
        <is>
          <t>CNY</t>
        </is>
      </c>
      <c r="J50" t="inlineStr">
        <is>
          <t>ok</t>
        </is>
      </c>
      <c r="L50" t="b">
        <v>0</v>
      </c>
      <c r="M50" t="inlineStr">
        <is>
          <t>东方财富</t>
        </is>
      </c>
      <c r="N50" t="b">
        <v>1</v>
      </c>
    </row>
    <row r="51">
      <c r="A51" t="inlineStr">
        <is>
          <t>A股</t>
        </is>
      </c>
      <c r="B51" t="inlineStr">
        <is>
          <t>920964</t>
        </is>
      </c>
      <c r="C51" t="inlineStr">
        <is>
          <t>润农节水</t>
        </is>
      </c>
      <c r="D51" t="inlineStr">
        <is>
          <t>资金流</t>
        </is>
      </c>
      <c r="E51" t="inlineStr">
        <is>
          <t>东方财富</t>
        </is>
      </c>
      <c r="F51" t="inlineStr">
        <is>
          <t>fast-mode-no-reliable-batch-endpoint</t>
        </is>
      </c>
      <c r="G51" s="32" t="n">
        <v>46263.26159564944</v>
      </c>
      <c r="I51" t="inlineStr">
        <is>
          <t>CNY</t>
        </is>
      </c>
      <c r="J51" t="inlineStr">
        <is>
          <t>optional_missing</t>
        </is>
      </c>
      <c r="K51" t="inlineStr">
        <is>
          <t>快速模式未发现可靠的批量近五个交易日同口径字段，为避免逐股慢请求，本次留空</t>
        </is>
      </c>
      <c r="L51" t="b">
        <v>0</v>
      </c>
      <c r="M51" t="inlineStr">
        <is>
          <t>东方财富</t>
        </is>
      </c>
      <c r="N51" t="b">
        <v>1</v>
      </c>
    </row>
    <row r="52">
      <c r="A52" t="inlineStr">
        <is>
          <t>A股</t>
        </is>
      </c>
      <c r="B52" t="inlineStr">
        <is>
          <t>920961</t>
        </is>
      </c>
      <c r="C52" t="inlineStr">
        <is>
          <t>创远信科</t>
        </is>
      </c>
      <c r="D52" t="inlineStr">
        <is>
          <t>最新行情</t>
        </is>
      </c>
      <c r="E52" t="inlineStr">
        <is>
          <t>东方财富</t>
        </is>
      </c>
      <c r="F52" t="inlineStr">
        <is>
          <t>push2 ulist.np/get f2,f20（按指定证券分批）</t>
        </is>
      </c>
      <c r="G52" s="32" t="n">
        <v>46263.26140913873</v>
      </c>
      <c r="H52" t="inlineStr">
        <is>
          <t>CNY</t>
        </is>
      </c>
      <c r="I52" t="inlineStr">
        <is>
          <t>CNY</t>
        </is>
      </c>
      <c r="J52" t="inlineStr">
        <is>
          <t>ok</t>
        </is>
      </c>
      <c r="L52" t="b">
        <v>0</v>
      </c>
      <c r="M52" t="inlineStr">
        <is>
          <t>东方财富</t>
        </is>
      </c>
      <c r="N52" t="b">
        <v>1</v>
      </c>
    </row>
    <row r="53">
      <c r="A53" t="inlineStr">
        <is>
          <t>A股</t>
        </is>
      </c>
      <c r="B53" t="inlineStr">
        <is>
          <t>920961</t>
        </is>
      </c>
      <c r="C53" t="inlineStr">
        <is>
          <t>创远信科</t>
        </is>
      </c>
      <c r="D53" t="inlineStr">
        <is>
          <t>大宗交易</t>
        </is>
      </c>
      <c r="E53" t="inlineStr">
        <is>
          <t>东方财富</t>
        </is>
      </c>
      <c r="F53" t="inlineStr">
        <is>
          <t>RPT_DATA_BLOCKTRADE 2026（全市场分页后本地聚合）</t>
        </is>
      </c>
      <c r="G53" s="32" t="n">
        <v>46263.26141482598</v>
      </c>
      <c r="H53" t="inlineStr">
        <is>
          <t>CNY</t>
        </is>
      </c>
      <c r="I53" t="inlineStr">
        <is>
          <t>CNY</t>
        </is>
      </c>
      <c r="J53" t="inlineStr">
        <is>
          <t>ok</t>
        </is>
      </c>
      <c r="L53" t="b">
        <v>0</v>
      </c>
      <c r="M53" t="inlineStr">
        <is>
          <t>东方财富</t>
        </is>
      </c>
      <c r="N53" t="b">
        <v>1</v>
      </c>
    </row>
    <row r="54">
      <c r="A54" t="inlineStr">
        <is>
          <t>A股</t>
        </is>
      </c>
      <c r="B54" t="inlineStr">
        <is>
          <t>920961</t>
        </is>
      </c>
      <c r="C54" t="inlineStr">
        <is>
          <t>创远信科</t>
        </is>
      </c>
      <c r="D54" t="inlineStr">
        <is>
          <t>年度财务</t>
        </is>
      </c>
      <c r="E54" t="inlineStr">
        <is>
          <t>东方财富</t>
        </is>
      </c>
      <c r="F54" t="inlineStr">
        <is>
          <t>RPT_LICO_FN_CPD + RPT_DMSK_FN_CASHFLOW；巨潮回退原因：未配置巨潮官方 API 凭证/端点（CNINFO_ACCESS_TOKEN、CNINFO_INCOME_API_URL、CNINFO_CASHFLOW_API_URL）</t>
        </is>
      </c>
      <c r="G54" s="32" t="n">
        <v>46263.26143406246</v>
      </c>
      <c r="H54" t="inlineStr">
        <is>
          <t>CNY</t>
        </is>
      </c>
      <c r="I54" t="inlineStr">
        <is>
          <t>CNY</t>
        </is>
      </c>
      <c r="J54" t="inlineStr">
        <is>
          <t>ok</t>
        </is>
      </c>
      <c r="L54" t="b">
        <v>1</v>
      </c>
      <c r="M54" t="inlineStr">
        <is>
          <t>巨潮资讯（CNINFO Data Service）</t>
        </is>
      </c>
      <c r="N54" t="b">
        <v>1</v>
      </c>
    </row>
    <row r="55">
      <c r="A55" t="inlineStr">
        <is>
          <t>A股</t>
        </is>
      </c>
      <c r="B55" t="inlineStr">
        <is>
          <t>920961</t>
        </is>
      </c>
      <c r="C55" t="inlineStr">
        <is>
          <t>创远信科</t>
        </is>
      </c>
      <c r="D55" t="inlineStr">
        <is>
          <t>上市与发行信息</t>
        </is>
      </c>
      <c r="E55" t="inlineStr">
        <is>
          <t>东方财富</t>
        </is>
      </c>
      <c r="F55" t="inlineStr">
        <is>
          <t>RPT_PCF10_ORG_ISSUEINFO</t>
        </is>
      </c>
      <c r="G55" s="32" t="n">
        <v>46263.26154415285</v>
      </c>
      <c r="H55" t="inlineStr">
        <is>
          <t>CNY</t>
        </is>
      </c>
      <c r="I55" t="inlineStr">
        <is>
          <t>CNY</t>
        </is>
      </c>
      <c r="J55" t="inlineStr">
        <is>
          <t>ok</t>
        </is>
      </c>
      <c r="L55" t="b">
        <v>0</v>
      </c>
      <c r="M55" t="inlineStr">
        <is>
          <t>东方财富</t>
        </is>
      </c>
      <c r="N55" t="b">
        <v>1</v>
      </c>
    </row>
    <row r="56">
      <c r="A56" t="inlineStr">
        <is>
          <t>A股</t>
        </is>
      </c>
      <c r="B56" t="inlineStr">
        <is>
          <t>920961</t>
        </is>
      </c>
      <c r="C56" t="inlineStr">
        <is>
          <t>创远信科</t>
        </is>
      </c>
      <c r="D56" t="inlineStr">
        <is>
          <t>资金流</t>
        </is>
      </c>
      <c r="E56" t="inlineStr">
        <is>
          <t>东方财富</t>
        </is>
      </c>
      <c r="F56" t="inlineStr">
        <is>
          <t>fast-mode-no-reliable-batch-endpoint</t>
        </is>
      </c>
      <c r="G56" s="32" t="n">
        <v>46263.26159564944</v>
      </c>
      <c r="I56" t="inlineStr">
        <is>
          <t>CNY</t>
        </is>
      </c>
      <c r="J56" t="inlineStr">
        <is>
          <t>optional_missing</t>
        </is>
      </c>
      <c r="K56" t="inlineStr">
        <is>
          <t>快速模式未发现可靠的批量近五个交易日同口径字段，为避免逐股慢请求，本次留空</t>
        </is>
      </c>
      <c r="L56" t="b">
        <v>0</v>
      </c>
      <c r="M56" t="inlineStr">
        <is>
          <t>东方财富</t>
        </is>
      </c>
      <c r="N56" t="b">
        <v>1</v>
      </c>
    </row>
    <row r="57">
      <c r="A57" t="inlineStr">
        <is>
          <t>A股</t>
        </is>
      </c>
      <c r="B57" t="inlineStr">
        <is>
          <t>920957</t>
        </is>
      </c>
      <c r="C57" t="inlineStr">
        <is>
          <t>汉维科技</t>
        </is>
      </c>
      <c r="D57" t="inlineStr">
        <is>
          <t>最新行情</t>
        </is>
      </c>
      <c r="E57" t="inlineStr">
        <is>
          <t>东方财富</t>
        </is>
      </c>
      <c r="F57" t="inlineStr">
        <is>
          <t>push2 ulist.np/get f2,f20（按指定证券分批）</t>
        </is>
      </c>
      <c r="G57" s="32" t="n">
        <v>46263.26140913873</v>
      </c>
      <c r="H57" t="inlineStr">
        <is>
          <t>CNY</t>
        </is>
      </c>
      <c r="I57" t="inlineStr">
        <is>
          <t>CNY</t>
        </is>
      </c>
      <c r="J57" t="inlineStr">
        <is>
          <t>ok</t>
        </is>
      </c>
      <c r="L57" t="b">
        <v>0</v>
      </c>
      <c r="M57" t="inlineStr">
        <is>
          <t>东方财富</t>
        </is>
      </c>
      <c r="N57" t="b">
        <v>1</v>
      </c>
    </row>
    <row r="58">
      <c r="A58" t="inlineStr">
        <is>
          <t>A股</t>
        </is>
      </c>
      <c r="B58" t="inlineStr">
        <is>
          <t>920957</t>
        </is>
      </c>
      <c r="C58" t="inlineStr">
        <is>
          <t>汉维科技</t>
        </is>
      </c>
      <c r="D58" t="inlineStr">
        <is>
          <t>大宗交易</t>
        </is>
      </c>
      <c r="E58" t="inlineStr">
        <is>
          <t>东方财富</t>
        </is>
      </c>
      <c r="F58" t="inlineStr">
        <is>
          <t>RPT_DATA_BLOCKTRADE 2026（全市场分页后本地聚合）</t>
        </is>
      </c>
      <c r="G58" s="32" t="n">
        <v>46263.26141482598</v>
      </c>
      <c r="H58" t="inlineStr">
        <is>
          <t>CNY</t>
        </is>
      </c>
      <c r="I58" t="inlineStr">
        <is>
          <t>CNY</t>
        </is>
      </c>
      <c r="J58" t="inlineStr">
        <is>
          <t>ok</t>
        </is>
      </c>
      <c r="L58" t="b">
        <v>0</v>
      </c>
      <c r="M58" t="inlineStr">
        <is>
          <t>东方财富</t>
        </is>
      </c>
      <c r="N58" t="b">
        <v>1</v>
      </c>
    </row>
    <row r="59">
      <c r="A59" t="inlineStr">
        <is>
          <t>A股</t>
        </is>
      </c>
      <c r="B59" t="inlineStr">
        <is>
          <t>920957</t>
        </is>
      </c>
      <c r="C59" t="inlineStr">
        <is>
          <t>汉维科技</t>
        </is>
      </c>
      <c r="D59" t="inlineStr">
        <is>
          <t>年度财务</t>
        </is>
      </c>
      <c r="E59" t="inlineStr">
        <is>
          <t>东方财富</t>
        </is>
      </c>
      <c r="F59" t="inlineStr">
        <is>
          <t>RPT_LICO_FN_CPD + RPT_DMSK_FN_CASHFLOW；巨潮回退原因：未配置巨潮官方 API 凭证/端点（CNINFO_ACCESS_TOKEN、CNINFO_INCOME_API_URL、CNINFO_CASHFLOW_API_URL）</t>
        </is>
      </c>
      <c r="G59" s="32" t="n">
        <v>46263.26143452631</v>
      </c>
      <c r="H59" t="inlineStr">
        <is>
          <t>CNY</t>
        </is>
      </c>
      <c r="I59" t="inlineStr">
        <is>
          <t>CNY</t>
        </is>
      </c>
      <c r="J59" t="inlineStr">
        <is>
          <t>ok</t>
        </is>
      </c>
      <c r="L59" t="b">
        <v>1</v>
      </c>
      <c r="M59" t="inlineStr">
        <is>
          <t>巨潮资讯（CNINFO Data Service）</t>
        </is>
      </c>
      <c r="N59" t="b">
        <v>1</v>
      </c>
    </row>
    <row r="60">
      <c r="A60" t="inlineStr">
        <is>
          <t>A股</t>
        </is>
      </c>
      <c r="B60" t="inlineStr">
        <is>
          <t>920957</t>
        </is>
      </c>
      <c r="C60" t="inlineStr">
        <is>
          <t>汉维科技</t>
        </is>
      </c>
      <c r="D60" t="inlineStr">
        <is>
          <t>上市与发行信息</t>
        </is>
      </c>
      <c r="E60" t="inlineStr">
        <is>
          <t>东方财富</t>
        </is>
      </c>
      <c r="F60" t="inlineStr">
        <is>
          <t>RPT_PCF10_ORG_ISSUEINFO</t>
        </is>
      </c>
      <c r="G60" s="32" t="n">
        <v>46263.26154463752</v>
      </c>
      <c r="H60" t="inlineStr">
        <is>
          <t>CNY</t>
        </is>
      </c>
      <c r="I60" t="inlineStr">
        <is>
          <t>CNY</t>
        </is>
      </c>
      <c r="J60" t="inlineStr">
        <is>
          <t>ok</t>
        </is>
      </c>
      <c r="L60" t="b">
        <v>0</v>
      </c>
      <c r="M60" t="inlineStr">
        <is>
          <t>东方财富</t>
        </is>
      </c>
      <c r="N60" t="b">
        <v>1</v>
      </c>
    </row>
    <row r="61">
      <c r="A61" t="inlineStr">
        <is>
          <t>A股</t>
        </is>
      </c>
      <c r="B61" t="inlineStr">
        <is>
          <t>920957</t>
        </is>
      </c>
      <c r="C61" t="inlineStr">
        <is>
          <t>汉维科技</t>
        </is>
      </c>
      <c r="D61" t="inlineStr">
        <is>
          <t>资金流</t>
        </is>
      </c>
      <c r="E61" t="inlineStr">
        <is>
          <t>东方财富</t>
        </is>
      </c>
      <c r="F61" t="inlineStr">
        <is>
          <t>fast-mode-no-reliable-batch-endpoint</t>
        </is>
      </c>
      <c r="G61" s="32" t="n">
        <v>46263.26159564944</v>
      </c>
      <c r="I61" t="inlineStr">
        <is>
          <t>CNY</t>
        </is>
      </c>
      <c r="J61" t="inlineStr">
        <is>
          <t>optional_missing</t>
        </is>
      </c>
      <c r="K61" t="inlineStr">
        <is>
          <t>快速模式未发现可靠的批量近五个交易日同口径字段，为避免逐股慢请求，本次留空</t>
        </is>
      </c>
      <c r="L61" t="b">
        <v>0</v>
      </c>
      <c r="M61" t="inlineStr">
        <is>
          <t>东方财富</t>
        </is>
      </c>
      <c r="N61" t="b">
        <v>1</v>
      </c>
    </row>
    <row r="62">
      <c r="A62" t="inlineStr">
        <is>
          <t>A股</t>
        </is>
      </c>
      <c r="B62" t="inlineStr">
        <is>
          <t>920953</t>
        </is>
      </c>
      <c r="C62" t="inlineStr">
        <is>
          <t>国子软件</t>
        </is>
      </c>
      <c r="D62" t="inlineStr">
        <is>
          <t>最新行情</t>
        </is>
      </c>
      <c r="E62" t="inlineStr">
        <is>
          <t>东方财富</t>
        </is>
      </c>
      <c r="F62" t="inlineStr">
        <is>
          <t>push2 ulist.np/get f2,f20（按指定证券分批）</t>
        </is>
      </c>
      <c r="G62" s="32" t="n">
        <v>46263.26140913873</v>
      </c>
      <c r="H62" t="inlineStr">
        <is>
          <t>CNY</t>
        </is>
      </c>
      <c r="I62" t="inlineStr">
        <is>
          <t>CNY</t>
        </is>
      </c>
      <c r="J62" t="inlineStr">
        <is>
          <t>ok</t>
        </is>
      </c>
      <c r="L62" t="b">
        <v>0</v>
      </c>
      <c r="M62" t="inlineStr">
        <is>
          <t>东方财富</t>
        </is>
      </c>
      <c r="N62" t="b">
        <v>1</v>
      </c>
    </row>
    <row r="63">
      <c r="A63" t="inlineStr">
        <is>
          <t>A股</t>
        </is>
      </c>
      <c r="B63" t="inlineStr">
        <is>
          <t>920953</t>
        </is>
      </c>
      <c r="C63" t="inlineStr">
        <is>
          <t>国子软件</t>
        </is>
      </c>
      <c r="D63" t="inlineStr">
        <is>
          <t>大宗交易</t>
        </is>
      </c>
      <c r="E63" t="inlineStr">
        <is>
          <t>东方财富</t>
        </is>
      </c>
      <c r="F63" t="inlineStr">
        <is>
          <t>RPT_DATA_BLOCKTRADE 2026（全市场分页后本地聚合）</t>
        </is>
      </c>
      <c r="G63" s="32" t="n">
        <v>46263.26141482598</v>
      </c>
      <c r="H63" t="inlineStr">
        <is>
          <t>CNY</t>
        </is>
      </c>
      <c r="I63" t="inlineStr">
        <is>
          <t>CNY</t>
        </is>
      </c>
      <c r="J63" t="inlineStr">
        <is>
          <t>ok</t>
        </is>
      </c>
      <c r="L63" t="b">
        <v>0</v>
      </c>
      <c r="M63" t="inlineStr">
        <is>
          <t>东方财富</t>
        </is>
      </c>
      <c r="N63" t="b">
        <v>1</v>
      </c>
    </row>
    <row r="64">
      <c r="A64" t="inlineStr">
        <is>
          <t>A股</t>
        </is>
      </c>
      <c r="B64" t="inlineStr">
        <is>
          <t>920953</t>
        </is>
      </c>
      <c r="C64" t="inlineStr">
        <is>
          <t>国子软件</t>
        </is>
      </c>
      <c r="D64" t="inlineStr">
        <is>
          <t>年度财务</t>
        </is>
      </c>
      <c r="E64" t="inlineStr">
        <is>
          <t>东方财富</t>
        </is>
      </c>
      <c r="F64" t="inlineStr">
        <is>
          <t>RPT_LICO_FN_CPD + RPT_DMSK_FN_CASHFLOW；巨潮回退原因：未配置巨潮官方 API 凭证/端点（CNINFO_ACCESS_TOKEN、CNINFO_INCOME_API_URL、CNINFO_CASHFLOW_API_URL）</t>
        </is>
      </c>
      <c r="G64" s="32" t="n">
        <v>46263.26143475046</v>
      </c>
      <c r="H64" t="inlineStr">
        <is>
          <t>CNY</t>
        </is>
      </c>
      <c r="I64" t="inlineStr">
        <is>
          <t>CNY</t>
        </is>
      </c>
      <c r="J64" t="inlineStr">
        <is>
          <t>ok</t>
        </is>
      </c>
      <c r="L64" t="b">
        <v>1</v>
      </c>
      <c r="M64" t="inlineStr">
        <is>
          <t>巨潮资讯（CNINFO Data Service）</t>
        </is>
      </c>
      <c r="N64" t="b">
        <v>1</v>
      </c>
    </row>
    <row r="65">
      <c r="A65" t="inlineStr">
        <is>
          <t>A股</t>
        </is>
      </c>
      <c r="B65" t="inlineStr">
        <is>
          <t>920953</t>
        </is>
      </c>
      <c r="C65" t="inlineStr">
        <is>
          <t>国子软件</t>
        </is>
      </c>
      <c r="D65" t="inlineStr">
        <is>
          <t>上市与发行信息</t>
        </is>
      </c>
      <c r="E65" t="inlineStr">
        <is>
          <t>东方财富</t>
        </is>
      </c>
      <c r="F65" t="inlineStr">
        <is>
          <t>RPT_PCF10_ORG_ISSUEINFO</t>
        </is>
      </c>
      <c r="G65" s="32" t="n">
        <v>46263.26154514087</v>
      </c>
      <c r="H65" t="inlineStr">
        <is>
          <t>CNY</t>
        </is>
      </c>
      <c r="I65" t="inlineStr">
        <is>
          <t>CNY</t>
        </is>
      </c>
      <c r="J65" t="inlineStr">
        <is>
          <t>ok</t>
        </is>
      </c>
      <c r="L65" t="b">
        <v>0</v>
      </c>
      <c r="M65" t="inlineStr">
        <is>
          <t>东方财富</t>
        </is>
      </c>
      <c r="N65" t="b">
        <v>1</v>
      </c>
    </row>
    <row r="66">
      <c r="A66" t="inlineStr">
        <is>
          <t>A股</t>
        </is>
      </c>
      <c r="B66" t="inlineStr">
        <is>
          <t>920953</t>
        </is>
      </c>
      <c r="C66" t="inlineStr">
        <is>
          <t>国子软件</t>
        </is>
      </c>
      <c r="D66" t="inlineStr">
        <is>
          <t>资金流</t>
        </is>
      </c>
      <c r="E66" t="inlineStr">
        <is>
          <t>东方财富</t>
        </is>
      </c>
      <c r="F66" t="inlineStr">
        <is>
          <t>fast-mode-no-reliable-batch-endpoint</t>
        </is>
      </c>
      <c r="G66" s="32" t="n">
        <v>46263.26159564944</v>
      </c>
      <c r="I66" t="inlineStr">
        <is>
          <t>CNY</t>
        </is>
      </c>
      <c r="J66" t="inlineStr">
        <is>
          <t>optional_missing</t>
        </is>
      </c>
      <c r="K66" t="inlineStr">
        <is>
          <t>快速模式未发现可靠的批量近五个交易日同口径字段，为避免逐股慢请求，本次留空</t>
        </is>
      </c>
      <c r="L66" t="b">
        <v>0</v>
      </c>
      <c r="M66" t="inlineStr">
        <is>
          <t>东方财富</t>
        </is>
      </c>
      <c r="N66" t="b">
        <v>1</v>
      </c>
    </row>
    <row r="67">
      <c r="A67" t="inlineStr">
        <is>
          <t>A股</t>
        </is>
      </c>
      <c r="B67" t="inlineStr">
        <is>
          <t>920950</t>
        </is>
      </c>
      <c r="C67" t="inlineStr">
        <is>
          <t>迅安科技</t>
        </is>
      </c>
      <c r="D67" t="inlineStr">
        <is>
          <t>最新行情</t>
        </is>
      </c>
      <c r="E67" t="inlineStr">
        <is>
          <t>东方财富</t>
        </is>
      </c>
      <c r="F67" t="inlineStr">
        <is>
          <t>push2 ulist.np/get f2,f20（按指定证券分批）</t>
        </is>
      </c>
      <c r="G67" s="32" t="n">
        <v>46263.26140913873</v>
      </c>
      <c r="H67" t="inlineStr">
        <is>
          <t>CNY</t>
        </is>
      </c>
      <c r="I67" t="inlineStr">
        <is>
          <t>CNY</t>
        </is>
      </c>
      <c r="J67" t="inlineStr">
        <is>
          <t>ok</t>
        </is>
      </c>
      <c r="L67" t="b">
        <v>0</v>
      </c>
      <c r="M67" t="inlineStr">
        <is>
          <t>东方财富</t>
        </is>
      </c>
      <c r="N67" t="b">
        <v>1</v>
      </c>
    </row>
    <row r="68">
      <c r="A68" t="inlineStr">
        <is>
          <t>A股</t>
        </is>
      </c>
      <c r="B68" t="inlineStr">
        <is>
          <t>920950</t>
        </is>
      </c>
      <c r="C68" t="inlineStr">
        <is>
          <t>迅安科技</t>
        </is>
      </c>
      <c r="D68" t="inlineStr">
        <is>
          <t>大宗交易</t>
        </is>
      </c>
      <c r="E68" t="inlineStr">
        <is>
          <t>东方财富</t>
        </is>
      </c>
      <c r="F68" t="inlineStr">
        <is>
          <t>RPT_DATA_BLOCKTRADE 2026（全市场分页后本地聚合）</t>
        </is>
      </c>
      <c r="G68" s="32" t="n">
        <v>46263.26141482598</v>
      </c>
      <c r="H68" t="inlineStr">
        <is>
          <t>CNY</t>
        </is>
      </c>
      <c r="I68" t="inlineStr">
        <is>
          <t>CNY</t>
        </is>
      </c>
      <c r="J68" t="inlineStr">
        <is>
          <t>ok</t>
        </is>
      </c>
      <c r="L68" t="b">
        <v>0</v>
      </c>
      <c r="M68" t="inlineStr">
        <is>
          <t>东方财富</t>
        </is>
      </c>
      <c r="N68" t="b">
        <v>1</v>
      </c>
    </row>
    <row r="69">
      <c r="A69" t="inlineStr">
        <is>
          <t>A股</t>
        </is>
      </c>
      <c r="B69" t="inlineStr">
        <is>
          <t>920950</t>
        </is>
      </c>
      <c r="C69" t="inlineStr">
        <is>
          <t>迅安科技</t>
        </is>
      </c>
      <c r="D69" t="inlineStr">
        <is>
          <t>年度财务</t>
        </is>
      </c>
      <c r="E69" t="inlineStr">
        <is>
          <t>东方财富</t>
        </is>
      </c>
      <c r="F69" t="inlineStr">
        <is>
          <t>RPT_LICO_FN_CPD + RPT_DMSK_FN_CASHFLOW；巨潮回退原因：未配置巨潮官方 API 凭证/端点（CNINFO_ACCESS_TOKEN、CNINFO_INCOME_API_URL、CNINFO_CASHFLOW_API_URL）</t>
        </is>
      </c>
      <c r="G69" s="32" t="n">
        <v>46263.26143564042</v>
      </c>
      <c r="H69" t="inlineStr">
        <is>
          <t>CNY</t>
        </is>
      </c>
      <c r="I69" t="inlineStr">
        <is>
          <t>CNY</t>
        </is>
      </c>
      <c r="J69" t="inlineStr">
        <is>
          <t>ok</t>
        </is>
      </c>
      <c r="L69" t="b">
        <v>1</v>
      </c>
      <c r="M69" t="inlineStr">
        <is>
          <t>巨潮资讯（CNINFO Data Service）</t>
        </is>
      </c>
      <c r="N69" t="b">
        <v>1</v>
      </c>
    </row>
    <row r="70">
      <c r="A70" t="inlineStr">
        <is>
          <t>A股</t>
        </is>
      </c>
      <c r="B70" t="inlineStr">
        <is>
          <t>920950</t>
        </is>
      </c>
      <c r="C70" t="inlineStr">
        <is>
          <t>迅安科技</t>
        </is>
      </c>
      <c r="D70" t="inlineStr">
        <is>
          <t>上市与发行信息</t>
        </is>
      </c>
      <c r="E70" t="inlineStr">
        <is>
          <t>东方财富</t>
        </is>
      </c>
      <c r="F70" t="inlineStr">
        <is>
          <t>RPT_PCF10_ORG_ISSUEINFO</t>
        </is>
      </c>
      <c r="G70" s="32" t="n">
        <v>46263.2615457497</v>
      </c>
      <c r="H70" t="inlineStr">
        <is>
          <t>CNY</t>
        </is>
      </c>
      <c r="I70" t="inlineStr">
        <is>
          <t>CNY</t>
        </is>
      </c>
      <c r="J70" t="inlineStr">
        <is>
          <t>ok</t>
        </is>
      </c>
      <c r="L70" t="b">
        <v>0</v>
      </c>
      <c r="M70" t="inlineStr">
        <is>
          <t>东方财富</t>
        </is>
      </c>
      <c r="N70" t="b">
        <v>1</v>
      </c>
    </row>
    <row r="71">
      <c r="A71" t="inlineStr">
        <is>
          <t>A股</t>
        </is>
      </c>
      <c r="B71" t="inlineStr">
        <is>
          <t>920950</t>
        </is>
      </c>
      <c r="C71" t="inlineStr">
        <is>
          <t>迅安科技</t>
        </is>
      </c>
      <c r="D71" t="inlineStr">
        <is>
          <t>资金流</t>
        </is>
      </c>
      <c r="E71" t="inlineStr">
        <is>
          <t>东方财富</t>
        </is>
      </c>
      <c r="F71" t="inlineStr">
        <is>
          <t>fast-mode-no-reliable-batch-endpoint</t>
        </is>
      </c>
      <c r="G71" s="32" t="n">
        <v>46263.26159564944</v>
      </c>
      <c r="I71" t="inlineStr">
        <is>
          <t>CNY</t>
        </is>
      </c>
      <c r="J71" t="inlineStr">
        <is>
          <t>optional_missing</t>
        </is>
      </c>
      <c r="K71" t="inlineStr">
        <is>
          <t>快速模式未发现可靠的批量近五个交易日同口径字段，为避免逐股慢请求，本次留空</t>
        </is>
      </c>
      <c r="L71" t="b">
        <v>0</v>
      </c>
      <c r="M71" t="inlineStr">
        <is>
          <t>东方财富</t>
        </is>
      </c>
      <c r="N71" t="b">
        <v>1</v>
      </c>
    </row>
    <row r="72">
      <c r="A72" t="inlineStr">
        <is>
          <t>A股</t>
        </is>
      </c>
      <c r="B72" t="inlineStr">
        <is>
          <t>920946</t>
        </is>
      </c>
      <c r="C72" t="inlineStr">
        <is>
          <t>森萱医药</t>
        </is>
      </c>
      <c r="D72" t="inlineStr">
        <is>
          <t>最新行情</t>
        </is>
      </c>
      <c r="E72" t="inlineStr">
        <is>
          <t>东方财富</t>
        </is>
      </c>
      <c r="F72" t="inlineStr">
        <is>
          <t>push2 ulist.np/get f2,f20（按指定证券分批）</t>
        </is>
      </c>
      <c r="G72" s="32" t="n">
        <v>46263.26140913873</v>
      </c>
      <c r="H72" t="inlineStr">
        <is>
          <t>CNY</t>
        </is>
      </c>
      <c r="I72" t="inlineStr">
        <is>
          <t>CNY</t>
        </is>
      </c>
      <c r="J72" t="inlineStr">
        <is>
          <t>ok</t>
        </is>
      </c>
      <c r="L72" t="b">
        <v>0</v>
      </c>
      <c r="M72" t="inlineStr">
        <is>
          <t>东方财富</t>
        </is>
      </c>
      <c r="N72" t="b">
        <v>1</v>
      </c>
    </row>
    <row r="73">
      <c r="A73" t="inlineStr">
        <is>
          <t>A股</t>
        </is>
      </c>
      <c r="B73" t="inlineStr">
        <is>
          <t>920946</t>
        </is>
      </c>
      <c r="C73" t="inlineStr">
        <is>
          <t>森萱医药</t>
        </is>
      </c>
      <c r="D73" t="inlineStr">
        <is>
          <t>大宗交易</t>
        </is>
      </c>
      <c r="E73" t="inlineStr">
        <is>
          <t>东方财富</t>
        </is>
      </c>
      <c r="F73" t="inlineStr">
        <is>
          <t>RPT_DATA_BLOCKTRADE 2026（全市场分页后本地聚合）</t>
        </is>
      </c>
      <c r="G73" s="32" t="n">
        <v>46263.26141482598</v>
      </c>
      <c r="H73" t="inlineStr">
        <is>
          <t>CNY</t>
        </is>
      </c>
      <c r="I73" t="inlineStr">
        <is>
          <t>CNY</t>
        </is>
      </c>
      <c r="J73" t="inlineStr">
        <is>
          <t>ok</t>
        </is>
      </c>
      <c r="L73" t="b">
        <v>0</v>
      </c>
      <c r="M73" t="inlineStr">
        <is>
          <t>东方财富</t>
        </is>
      </c>
      <c r="N73" t="b">
        <v>1</v>
      </c>
    </row>
    <row r="74">
      <c r="A74" t="inlineStr">
        <is>
          <t>A股</t>
        </is>
      </c>
      <c r="B74" t="inlineStr">
        <is>
          <t>920946</t>
        </is>
      </c>
      <c r="C74" t="inlineStr">
        <is>
          <t>森萱医药</t>
        </is>
      </c>
      <c r="D74" t="inlineStr">
        <is>
          <t>年度财务</t>
        </is>
      </c>
      <c r="E74" t="inlineStr">
        <is>
          <t>东方财富</t>
        </is>
      </c>
      <c r="F74" t="inlineStr">
        <is>
          <t>RPT_LICO_FN_CPD + RPT_DMSK_FN_CASHFLOW；巨潮回退原因：未配置巨潮官方 API 凭证/端点（CNINFO_ACCESS_TOKEN、CNINFO_INCOME_API_URL、CNINFO_CASHFLOW_API_URL）</t>
        </is>
      </c>
      <c r="G74" s="32" t="n">
        <v>46263.26143660944</v>
      </c>
      <c r="H74" t="inlineStr">
        <is>
          <t>CNY</t>
        </is>
      </c>
      <c r="I74" t="inlineStr">
        <is>
          <t>CNY</t>
        </is>
      </c>
      <c r="J74" t="inlineStr">
        <is>
          <t>ok</t>
        </is>
      </c>
      <c r="L74" t="b">
        <v>1</v>
      </c>
      <c r="M74" t="inlineStr">
        <is>
          <t>巨潮资讯（CNINFO Data Service）</t>
        </is>
      </c>
      <c r="N74" t="b">
        <v>1</v>
      </c>
    </row>
    <row r="75">
      <c r="A75" t="inlineStr">
        <is>
          <t>A股</t>
        </is>
      </c>
      <c r="B75" t="inlineStr">
        <is>
          <t>920946</t>
        </is>
      </c>
      <c r="C75" t="inlineStr">
        <is>
          <t>森萱医药</t>
        </is>
      </c>
      <c r="D75" t="inlineStr">
        <is>
          <t>上市与发行信息</t>
        </is>
      </c>
      <c r="E75" t="inlineStr">
        <is>
          <t>东方财富</t>
        </is>
      </c>
      <c r="F75" t="inlineStr">
        <is>
          <t>RPT_PCF10_ORG_ISSUEINFO</t>
        </is>
      </c>
      <c r="G75" s="32" t="n">
        <v>46263.26154628013</v>
      </c>
      <c r="H75" t="inlineStr">
        <is>
          <t>CNY</t>
        </is>
      </c>
      <c r="I75" t="inlineStr">
        <is>
          <t>CNY</t>
        </is>
      </c>
      <c r="J75" t="inlineStr">
        <is>
          <t>ok</t>
        </is>
      </c>
      <c r="L75" t="b">
        <v>0</v>
      </c>
      <c r="M75" t="inlineStr">
        <is>
          <t>东方财富</t>
        </is>
      </c>
      <c r="N75" t="b">
        <v>1</v>
      </c>
    </row>
    <row r="76">
      <c r="A76" t="inlineStr">
        <is>
          <t>A股</t>
        </is>
      </c>
      <c r="B76" t="inlineStr">
        <is>
          <t>920946</t>
        </is>
      </c>
      <c r="C76" t="inlineStr">
        <is>
          <t>森萱医药</t>
        </is>
      </c>
      <c r="D76" t="inlineStr">
        <is>
          <t>资金流</t>
        </is>
      </c>
      <c r="E76" t="inlineStr">
        <is>
          <t>东方财富</t>
        </is>
      </c>
      <c r="F76" t="inlineStr">
        <is>
          <t>fast-mode-no-reliable-batch-endpoint</t>
        </is>
      </c>
      <c r="G76" s="32" t="n">
        <v>46263.26159564944</v>
      </c>
      <c r="I76" t="inlineStr">
        <is>
          <t>CNY</t>
        </is>
      </c>
      <c r="J76" t="inlineStr">
        <is>
          <t>optional_missing</t>
        </is>
      </c>
      <c r="K76" t="inlineStr">
        <is>
          <t>快速模式未发现可靠的批量近五个交易日同口径字段，为避免逐股慢请求，本次留空</t>
        </is>
      </c>
      <c r="L76" t="b">
        <v>0</v>
      </c>
      <c r="M76" t="inlineStr">
        <is>
          <t>东方财富</t>
        </is>
      </c>
      <c r="N76" t="b">
        <v>1</v>
      </c>
    </row>
    <row r="77">
      <c r="A77" t="inlineStr">
        <is>
          <t>A股</t>
        </is>
      </c>
      <c r="B77" t="inlineStr">
        <is>
          <t>920943</t>
        </is>
      </c>
      <c r="C77" t="inlineStr">
        <is>
          <t>优机股份</t>
        </is>
      </c>
      <c r="D77" t="inlineStr">
        <is>
          <t>最新行情</t>
        </is>
      </c>
      <c r="E77" t="inlineStr">
        <is>
          <t>东方财富</t>
        </is>
      </c>
      <c r="F77" t="inlineStr">
        <is>
          <t>push2 ulist.np/get f2,f20（按指定证券分批）</t>
        </is>
      </c>
      <c r="G77" s="32" t="n">
        <v>46263.26140913873</v>
      </c>
      <c r="H77" t="inlineStr">
        <is>
          <t>CNY</t>
        </is>
      </c>
      <c r="I77" t="inlineStr">
        <is>
          <t>CNY</t>
        </is>
      </c>
      <c r="J77" t="inlineStr">
        <is>
          <t>ok</t>
        </is>
      </c>
      <c r="L77" t="b">
        <v>0</v>
      </c>
      <c r="M77" t="inlineStr">
        <is>
          <t>东方财富</t>
        </is>
      </c>
      <c r="N77" t="b">
        <v>1</v>
      </c>
    </row>
    <row r="78">
      <c r="A78" t="inlineStr">
        <is>
          <t>A股</t>
        </is>
      </c>
      <c r="B78" t="inlineStr">
        <is>
          <t>920943</t>
        </is>
      </c>
      <c r="C78" t="inlineStr">
        <is>
          <t>优机股份</t>
        </is>
      </c>
      <c r="D78" t="inlineStr">
        <is>
          <t>大宗交易</t>
        </is>
      </c>
      <c r="E78" t="inlineStr">
        <is>
          <t>东方财富</t>
        </is>
      </c>
      <c r="F78" t="inlineStr">
        <is>
          <t>RPT_DATA_BLOCKTRADE 2026（全市场分页后本地聚合）</t>
        </is>
      </c>
      <c r="G78" s="32" t="n">
        <v>46263.26141482598</v>
      </c>
      <c r="H78" t="inlineStr">
        <is>
          <t>CNY</t>
        </is>
      </c>
      <c r="I78" t="inlineStr">
        <is>
          <t>CNY</t>
        </is>
      </c>
      <c r="J78" t="inlineStr">
        <is>
          <t>ok</t>
        </is>
      </c>
      <c r="L78" t="b">
        <v>0</v>
      </c>
      <c r="M78" t="inlineStr">
        <is>
          <t>东方财富</t>
        </is>
      </c>
      <c r="N78" t="b">
        <v>1</v>
      </c>
    </row>
    <row r="79">
      <c r="A79" t="inlineStr">
        <is>
          <t>A股</t>
        </is>
      </c>
      <c r="B79" t="inlineStr">
        <is>
          <t>920943</t>
        </is>
      </c>
      <c r="C79" t="inlineStr">
        <is>
          <t>优机股份</t>
        </is>
      </c>
      <c r="D79" t="inlineStr">
        <is>
          <t>年度财务</t>
        </is>
      </c>
      <c r="E79" t="inlineStr">
        <is>
          <t>东方财富</t>
        </is>
      </c>
      <c r="F79" t="inlineStr">
        <is>
          <t>RPT_LICO_FN_CPD + RPT_DMSK_FN_CASHFLOW；巨潮回退原因：未配置巨潮官方 API 凭证/端点（CNINFO_ACCESS_TOKEN、CNINFO_INCOME_API_URL、CNINFO_CASHFLOW_API_URL）</t>
        </is>
      </c>
      <c r="G79" s="32" t="n">
        <v>46263.26143719074</v>
      </c>
      <c r="H79" t="inlineStr">
        <is>
          <t>CNY</t>
        </is>
      </c>
      <c r="I79" t="inlineStr">
        <is>
          <t>CNY</t>
        </is>
      </c>
      <c r="J79" t="inlineStr">
        <is>
          <t>ok</t>
        </is>
      </c>
      <c r="L79" t="b">
        <v>1</v>
      </c>
      <c r="M79" t="inlineStr">
        <is>
          <t>巨潮资讯（CNINFO Data Service）</t>
        </is>
      </c>
      <c r="N79" t="b">
        <v>1</v>
      </c>
    </row>
    <row r="80">
      <c r="A80" t="inlineStr">
        <is>
          <t>A股</t>
        </is>
      </c>
      <c r="B80" t="inlineStr">
        <is>
          <t>920943</t>
        </is>
      </c>
      <c r="C80" t="inlineStr">
        <is>
          <t>优机股份</t>
        </is>
      </c>
      <c r="D80" t="inlineStr">
        <is>
          <t>上市与发行信息</t>
        </is>
      </c>
      <c r="E80" t="inlineStr">
        <is>
          <t>东方财富</t>
        </is>
      </c>
      <c r="F80" t="inlineStr">
        <is>
          <t>RPT_PCF10_ORG_ISSUEINFO</t>
        </is>
      </c>
      <c r="G80" s="32" t="n">
        <v>46263.26154684677</v>
      </c>
      <c r="H80" t="inlineStr">
        <is>
          <t>CNY</t>
        </is>
      </c>
      <c r="I80" t="inlineStr">
        <is>
          <t>CNY</t>
        </is>
      </c>
      <c r="J80" t="inlineStr">
        <is>
          <t>ok</t>
        </is>
      </c>
      <c r="L80" t="b">
        <v>0</v>
      </c>
      <c r="M80" t="inlineStr">
        <is>
          <t>东方财富</t>
        </is>
      </c>
      <c r="N80" t="b">
        <v>1</v>
      </c>
    </row>
    <row r="81">
      <c r="A81" t="inlineStr">
        <is>
          <t>A股</t>
        </is>
      </c>
      <c r="B81" t="inlineStr">
        <is>
          <t>920943</t>
        </is>
      </c>
      <c r="C81" t="inlineStr">
        <is>
          <t>优机股份</t>
        </is>
      </c>
      <c r="D81" t="inlineStr">
        <is>
          <t>资金流</t>
        </is>
      </c>
      <c r="E81" t="inlineStr">
        <is>
          <t>东方财富</t>
        </is>
      </c>
      <c r="F81" t="inlineStr">
        <is>
          <t>fast-mode-no-reliable-batch-endpoint</t>
        </is>
      </c>
      <c r="G81" s="32" t="n">
        <v>46263.26159564944</v>
      </c>
      <c r="I81" t="inlineStr">
        <is>
          <t>CNY</t>
        </is>
      </c>
      <c r="J81" t="inlineStr">
        <is>
          <t>optional_missing</t>
        </is>
      </c>
      <c r="K81" t="inlineStr">
        <is>
          <t>快速模式未发现可靠的批量近五个交易日同口径字段，为避免逐股慢请求，本次留空</t>
        </is>
      </c>
      <c r="L81" t="b">
        <v>0</v>
      </c>
      <c r="M81" t="inlineStr">
        <is>
          <t>东方财富</t>
        </is>
      </c>
      <c r="N81" t="b">
        <v>1</v>
      </c>
    </row>
    <row r="82">
      <c r="A82" t="inlineStr">
        <is>
          <t>A股</t>
        </is>
      </c>
      <c r="B82" t="inlineStr">
        <is>
          <t>920942</t>
        </is>
      </c>
      <c r="C82" t="inlineStr">
        <is>
          <t>恒立钻具</t>
        </is>
      </c>
      <c r="D82" t="inlineStr">
        <is>
          <t>最新行情</t>
        </is>
      </c>
      <c r="E82" t="inlineStr">
        <is>
          <t>东方财富</t>
        </is>
      </c>
      <c r="F82" t="inlineStr">
        <is>
          <t>push2 ulist.np/get f2,f20（按指定证券分批）</t>
        </is>
      </c>
      <c r="G82" s="32" t="n">
        <v>46263.26140913873</v>
      </c>
      <c r="H82" t="inlineStr">
        <is>
          <t>CNY</t>
        </is>
      </c>
      <c r="I82" t="inlineStr">
        <is>
          <t>CNY</t>
        </is>
      </c>
      <c r="J82" t="inlineStr">
        <is>
          <t>ok</t>
        </is>
      </c>
      <c r="L82" t="b">
        <v>0</v>
      </c>
      <c r="M82" t="inlineStr">
        <is>
          <t>东方财富</t>
        </is>
      </c>
      <c r="N82" t="b">
        <v>1</v>
      </c>
    </row>
    <row r="83">
      <c r="A83" t="inlineStr">
        <is>
          <t>A股</t>
        </is>
      </c>
      <c r="B83" t="inlineStr">
        <is>
          <t>920942</t>
        </is>
      </c>
      <c r="C83" t="inlineStr">
        <is>
          <t>恒立钻具</t>
        </is>
      </c>
      <c r="D83" t="inlineStr">
        <is>
          <t>大宗交易</t>
        </is>
      </c>
      <c r="E83" t="inlineStr">
        <is>
          <t>东方财富</t>
        </is>
      </c>
      <c r="F83" t="inlineStr">
        <is>
          <t>RPT_DATA_BLOCKTRADE 2026（全市场分页后本地聚合）</t>
        </is>
      </c>
      <c r="G83" s="32" t="n">
        <v>46263.26141482598</v>
      </c>
      <c r="H83" t="inlineStr">
        <is>
          <t>CNY</t>
        </is>
      </c>
      <c r="I83" t="inlineStr">
        <is>
          <t>CNY</t>
        </is>
      </c>
      <c r="J83" t="inlineStr">
        <is>
          <t>ok</t>
        </is>
      </c>
      <c r="L83" t="b">
        <v>0</v>
      </c>
      <c r="M83" t="inlineStr">
        <is>
          <t>东方财富</t>
        </is>
      </c>
      <c r="N83" t="b">
        <v>1</v>
      </c>
    </row>
    <row r="84">
      <c r="A84" t="inlineStr">
        <is>
          <t>A股</t>
        </is>
      </c>
      <c r="B84" t="inlineStr">
        <is>
          <t>920942</t>
        </is>
      </c>
      <c r="C84" t="inlineStr">
        <is>
          <t>恒立钻具</t>
        </is>
      </c>
      <c r="D84" t="inlineStr">
        <is>
          <t>年度财务</t>
        </is>
      </c>
      <c r="E84" t="inlineStr">
        <is>
          <t>东方财富</t>
        </is>
      </c>
      <c r="F84" t="inlineStr">
        <is>
          <t>RPT_LICO_FN_CPD + RPT_DMSK_FN_CASHFLOW；巨潮回退原因：未配置巨潮官方 API 凭证/端点（CNINFO_ACCESS_TOKEN、CNINFO_INCOME_API_URL、CNINFO_CASHFLOW_API_URL）</t>
        </is>
      </c>
      <c r="G84" s="32" t="n">
        <v>46263.26144101647</v>
      </c>
      <c r="H84" t="inlineStr">
        <is>
          <t>CNY</t>
        </is>
      </c>
      <c r="I84" t="inlineStr">
        <is>
          <t>CNY</t>
        </is>
      </c>
      <c r="J84" t="inlineStr">
        <is>
          <t>ok</t>
        </is>
      </c>
      <c r="L84" t="b">
        <v>1</v>
      </c>
      <c r="M84" t="inlineStr">
        <is>
          <t>巨潮资讯（CNINFO Data Service）</t>
        </is>
      </c>
      <c r="N84" t="b">
        <v>1</v>
      </c>
    </row>
    <row r="85">
      <c r="A85" t="inlineStr">
        <is>
          <t>A股</t>
        </is>
      </c>
      <c r="B85" t="inlineStr">
        <is>
          <t>920942</t>
        </is>
      </c>
      <c r="C85" t="inlineStr">
        <is>
          <t>恒立钻具</t>
        </is>
      </c>
      <c r="D85" t="inlineStr">
        <is>
          <t>上市与发行信息</t>
        </is>
      </c>
      <c r="E85" t="inlineStr">
        <is>
          <t>东方财富</t>
        </is>
      </c>
      <c r="F85" t="inlineStr">
        <is>
          <t>RPT_PCF10_ORG_ISSUEINFO</t>
        </is>
      </c>
      <c r="G85" s="32" t="n">
        <v>46263.26154750625</v>
      </c>
      <c r="H85" t="inlineStr">
        <is>
          <t>CNY</t>
        </is>
      </c>
      <c r="I85" t="inlineStr">
        <is>
          <t>CNY</t>
        </is>
      </c>
      <c r="J85" t="inlineStr">
        <is>
          <t>ok</t>
        </is>
      </c>
      <c r="L85" t="b">
        <v>0</v>
      </c>
      <c r="M85" t="inlineStr">
        <is>
          <t>东方财富</t>
        </is>
      </c>
      <c r="N85" t="b">
        <v>1</v>
      </c>
    </row>
    <row r="86">
      <c r="A86" t="inlineStr">
        <is>
          <t>A股</t>
        </is>
      </c>
      <c r="B86" t="inlineStr">
        <is>
          <t>920942</t>
        </is>
      </c>
      <c r="C86" t="inlineStr">
        <is>
          <t>恒立钻具</t>
        </is>
      </c>
      <c r="D86" t="inlineStr">
        <is>
          <t>资金流</t>
        </is>
      </c>
      <c r="E86" t="inlineStr">
        <is>
          <t>东方财富</t>
        </is>
      </c>
      <c r="F86" t="inlineStr">
        <is>
          <t>fast-mode-no-reliable-batch-endpoint</t>
        </is>
      </c>
      <c r="G86" s="32" t="n">
        <v>46263.26159564944</v>
      </c>
      <c r="I86" t="inlineStr">
        <is>
          <t>CNY</t>
        </is>
      </c>
      <c r="J86" t="inlineStr">
        <is>
          <t>optional_missing</t>
        </is>
      </c>
      <c r="K86" t="inlineStr">
        <is>
          <t>快速模式未发现可靠的批量近五个交易日同口径字段，为避免逐股慢请求，本次留空</t>
        </is>
      </c>
      <c r="L86" t="b">
        <v>0</v>
      </c>
      <c r="M86" t="inlineStr">
        <is>
          <t>东方财富</t>
        </is>
      </c>
      <c r="N86" t="b">
        <v>1</v>
      </c>
    </row>
    <row r="87">
      <c r="A87" t="inlineStr">
        <is>
          <t>A股</t>
        </is>
      </c>
      <c r="B87" t="inlineStr">
        <is>
          <t>920932</t>
        </is>
      </c>
      <c r="C87" t="inlineStr">
        <is>
          <t>科达自控</t>
        </is>
      </c>
      <c r="D87" t="inlineStr">
        <is>
          <t>最新行情</t>
        </is>
      </c>
      <c r="E87" t="inlineStr">
        <is>
          <t>东方财富</t>
        </is>
      </c>
      <c r="F87" t="inlineStr">
        <is>
          <t>push2 ulist.np/get f2,f20（按指定证券分批）</t>
        </is>
      </c>
      <c r="G87" s="32" t="n">
        <v>46263.26140913873</v>
      </c>
      <c r="H87" t="inlineStr">
        <is>
          <t>CNY</t>
        </is>
      </c>
      <c r="I87" t="inlineStr">
        <is>
          <t>CNY</t>
        </is>
      </c>
      <c r="J87" t="inlineStr">
        <is>
          <t>ok</t>
        </is>
      </c>
      <c r="L87" t="b">
        <v>0</v>
      </c>
      <c r="M87" t="inlineStr">
        <is>
          <t>东方财富</t>
        </is>
      </c>
      <c r="N87" t="b">
        <v>1</v>
      </c>
    </row>
    <row r="88">
      <c r="A88" t="inlineStr">
        <is>
          <t>A股</t>
        </is>
      </c>
      <c r="B88" t="inlineStr">
        <is>
          <t>920932</t>
        </is>
      </c>
      <c r="C88" t="inlineStr">
        <is>
          <t>科达自控</t>
        </is>
      </c>
      <c r="D88" t="inlineStr">
        <is>
          <t>大宗交易</t>
        </is>
      </c>
      <c r="E88" t="inlineStr">
        <is>
          <t>东方财富</t>
        </is>
      </c>
      <c r="F88" t="inlineStr">
        <is>
          <t>RPT_DATA_BLOCKTRADE 2026（全市场分页后本地聚合）</t>
        </is>
      </c>
      <c r="G88" s="32" t="n">
        <v>46263.26141482598</v>
      </c>
      <c r="H88" t="inlineStr">
        <is>
          <t>CNY</t>
        </is>
      </c>
      <c r="I88" t="inlineStr">
        <is>
          <t>CNY</t>
        </is>
      </c>
      <c r="J88" t="inlineStr">
        <is>
          <t>ok</t>
        </is>
      </c>
      <c r="L88" t="b">
        <v>0</v>
      </c>
      <c r="M88" t="inlineStr">
        <is>
          <t>东方财富</t>
        </is>
      </c>
      <c r="N88" t="b">
        <v>1</v>
      </c>
    </row>
    <row r="89">
      <c r="A89" t="inlineStr">
        <is>
          <t>A股</t>
        </is>
      </c>
      <c r="B89" t="inlineStr">
        <is>
          <t>920932</t>
        </is>
      </c>
      <c r="C89" t="inlineStr">
        <is>
          <t>科达自控</t>
        </is>
      </c>
      <c r="D89" t="inlineStr">
        <is>
          <t>年度财务</t>
        </is>
      </c>
      <c r="E89" t="inlineStr">
        <is>
          <t>东方财富</t>
        </is>
      </c>
      <c r="F89" t="inlineStr">
        <is>
          <t>RPT_LICO_FN_CPD + RPT_DMSK_FN_CASHFLOW；巨潮回退原因：未配置巨潮官方 API 凭证/端点（CNINFO_ACCESS_TOKEN、CNINFO_INCOME_API_URL、CNINFO_CASHFLOW_API_URL）</t>
        </is>
      </c>
      <c r="G89" s="32" t="n">
        <v>46263.26144427303</v>
      </c>
      <c r="H89" t="inlineStr">
        <is>
          <t>CNY</t>
        </is>
      </c>
      <c r="I89" t="inlineStr">
        <is>
          <t>CNY</t>
        </is>
      </c>
      <c r="J89" t="inlineStr">
        <is>
          <t>ok</t>
        </is>
      </c>
      <c r="L89" t="b">
        <v>1</v>
      </c>
      <c r="M89" t="inlineStr">
        <is>
          <t>巨潮资讯（CNINFO Data Service）</t>
        </is>
      </c>
      <c r="N89" t="b">
        <v>1</v>
      </c>
    </row>
    <row r="90">
      <c r="A90" t="inlineStr">
        <is>
          <t>A股</t>
        </is>
      </c>
      <c r="B90" t="inlineStr">
        <is>
          <t>920932</t>
        </is>
      </c>
      <c r="C90" t="inlineStr">
        <is>
          <t>科达自控</t>
        </is>
      </c>
      <c r="D90" t="inlineStr">
        <is>
          <t>上市与发行信息</t>
        </is>
      </c>
      <c r="E90" t="inlineStr">
        <is>
          <t>东方财富</t>
        </is>
      </c>
      <c r="F90" t="inlineStr">
        <is>
          <t>RPT_PCF10_ORG_ISSUEINFO</t>
        </is>
      </c>
      <c r="G90" s="32" t="n">
        <v>46263.2615481339</v>
      </c>
      <c r="H90" t="inlineStr">
        <is>
          <t>CNY</t>
        </is>
      </c>
      <c r="I90" t="inlineStr">
        <is>
          <t>CNY</t>
        </is>
      </c>
      <c r="J90" t="inlineStr">
        <is>
          <t>ok</t>
        </is>
      </c>
      <c r="L90" t="b">
        <v>0</v>
      </c>
      <c r="M90" t="inlineStr">
        <is>
          <t>东方财富</t>
        </is>
      </c>
      <c r="N90" t="b">
        <v>1</v>
      </c>
    </row>
    <row r="91">
      <c r="A91" t="inlineStr">
        <is>
          <t>A股</t>
        </is>
      </c>
      <c r="B91" t="inlineStr">
        <is>
          <t>920932</t>
        </is>
      </c>
      <c r="C91" t="inlineStr">
        <is>
          <t>科达自控</t>
        </is>
      </c>
      <c r="D91" t="inlineStr">
        <is>
          <t>资金流</t>
        </is>
      </c>
      <c r="E91" t="inlineStr">
        <is>
          <t>东方财富</t>
        </is>
      </c>
      <c r="F91" t="inlineStr">
        <is>
          <t>fast-mode-no-reliable-batch-endpoint</t>
        </is>
      </c>
      <c r="G91" s="32" t="n">
        <v>46263.26159564944</v>
      </c>
      <c r="I91" t="inlineStr">
        <is>
          <t>CNY</t>
        </is>
      </c>
      <c r="J91" t="inlineStr">
        <is>
          <t>optional_missing</t>
        </is>
      </c>
      <c r="K91" t="inlineStr">
        <is>
          <t>快速模式未发现可靠的批量近五个交易日同口径字段，为避免逐股慢请求，本次留空</t>
        </is>
      </c>
      <c r="L91" t="b">
        <v>0</v>
      </c>
      <c r="M91" t="inlineStr">
        <is>
          <t>东方财富</t>
        </is>
      </c>
      <c r="N91" t="b">
        <v>1</v>
      </c>
    </row>
    <row r="92">
      <c r="A92" t="inlineStr">
        <is>
          <t>A股</t>
        </is>
      </c>
      <c r="B92" t="inlineStr">
        <is>
          <t>920931</t>
        </is>
      </c>
      <c r="C92" t="inlineStr">
        <is>
          <t>无锡鼎邦</t>
        </is>
      </c>
      <c r="D92" t="inlineStr">
        <is>
          <t>最新行情</t>
        </is>
      </c>
      <c r="E92" t="inlineStr">
        <is>
          <t>东方财富</t>
        </is>
      </c>
      <c r="F92" t="inlineStr">
        <is>
          <t>push2 ulist.np/get f2,f20（按指定证券分批）</t>
        </is>
      </c>
      <c r="G92" s="32" t="n">
        <v>46263.26140913873</v>
      </c>
      <c r="H92" t="inlineStr">
        <is>
          <t>CNY</t>
        </is>
      </c>
      <c r="I92" t="inlineStr">
        <is>
          <t>CNY</t>
        </is>
      </c>
      <c r="J92" t="inlineStr">
        <is>
          <t>ok</t>
        </is>
      </c>
      <c r="L92" t="b">
        <v>0</v>
      </c>
      <c r="M92" t="inlineStr">
        <is>
          <t>东方财富</t>
        </is>
      </c>
      <c r="N92" t="b">
        <v>1</v>
      </c>
    </row>
    <row r="93">
      <c r="A93" t="inlineStr">
        <is>
          <t>A股</t>
        </is>
      </c>
      <c r="B93" t="inlineStr">
        <is>
          <t>920931</t>
        </is>
      </c>
      <c r="C93" t="inlineStr">
        <is>
          <t>无锡鼎邦</t>
        </is>
      </c>
      <c r="D93" t="inlineStr">
        <is>
          <t>大宗交易</t>
        </is>
      </c>
      <c r="E93" t="inlineStr">
        <is>
          <t>东方财富</t>
        </is>
      </c>
      <c r="F93" t="inlineStr">
        <is>
          <t>RPT_DATA_BLOCKTRADE 2026（全市场分页后本地聚合）</t>
        </is>
      </c>
      <c r="G93" s="32" t="n">
        <v>46263.26141482598</v>
      </c>
      <c r="H93" t="inlineStr">
        <is>
          <t>CNY</t>
        </is>
      </c>
      <c r="I93" t="inlineStr">
        <is>
          <t>CNY</t>
        </is>
      </c>
      <c r="J93" t="inlineStr">
        <is>
          <t>ok</t>
        </is>
      </c>
      <c r="L93" t="b">
        <v>0</v>
      </c>
      <c r="M93" t="inlineStr">
        <is>
          <t>东方财富</t>
        </is>
      </c>
      <c r="N93" t="b">
        <v>1</v>
      </c>
    </row>
    <row r="94">
      <c r="A94" t="inlineStr">
        <is>
          <t>A股</t>
        </is>
      </c>
      <c r="B94" t="inlineStr">
        <is>
          <t>920931</t>
        </is>
      </c>
      <c r="C94" t="inlineStr">
        <is>
          <t>无锡鼎邦</t>
        </is>
      </c>
      <c r="D94" t="inlineStr">
        <is>
          <t>年度财务</t>
        </is>
      </c>
      <c r="E94" t="inlineStr">
        <is>
          <t>东方财富</t>
        </is>
      </c>
      <c r="F94" t="inlineStr">
        <is>
          <t>RPT_LICO_FN_CPD + RPT_DMSK_FN_CASHFLOW；巨潮回退原因：未配置巨潮官方 API 凭证/端点（CNINFO_ACCESS_TOKEN、CNINFO_INCOME_API_URL、CNINFO_CASHFLOW_API_URL）</t>
        </is>
      </c>
      <c r="G94" s="32" t="n">
        <v>46263.26144468049</v>
      </c>
      <c r="H94" t="inlineStr">
        <is>
          <t>CNY</t>
        </is>
      </c>
      <c r="I94" t="inlineStr">
        <is>
          <t>CNY</t>
        </is>
      </c>
      <c r="J94" t="inlineStr">
        <is>
          <t>ok</t>
        </is>
      </c>
      <c r="L94" t="b">
        <v>1</v>
      </c>
      <c r="M94" t="inlineStr">
        <is>
          <t>巨潮资讯（CNINFO Data Service）</t>
        </is>
      </c>
      <c r="N94" t="b">
        <v>1</v>
      </c>
    </row>
    <row r="95">
      <c r="A95" t="inlineStr">
        <is>
          <t>A股</t>
        </is>
      </c>
      <c r="B95" t="inlineStr">
        <is>
          <t>920931</t>
        </is>
      </c>
      <c r="C95" t="inlineStr">
        <is>
          <t>无锡鼎邦</t>
        </is>
      </c>
      <c r="D95" t="inlineStr">
        <is>
          <t>上市与发行信息</t>
        </is>
      </c>
      <c r="E95" t="inlineStr">
        <is>
          <t>东方财富</t>
        </is>
      </c>
      <c r="F95" t="inlineStr">
        <is>
          <t>RPT_PCF10_ORG_ISSUEINFO</t>
        </is>
      </c>
      <c r="G95" s="32" t="n">
        <v>46263.26154873402</v>
      </c>
      <c r="H95" t="inlineStr">
        <is>
          <t>CNY</t>
        </is>
      </c>
      <c r="I95" t="inlineStr">
        <is>
          <t>CNY</t>
        </is>
      </c>
      <c r="J95" t="inlineStr">
        <is>
          <t>ok</t>
        </is>
      </c>
      <c r="L95" t="b">
        <v>0</v>
      </c>
      <c r="M95" t="inlineStr">
        <is>
          <t>东方财富</t>
        </is>
      </c>
      <c r="N95" t="b">
        <v>1</v>
      </c>
    </row>
    <row r="96">
      <c r="A96" t="inlineStr">
        <is>
          <t>A股</t>
        </is>
      </c>
      <c r="B96" t="inlineStr">
        <is>
          <t>920931</t>
        </is>
      </c>
      <c r="C96" t="inlineStr">
        <is>
          <t>无锡鼎邦</t>
        </is>
      </c>
      <c r="D96" t="inlineStr">
        <is>
          <t>资金流</t>
        </is>
      </c>
      <c r="E96" t="inlineStr">
        <is>
          <t>东方财富</t>
        </is>
      </c>
      <c r="F96" t="inlineStr">
        <is>
          <t>fast-mode-no-reliable-batch-endpoint</t>
        </is>
      </c>
      <c r="G96" s="32" t="n">
        <v>46263.26159564944</v>
      </c>
      <c r="I96" t="inlineStr">
        <is>
          <t>CNY</t>
        </is>
      </c>
      <c r="J96" t="inlineStr">
        <is>
          <t>optional_missing</t>
        </is>
      </c>
      <c r="K96" t="inlineStr">
        <is>
          <t>快速模式未发现可靠的批量近五个交易日同口径字段，为避免逐股慢请求，本次留空</t>
        </is>
      </c>
      <c r="L96" t="b">
        <v>0</v>
      </c>
      <c r="M96" t="inlineStr">
        <is>
          <t>东方财富</t>
        </is>
      </c>
      <c r="N96" t="b">
        <v>1</v>
      </c>
    </row>
    <row r="97">
      <c r="A97" t="inlineStr">
        <is>
          <t>A股</t>
        </is>
      </c>
      <c r="B97" t="inlineStr">
        <is>
          <t>920926</t>
        </is>
      </c>
      <c r="C97" t="inlineStr">
        <is>
          <t>鸿智科技</t>
        </is>
      </c>
      <c r="D97" t="inlineStr">
        <is>
          <t>最新行情</t>
        </is>
      </c>
      <c r="E97" t="inlineStr">
        <is>
          <t>东方财富</t>
        </is>
      </c>
      <c r="F97" t="inlineStr">
        <is>
          <t>push2 ulist.np/get f2,f20（按指定证券分批）</t>
        </is>
      </c>
      <c r="G97" s="32" t="n">
        <v>46263.26140913873</v>
      </c>
      <c r="H97" t="inlineStr">
        <is>
          <t>CNY</t>
        </is>
      </c>
      <c r="I97" t="inlineStr">
        <is>
          <t>CNY</t>
        </is>
      </c>
      <c r="J97" t="inlineStr">
        <is>
          <t>ok</t>
        </is>
      </c>
      <c r="L97" t="b">
        <v>0</v>
      </c>
      <c r="M97" t="inlineStr">
        <is>
          <t>东方财富</t>
        </is>
      </c>
      <c r="N97" t="b">
        <v>1</v>
      </c>
    </row>
    <row r="98">
      <c r="A98" t="inlineStr">
        <is>
          <t>A股</t>
        </is>
      </c>
      <c r="B98" t="inlineStr">
        <is>
          <t>920926</t>
        </is>
      </c>
      <c r="C98" t="inlineStr">
        <is>
          <t>鸿智科技</t>
        </is>
      </c>
      <c r="D98" t="inlineStr">
        <is>
          <t>大宗交易</t>
        </is>
      </c>
      <c r="E98" t="inlineStr">
        <is>
          <t>东方财富</t>
        </is>
      </c>
      <c r="F98" t="inlineStr">
        <is>
          <t>RPT_DATA_BLOCKTRADE 2026（全市场分页后本地聚合）</t>
        </is>
      </c>
      <c r="G98" s="32" t="n">
        <v>46263.26141482598</v>
      </c>
      <c r="H98" t="inlineStr">
        <is>
          <t>CNY</t>
        </is>
      </c>
      <c r="I98" t="inlineStr">
        <is>
          <t>CNY</t>
        </is>
      </c>
      <c r="J98" t="inlineStr">
        <is>
          <t>ok</t>
        </is>
      </c>
      <c r="L98" t="b">
        <v>0</v>
      </c>
      <c r="M98" t="inlineStr">
        <is>
          <t>东方财富</t>
        </is>
      </c>
      <c r="N98" t="b">
        <v>1</v>
      </c>
    </row>
    <row r="99">
      <c r="A99" t="inlineStr">
        <is>
          <t>A股</t>
        </is>
      </c>
      <c r="B99" t="inlineStr">
        <is>
          <t>920926</t>
        </is>
      </c>
      <c r="C99" t="inlineStr">
        <is>
          <t>鸿智科技</t>
        </is>
      </c>
      <c r="D99" t="inlineStr">
        <is>
          <t>年度财务</t>
        </is>
      </c>
      <c r="E99" t="inlineStr">
        <is>
          <t>东方财富</t>
        </is>
      </c>
      <c r="F99" t="inlineStr">
        <is>
          <t>RPT_LICO_FN_CPD + RPT_DMSK_FN_CASHFLOW；巨潮回退原因：未配置巨潮官方 API 凭证/端点（CNINFO_ACCESS_TOKEN、CNINFO_INCOME_API_URL、CNINFO_CASHFLOW_API_URL）</t>
        </is>
      </c>
      <c r="G99" s="32" t="n">
        <v>46263.26144415698</v>
      </c>
      <c r="H99" t="inlineStr">
        <is>
          <t>CNY</t>
        </is>
      </c>
      <c r="I99" t="inlineStr">
        <is>
          <t>CNY</t>
        </is>
      </c>
      <c r="J99" t="inlineStr">
        <is>
          <t>ok</t>
        </is>
      </c>
      <c r="L99" t="b">
        <v>1</v>
      </c>
      <c r="M99" t="inlineStr">
        <is>
          <t>巨潮资讯（CNINFO Data Service）</t>
        </is>
      </c>
      <c r="N99" t="b">
        <v>1</v>
      </c>
    </row>
    <row r="100">
      <c r="A100" t="inlineStr">
        <is>
          <t>A股</t>
        </is>
      </c>
      <c r="B100" t="inlineStr">
        <is>
          <t>920926</t>
        </is>
      </c>
      <c r="C100" t="inlineStr">
        <is>
          <t>鸿智科技</t>
        </is>
      </c>
      <c r="D100" t="inlineStr">
        <is>
          <t>上市与发行信息</t>
        </is>
      </c>
      <c r="E100" t="inlineStr">
        <is>
          <t>东方财富</t>
        </is>
      </c>
      <c r="F100" t="inlineStr">
        <is>
          <t>RPT_PCF10_ORG_ISSUEINFO</t>
        </is>
      </c>
      <c r="G100" s="32" t="n">
        <v>46263.26154918686</v>
      </c>
      <c r="H100" t="inlineStr">
        <is>
          <t>CNY</t>
        </is>
      </c>
      <c r="I100" t="inlineStr">
        <is>
          <t>CNY</t>
        </is>
      </c>
      <c r="J100" t="inlineStr">
        <is>
          <t>ok</t>
        </is>
      </c>
      <c r="L100" t="b">
        <v>0</v>
      </c>
      <c r="M100" t="inlineStr">
        <is>
          <t>东方财富</t>
        </is>
      </c>
      <c r="N100" t="b">
        <v>1</v>
      </c>
    </row>
    <row r="101">
      <c r="A101" t="inlineStr">
        <is>
          <t>A股</t>
        </is>
      </c>
      <c r="B101" t="inlineStr">
        <is>
          <t>920926</t>
        </is>
      </c>
      <c r="C101" t="inlineStr">
        <is>
          <t>鸿智科技</t>
        </is>
      </c>
      <c r="D101" t="inlineStr">
        <is>
          <t>资金流</t>
        </is>
      </c>
      <c r="E101" t="inlineStr">
        <is>
          <t>东方财富</t>
        </is>
      </c>
      <c r="F101" t="inlineStr">
        <is>
          <t>fast-mode-no-reliable-batch-endpoint</t>
        </is>
      </c>
      <c r="G101" s="32" t="n">
        <v>46263.26159564944</v>
      </c>
      <c r="I101" t="inlineStr">
        <is>
          <t>CNY</t>
        </is>
      </c>
      <c r="J101" t="inlineStr">
        <is>
          <t>optional_missing</t>
        </is>
      </c>
      <c r="K101" t="inlineStr">
        <is>
          <t>快速模式未发现可靠的批量近五个交易日同口径字段，为避免逐股慢请求，本次留空</t>
        </is>
      </c>
      <c r="L101" t="b">
        <v>0</v>
      </c>
      <c r="M101" t="inlineStr">
        <is>
          <t>东方财富</t>
        </is>
      </c>
      <c r="N101" t="b">
        <v>1</v>
      </c>
    </row>
    <row r="102">
      <c r="A102" t="inlineStr">
        <is>
          <t>A股</t>
        </is>
      </c>
      <c r="B102" t="inlineStr">
        <is>
          <t>920925</t>
        </is>
      </c>
      <c r="C102" t="inlineStr">
        <is>
          <t>锦好医疗</t>
        </is>
      </c>
      <c r="D102" t="inlineStr">
        <is>
          <t>最新行情</t>
        </is>
      </c>
      <c r="E102" t="inlineStr">
        <is>
          <t>东方财富</t>
        </is>
      </c>
      <c r="F102" t="inlineStr">
        <is>
          <t>push2 ulist.np/get f2,f20（按指定证券分批）</t>
        </is>
      </c>
      <c r="G102" s="32" t="n">
        <v>46263.26140913873</v>
      </c>
      <c r="H102" t="inlineStr">
        <is>
          <t>CNY</t>
        </is>
      </c>
      <c r="I102" t="inlineStr">
        <is>
          <t>CNY</t>
        </is>
      </c>
      <c r="J102" t="inlineStr">
        <is>
          <t>ok</t>
        </is>
      </c>
      <c r="L102" t="b">
        <v>0</v>
      </c>
      <c r="M102" t="inlineStr">
        <is>
          <t>东方财富</t>
        </is>
      </c>
      <c r="N102" t="b">
        <v>1</v>
      </c>
    </row>
    <row r="103">
      <c r="A103" t="inlineStr">
        <is>
          <t>A股</t>
        </is>
      </c>
      <c r="B103" t="inlineStr">
        <is>
          <t>920925</t>
        </is>
      </c>
      <c r="C103" t="inlineStr">
        <is>
          <t>锦好医疗</t>
        </is>
      </c>
      <c r="D103" t="inlineStr">
        <is>
          <t>大宗交易</t>
        </is>
      </c>
      <c r="E103" t="inlineStr">
        <is>
          <t>东方财富</t>
        </is>
      </c>
      <c r="F103" t="inlineStr">
        <is>
          <t>RPT_DATA_BLOCKTRADE 2026（全市场分页后本地聚合）</t>
        </is>
      </c>
      <c r="G103" s="32" t="n">
        <v>46263.26141482598</v>
      </c>
      <c r="H103" t="inlineStr">
        <is>
          <t>CNY</t>
        </is>
      </c>
      <c r="I103" t="inlineStr">
        <is>
          <t>CNY</t>
        </is>
      </c>
      <c r="J103" t="inlineStr">
        <is>
          <t>ok</t>
        </is>
      </c>
      <c r="L103" t="b">
        <v>0</v>
      </c>
      <c r="M103" t="inlineStr">
        <is>
          <t>东方财富</t>
        </is>
      </c>
      <c r="N103" t="b">
        <v>1</v>
      </c>
    </row>
    <row r="104">
      <c r="A104" t="inlineStr">
        <is>
          <t>A股</t>
        </is>
      </c>
      <c r="B104" t="inlineStr">
        <is>
          <t>920925</t>
        </is>
      </c>
      <c r="C104" t="inlineStr">
        <is>
          <t>锦好医疗</t>
        </is>
      </c>
      <c r="D104" t="inlineStr">
        <is>
          <t>年度财务</t>
        </is>
      </c>
      <c r="E104" t="inlineStr">
        <is>
          <t>东方财富</t>
        </is>
      </c>
      <c r="F104" t="inlineStr">
        <is>
          <t>RPT_LICO_FN_CPD + RPT_DMSK_FN_CASHFLOW；巨潮回退原因：未配置巨潮官方 API 凭证/端点（CNINFO_ACCESS_TOKEN、CNINFO_INCOME_API_URL、CNINFO_CASHFLOW_API_URL）</t>
        </is>
      </c>
      <c r="G104" s="32" t="n">
        <v>46263.2614442547</v>
      </c>
      <c r="H104" t="inlineStr">
        <is>
          <t>CNY</t>
        </is>
      </c>
      <c r="I104" t="inlineStr">
        <is>
          <t>CNY</t>
        </is>
      </c>
      <c r="J104" t="inlineStr">
        <is>
          <t>ok</t>
        </is>
      </c>
      <c r="L104" t="b">
        <v>1</v>
      </c>
      <c r="M104" t="inlineStr">
        <is>
          <t>巨潮资讯（CNINFO Data Service）</t>
        </is>
      </c>
      <c r="N104" t="b">
        <v>1</v>
      </c>
    </row>
    <row r="105">
      <c r="A105" t="inlineStr">
        <is>
          <t>A股</t>
        </is>
      </c>
      <c r="B105" t="inlineStr">
        <is>
          <t>920925</t>
        </is>
      </c>
      <c r="C105" t="inlineStr">
        <is>
          <t>锦好医疗</t>
        </is>
      </c>
      <c r="D105" t="inlineStr">
        <is>
          <t>上市与发行信息</t>
        </is>
      </c>
      <c r="E105" t="inlineStr">
        <is>
          <t>东方财富</t>
        </is>
      </c>
      <c r="F105" t="inlineStr">
        <is>
          <t>RPT_PCF10_ORG_ISSUEINFO</t>
        </is>
      </c>
      <c r="G105" s="32" t="n">
        <v>46263.26155320489</v>
      </c>
      <c r="H105" t="inlineStr">
        <is>
          <t>CNY</t>
        </is>
      </c>
      <c r="I105" t="inlineStr">
        <is>
          <t>CNY</t>
        </is>
      </c>
      <c r="J105" t="inlineStr">
        <is>
          <t>ok</t>
        </is>
      </c>
      <c r="L105" t="b">
        <v>0</v>
      </c>
      <c r="M105" t="inlineStr">
        <is>
          <t>东方财富</t>
        </is>
      </c>
      <c r="N105" t="b">
        <v>1</v>
      </c>
    </row>
    <row r="106">
      <c r="A106" t="inlineStr">
        <is>
          <t>A股</t>
        </is>
      </c>
      <c r="B106" t="inlineStr">
        <is>
          <t>920925</t>
        </is>
      </c>
      <c r="C106" t="inlineStr">
        <is>
          <t>锦好医疗</t>
        </is>
      </c>
      <c r="D106" t="inlineStr">
        <is>
          <t>资金流</t>
        </is>
      </c>
      <c r="E106" t="inlineStr">
        <is>
          <t>东方财富</t>
        </is>
      </c>
      <c r="F106" t="inlineStr">
        <is>
          <t>fast-mode-no-reliable-batch-endpoint</t>
        </is>
      </c>
      <c r="G106" s="32" t="n">
        <v>46263.26159564944</v>
      </c>
      <c r="I106" t="inlineStr">
        <is>
          <t>CNY</t>
        </is>
      </c>
      <c r="J106" t="inlineStr">
        <is>
          <t>optional_missing</t>
        </is>
      </c>
      <c r="K106" t="inlineStr">
        <is>
          <t>快速模式未发现可靠的批量近五个交易日同口径字段，为避免逐股慢请求，本次留空</t>
        </is>
      </c>
      <c r="L106" t="b">
        <v>0</v>
      </c>
      <c r="M106" t="inlineStr">
        <is>
          <t>东方财富</t>
        </is>
      </c>
      <c r="N106" t="b">
        <v>1</v>
      </c>
    </row>
    <row r="107">
      <c r="A107" t="inlineStr">
        <is>
          <t>A股</t>
        </is>
      </c>
      <c r="B107" t="inlineStr">
        <is>
          <t>920924</t>
        </is>
      </c>
      <c r="C107" t="inlineStr">
        <is>
          <t>广脉科技</t>
        </is>
      </c>
      <c r="D107" t="inlineStr">
        <is>
          <t>最新行情</t>
        </is>
      </c>
      <c r="E107" t="inlineStr">
        <is>
          <t>东方财富</t>
        </is>
      </c>
      <c r="F107" t="inlineStr">
        <is>
          <t>push2 ulist.np/get f2,f20（按指定证券分批）</t>
        </is>
      </c>
      <c r="G107" s="32" t="n">
        <v>46263.26140913873</v>
      </c>
      <c r="H107" t="inlineStr">
        <is>
          <t>CNY</t>
        </is>
      </c>
      <c r="I107" t="inlineStr">
        <is>
          <t>CNY</t>
        </is>
      </c>
      <c r="J107" t="inlineStr">
        <is>
          <t>ok</t>
        </is>
      </c>
      <c r="L107" t="b">
        <v>0</v>
      </c>
      <c r="M107" t="inlineStr">
        <is>
          <t>东方财富</t>
        </is>
      </c>
      <c r="N107" t="b">
        <v>1</v>
      </c>
    </row>
    <row r="108">
      <c r="A108" t="inlineStr">
        <is>
          <t>A股</t>
        </is>
      </c>
      <c r="B108" t="inlineStr">
        <is>
          <t>920924</t>
        </is>
      </c>
      <c r="C108" t="inlineStr">
        <is>
          <t>广脉科技</t>
        </is>
      </c>
      <c r="D108" t="inlineStr">
        <is>
          <t>大宗交易</t>
        </is>
      </c>
      <c r="E108" t="inlineStr">
        <is>
          <t>东方财富</t>
        </is>
      </c>
      <c r="F108" t="inlineStr">
        <is>
          <t>RPT_DATA_BLOCKTRADE 2026（全市场分页后本地聚合）</t>
        </is>
      </c>
      <c r="G108" s="32" t="n">
        <v>46263.26141482598</v>
      </c>
      <c r="H108" t="inlineStr">
        <is>
          <t>CNY</t>
        </is>
      </c>
      <c r="I108" t="inlineStr">
        <is>
          <t>CNY</t>
        </is>
      </c>
      <c r="J108" t="inlineStr">
        <is>
          <t>ok</t>
        </is>
      </c>
      <c r="L108" t="b">
        <v>0</v>
      </c>
      <c r="M108" t="inlineStr">
        <is>
          <t>东方财富</t>
        </is>
      </c>
      <c r="N108" t="b">
        <v>1</v>
      </c>
    </row>
    <row r="109">
      <c r="A109" t="inlineStr">
        <is>
          <t>A股</t>
        </is>
      </c>
      <c r="B109" t="inlineStr">
        <is>
          <t>920924</t>
        </is>
      </c>
      <c r="C109" t="inlineStr">
        <is>
          <t>广脉科技</t>
        </is>
      </c>
      <c r="D109" t="inlineStr">
        <is>
          <t>年度财务</t>
        </is>
      </c>
      <c r="E109" t="inlineStr">
        <is>
          <t>东方财富</t>
        </is>
      </c>
      <c r="F109" t="inlineStr">
        <is>
          <t>RPT_LICO_FN_CPD + RPT_DMSK_FN_CASHFLOW；巨潮回退原因：未配置巨潮官方 API 凭证/端点（CNINFO_ACCESS_TOKEN、CNINFO_INCOME_API_URL、CNINFO_CASHFLOW_API_URL）</t>
        </is>
      </c>
      <c r="G109" s="32" t="n">
        <v>46263.26144599096</v>
      </c>
      <c r="H109" t="inlineStr">
        <is>
          <t>CNY</t>
        </is>
      </c>
      <c r="I109" t="inlineStr">
        <is>
          <t>CNY</t>
        </is>
      </c>
      <c r="J109" t="inlineStr">
        <is>
          <t>ok</t>
        </is>
      </c>
      <c r="L109" t="b">
        <v>1</v>
      </c>
      <c r="M109" t="inlineStr">
        <is>
          <t>巨潮资讯（CNINFO Data Service）</t>
        </is>
      </c>
      <c r="N109" t="b">
        <v>1</v>
      </c>
    </row>
    <row r="110">
      <c r="A110" t="inlineStr">
        <is>
          <t>A股</t>
        </is>
      </c>
      <c r="B110" t="inlineStr">
        <is>
          <t>920924</t>
        </is>
      </c>
      <c r="C110" t="inlineStr">
        <is>
          <t>广脉科技</t>
        </is>
      </c>
      <c r="D110" t="inlineStr">
        <is>
          <t>上市与发行信息</t>
        </is>
      </c>
      <c r="E110" t="inlineStr">
        <is>
          <t>东方财富</t>
        </is>
      </c>
      <c r="F110" t="inlineStr">
        <is>
          <t>RPT_PCF10_ORG_ISSUEINFO</t>
        </is>
      </c>
      <c r="G110" s="32" t="n">
        <v>46263.26155045499</v>
      </c>
      <c r="H110" t="inlineStr">
        <is>
          <t>CNY</t>
        </is>
      </c>
      <c r="I110" t="inlineStr">
        <is>
          <t>CNY</t>
        </is>
      </c>
      <c r="J110" t="inlineStr">
        <is>
          <t>ok</t>
        </is>
      </c>
      <c r="L110" t="b">
        <v>0</v>
      </c>
      <c r="M110" t="inlineStr">
        <is>
          <t>东方财富</t>
        </is>
      </c>
      <c r="N110" t="b">
        <v>1</v>
      </c>
    </row>
    <row r="111">
      <c r="A111" t="inlineStr">
        <is>
          <t>A股</t>
        </is>
      </c>
      <c r="B111" t="inlineStr">
        <is>
          <t>920924</t>
        </is>
      </c>
      <c r="C111" t="inlineStr">
        <is>
          <t>广脉科技</t>
        </is>
      </c>
      <c r="D111" t="inlineStr">
        <is>
          <t>资金流</t>
        </is>
      </c>
      <c r="E111" t="inlineStr">
        <is>
          <t>东方财富</t>
        </is>
      </c>
      <c r="F111" t="inlineStr">
        <is>
          <t>fast-mode-no-reliable-batch-endpoint</t>
        </is>
      </c>
      <c r="G111" s="32" t="n">
        <v>46263.26159564944</v>
      </c>
      <c r="I111" t="inlineStr">
        <is>
          <t>CNY</t>
        </is>
      </c>
      <c r="J111" t="inlineStr">
        <is>
          <t>optional_missing</t>
        </is>
      </c>
      <c r="K111" t="inlineStr">
        <is>
          <t>快速模式未发现可靠的批量近五个交易日同口径字段，为避免逐股慢请求，本次留空</t>
        </is>
      </c>
      <c r="L111" t="b">
        <v>0</v>
      </c>
      <c r="M111" t="inlineStr">
        <is>
          <t>东方财富</t>
        </is>
      </c>
      <c r="N111" t="b">
        <v>1</v>
      </c>
    </row>
    <row r="112">
      <c r="A112" t="inlineStr">
        <is>
          <t>A股</t>
        </is>
      </c>
      <c r="B112" t="inlineStr">
        <is>
          <t>920914</t>
        </is>
      </c>
      <c r="C112" t="inlineStr">
        <is>
          <t>远航精密</t>
        </is>
      </c>
      <c r="D112" t="inlineStr">
        <is>
          <t>最新行情</t>
        </is>
      </c>
      <c r="E112" t="inlineStr">
        <is>
          <t>东方财富</t>
        </is>
      </c>
      <c r="F112" t="inlineStr">
        <is>
          <t>push2 ulist.np/get f2,f20（按指定证券分批）</t>
        </is>
      </c>
      <c r="G112" s="32" t="n">
        <v>46263.26140913873</v>
      </c>
      <c r="H112" t="inlineStr">
        <is>
          <t>CNY</t>
        </is>
      </c>
      <c r="I112" t="inlineStr">
        <is>
          <t>CNY</t>
        </is>
      </c>
      <c r="J112" t="inlineStr">
        <is>
          <t>ok</t>
        </is>
      </c>
      <c r="L112" t="b">
        <v>0</v>
      </c>
      <c r="M112" t="inlineStr">
        <is>
          <t>东方财富</t>
        </is>
      </c>
      <c r="N112" t="b">
        <v>1</v>
      </c>
    </row>
    <row r="113">
      <c r="A113" t="inlineStr">
        <is>
          <t>A股</t>
        </is>
      </c>
      <c r="B113" t="inlineStr">
        <is>
          <t>920914</t>
        </is>
      </c>
      <c r="C113" t="inlineStr">
        <is>
          <t>远航精密</t>
        </is>
      </c>
      <c r="D113" t="inlineStr">
        <is>
          <t>大宗交易</t>
        </is>
      </c>
      <c r="E113" t="inlineStr">
        <is>
          <t>东方财富</t>
        </is>
      </c>
      <c r="F113" t="inlineStr">
        <is>
          <t>RPT_DATA_BLOCKTRADE 2026（全市场分页后本地聚合）</t>
        </is>
      </c>
      <c r="G113" s="32" t="n">
        <v>46263.26141482598</v>
      </c>
      <c r="H113" t="inlineStr">
        <is>
          <t>CNY</t>
        </is>
      </c>
      <c r="I113" t="inlineStr">
        <is>
          <t>CNY</t>
        </is>
      </c>
      <c r="J113" t="inlineStr">
        <is>
          <t>ok</t>
        </is>
      </c>
      <c r="L113" t="b">
        <v>0</v>
      </c>
      <c r="M113" t="inlineStr">
        <is>
          <t>东方财富</t>
        </is>
      </c>
      <c r="N113" t="b">
        <v>1</v>
      </c>
    </row>
    <row r="114">
      <c r="A114" t="inlineStr">
        <is>
          <t>A股</t>
        </is>
      </c>
      <c r="B114" t="inlineStr">
        <is>
          <t>920914</t>
        </is>
      </c>
      <c r="C114" t="inlineStr">
        <is>
          <t>远航精密</t>
        </is>
      </c>
      <c r="D114" t="inlineStr">
        <is>
          <t>年度财务</t>
        </is>
      </c>
      <c r="E114" t="inlineStr">
        <is>
          <t>东方财富</t>
        </is>
      </c>
      <c r="F114" t="inlineStr">
        <is>
          <t>RPT_LICO_FN_CPD + RPT_DMSK_FN_CASHFLOW；巨潮回退原因：未配置巨潮官方 API 凭证/端点（CNINFO_ACCESS_TOKEN、CNINFO_INCOME_API_URL、CNINFO_CASHFLOW_API_URL）</t>
        </is>
      </c>
      <c r="G114" s="32" t="n">
        <v>46263.26144550183</v>
      </c>
      <c r="H114" t="inlineStr">
        <is>
          <t>CNY</t>
        </is>
      </c>
      <c r="I114" t="inlineStr">
        <is>
          <t>CNY</t>
        </is>
      </c>
      <c r="J114" t="inlineStr">
        <is>
          <t>ok</t>
        </is>
      </c>
      <c r="L114" t="b">
        <v>1</v>
      </c>
      <c r="M114" t="inlineStr">
        <is>
          <t>巨潮资讯（CNINFO Data Service）</t>
        </is>
      </c>
      <c r="N114" t="b">
        <v>1</v>
      </c>
    </row>
    <row r="115">
      <c r="A115" t="inlineStr">
        <is>
          <t>A股</t>
        </is>
      </c>
      <c r="B115" t="inlineStr">
        <is>
          <t>920914</t>
        </is>
      </c>
      <c r="C115" t="inlineStr">
        <is>
          <t>远航精密</t>
        </is>
      </c>
      <c r="D115" t="inlineStr">
        <is>
          <t>上市与发行信息</t>
        </is>
      </c>
      <c r="E115" t="inlineStr">
        <is>
          <t>东方财富</t>
        </is>
      </c>
      <c r="F115" t="inlineStr">
        <is>
          <t>RPT_PCF10_ORG_ISSUEINFO</t>
        </is>
      </c>
      <c r="G115" s="32" t="n">
        <v>46263.26155102516</v>
      </c>
      <c r="H115" t="inlineStr">
        <is>
          <t>CNY</t>
        </is>
      </c>
      <c r="I115" t="inlineStr">
        <is>
          <t>CNY</t>
        </is>
      </c>
      <c r="J115" t="inlineStr">
        <is>
          <t>ok</t>
        </is>
      </c>
      <c r="L115" t="b">
        <v>0</v>
      </c>
      <c r="M115" t="inlineStr">
        <is>
          <t>东方财富</t>
        </is>
      </c>
      <c r="N115" t="b">
        <v>1</v>
      </c>
    </row>
    <row r="116">
      <c r="A116" t="inlineStr">
        <is>
          <t>A股</t>
        </is>
      </c>
      <c r="B116" t="inlineStr">
        <is>
          <t>920914</t>
        </is>
      </c>
      <c r="C116" t="inlineStr">
        <is>
          <t>远航精密</t>
        </is>
      </c>
      <c r="D116" t="inlineStr">
        <is>
          <t>资金流</t>
        </is>
      </c>
      <c r="E116" t="inlineStr">
        <is>
          <t>东方财富</t>
        </is>
      </c>
      <c r="F116" t="inlineStr">
        <is>
          <t>fast-mode-no-reliable-batch-endpoint</t>
        </is>
      </c>
      <c r="G116" s="32" t="n">
        <v>46263.26159564944</v>
      </c>
      <c r="I116" t="inlineStr">
        <is>
          <t>CNY</t>
        </is>
      </c>
      <c r="J116" t="inlineStr">
        <is>
          <t>optional_missing</t>
        </is>
      </c>
      <c r="K116" t="inlineStr">
        <is>
          <t>快速模式未发现可靠的批量近五个交易日同口径字段，为避免逐股慢请求，本次留空</t>
        </is>
      </c>
      <c r="L116" t="b">
        <v>0</v>
      </c>
      <c r="M116" t="inlineStr">
        <is>
          <t>东方财富</t>
        </is>
      </c>
      <c r="N116" t="b">
        <v>1</v>
      </c>
    </row>
    <row r="117">
      <c r="A117" t="inlineStr">
        <is>
          <t>A股</t>
        </is>
      </c>
      <c r="B117" t="inlineStr">
        <is>
          <t>920906</t>
        </is>
      </c>
      <c r="C117" t="inlineStr">
        <is>
          <t>舜宇精工</t>
        </is>
      </c>
      <c r="D117" t="inlineStr">
        <is>
          <t>最新行情</t>
        </is>
      </c>
      <c r="E117" t="inlineStr">
        <is>
          <t>东方财富</t>
        </is>
      </c>
      <c r="F117" t="inlineStr">
        <is>
          <t>push2 ulist.np/get f2,f20（按指定证券分批）</t>
        </is>
      </c>
      <c r="G117" s="32" t="n">
        <v>46263.26140913873</v>
      </c>
      <c r="H117" t="inlineStr">
        <is>
          <t>CNY</t>
        </is>
      </c>
      <c r="I117" t="inlineStr">
        <is>
          <t>CNY</t>
        </is>
      </c>
      <c r="J117" t="inlineStr">
        <is>
          <t>ok</t>
        </is>
      </c>
      <c r="L117" t="b">
        <v>0</v>
      </c>
      <c r="M117" t="inlineStr">
        <is>
          <t>东方财富</t>
        </is>
      </c>
      <c r="N117" t="b">
        <v>1</v>
      </c>
    </row>
    <row r="118">
      <c r="A118" t="inlineStr">
        <is>
          <t>A股</t>
        </is>
      </c>
      <c r="B118" t="inlineStr">
        <is>
          <t>920906</t>
        </is>
      </c>
      <c r="C118" t="inlineStr">
        <is>
          <t>舜宇精工</t>
        </is>
      </c>
      <c r="D118" t="inlineStr">
        <is>
          <t>大宗交易</t>
        </is>
      </c>
      <c r="E118" t="inlineStr">
        <is>
          <t>东方财富</t>
        </is>
      </c>
      <c r="F118" t="inlineStr">
        <is>
          <t>RPT_DATA_BLOCKTRADE 2026（全市场分页后本地聚合）</t>
        </is>
      </c>
      <c r="G118" s="32" t="n">
        <v>46263.26141482598</v>
      </c>
      <c r="H118" t="inlineStr">
        <is>
          <t>CNY</t>
        </is>
      </c>
      <c r="I118" t="inlineStr">
        <is>
          <t>CNY</t>
        </is>
      </c>
      <c r="J118" t="inlineStr">
        <is>
          <t>ok</t>
        </is>
      </c>
      <c r="L118" t="b">
        <v>0</v>
      </c>
      <c r="M118" t="inlineStr">
        <is>
          <t>东方财富</t>
        </is>
      </c>
      <c r="N118" t="b">
        <v>1</v>
      </c>
    </row>
    <row r="119">
      <c r="A119" t="inlineStr">
        <is>
          <t>A股</t>
        </is>
      </c>
      <c r="B119" t="inlineStr">
        <is>
          <t>920906</t>
        </is>
      </c>
      <c r="C119" t="inlineStr">
        <is>
          <t>舜宇精工</t>
        </is>
      </c>
      <c r="D119" t="inlineStr">
        <is>
          <t>年度财务</t>
        </is>
      </c>
      <c r="E119" t="inlineStr">
        <is>
          <t>东方财富</t>
        </is>
      </c>
      <c r="F119" t="inlineStr">
        <is>
          <t>RPT_LICO_FN_CPD + RPT_DMSK_FN_CASHFLOW；巨潮回退原因：未配置巨潮官方 API 凭证/端点（CNINFO_ACCESS_TOKEN、CNINFO_INCOME_API_URL、CNINFO_CASHFLOW_API_URL）</t>
        </is>
      </c>
      <c r="G119" s="32" t="n">
        <v>46263.26144661237</v>
      </c>
      <c r="H119" t="inlineStr">
        <is>
          <t>CNY</t>
        </is>
      </c>
      <c r="I119" t="inlineStr">
        <is>
          <t>CNY</t>
        </is>
      </c>
      <c r="J119" t="inlineStr">
        <is>
          <t>ok</t>
        </is>
      </c>
      <c r="L119" t="b">
        <v>1</v>
      </c>
      <c r="M119" t="inlineStr">
        <is>
          <t>巨潮资讯（CNINFO Data Service）</t>
        </is>
      </c>
      <c r="N119" t="b">
        <v>1</v>
      </c>
    </row>
    <row r="120">
      <c r="A120" t="inlineStr">
        <is>
          <t>A股</t>
        </is>
      </c>
      <c r="B120" t="inlineStr">
        <is>
          <t>920906</t>
        </is>
      </c>
      <c r="C120" t="inlineStr">
        <is>
          <t>舜宇精工</t>
        </is>
      </c>
      <c r="D120" t="inlineStr">
        <is>
          <t>上市与发行信息</t>
        </is>
      </c>
      <c r="E120" t="inlineStr">
        <is>
          <t>东方财富</t>
        </is>
      </c>
      <c r="F120" t="inlineStr">
        <is>
          <t>RPT_PCF10_ORG_ISSUEINFO</t>
        </is>
      </c>
      <c r="G120" s="32" t="n">
        <v>46263.26155141814</v>
      </c>
      <c r="H120" t="inlineStr">
        <is>
          <t>CNY</t>
        </is>
      </c>
      <c r="I120" t="inlineStr">
        <is>
          <t>CNY</t>
        </is>
      </c>
      <c r="J120" t="inlineStr">
        <is>
          <t>ok</t>
        </is>
      </c>
      <c r="L120" t="b">
        <v>0</v>
      </c>
      <c r="M120" t="inlineStr">
        <is>
          <t>东方财富</t>
        </is>
      </c>
      <c r="N120" t="b">
        <v>1</v>
      </c>
    </row>
    <row r="121">
      <c r="A121" t="inlineStr">
        <is>
          <t>A股</t>
        </is>
      </c>
      <c r="B121" t="inlineStr">
        <is>
          <t>920906</t>
        </is>
      </c>
      <c r="C121" t="inlineStr">
        <is>
          <t>舜宇精工</t>
        </is>
      </c>
      <c r="D121" t="inlineStr">
        <is>
          <t>资金流</t>
        </is>
      </c>
      <c r="E121" t="inlineStr">
        <is>
          <t>东方财富</t>
        </is>
      </c>
      <c r="F121" t="inlineStr">
        <is>
          <t>fast-mode-no-reliable-batch-endpoint</t>
        </is>
      </c>
      <c r="G121" s="32" t="n">
        <v>46263.26159564944</v>
      </c>
      <c r="I121" t="inlineStr">
        <is>
          <t>CNY</t>
        </is>
      </c>
      <c r="J121" t="inlineStr">
        <is>
          <t>optional_missing</t>
        </is>
      </c>
      <c r="K121" t="inlineStr">
        <is>
          <t>快速模式未发现可靠的批量近五个交易日同口径字段，为避免逐股慢请求，本次留空</t>
        </is>
      </c>
      <c r="L121" t="b">
        <v>0</v>
      </c>
      <c r="M121" t="inlineStr">
        <is>
          <t>东方财富</t>
        </is>
      </c>
      <c r="N121" t="b">
        <v>1</v>
      </c>
    </row>
    <row r="122">
      <c r="A122" t="inlineStr">
        <is>
          <t>A股</t>
        </is>
      </c>
      <c r="B122" t="inlineStr">
        <is>
          <t>920896</t>
        </is>
      </c>
      <c r="C122" t="inlineStr">
        <is>
          <t>旺成科技</t>
        </is>
      </c>
      <c r="D122" t="inlineStr">
        <is>
          <t>最新行情</t>
        </is>
      </c>
      <c r="E122" t="inlineStr">
        <is>
          <t>东方财富</t>
        </is>
      </c>
      <c r="F122" t="inlineStr">
        <is>
          <t>push2 ulist.np/get f2,f20（按指定证券分批）</t>
        </is>
      </c>
      <c r="G122" s="32" t="n">
        <v>46263.26140913873</v>
      </c>
      <c r="H122" t="inlineStr">
        <is>
          <t>CNY</t>
        </is>
      </c>
      <c r="I122" t="inlineStr">
        <is>
          <t>CNY</t>
        </is>
      </c>
      <c r="J122" t="inlineStr">
        <is>
          <t>ok</t>
        </is>
      </c>
      <c r="L122" t="b">
        <v>0</v>
      </c>
      <c r="M122" t="inlineStr">
        <is>
          <t>东方财富</t>
        </is>
      </c>
      <c r="N122" t="b">
        <v>1</v>
      </c>
    </row>
    <row r="123">
      <c r="A123" t="inlineStr">
        <is>
          <t>A股</t>
        </is>
      </c>
      <c r="B123" t="inlineStr">
        <is>
          <t>920896</t>
        </is>
      </c>
      <c r="C123" t="inlineStr">
        <is>
          <t>旺成科技</t>
        </is>
      </c>
      <c r="D123" t="inlineStr">
        <is>
          <t>大宗交易</t>
        </is>
      </c>
      <c r="E123" t="inlineStr">
        <is>
          <t>东方财富</t>
        </is>
      </c>
      <c r="F123" t="inlineStr">
        <is>
          <t>RPT_DATA_BLOCKTRADE 2026（全市场分页后本地聚合）</t>
        </is>
      </c>
      <c r="G123" s="32" t="n">
        <v>46263.26141482598</v>
      </c>
      <c r="H123" t="inlineStr">
        <is>
          <t>CNY</t>
        </is>
      </c>
      <c r="I123" t="inlineStr">
        <is>
          <t>CNY</t>
        </is>
      </c>
      <c r="J123" t="inlineStr">
        <is>
          <t>ok</t>
        </is>
      </c>
      <c r="L123" t="b">
        <v>0</v>
      </c>
      <c r="M123" t="inlineStr">
        <is>
          <t>东方财富</t>
        </is>
      </c>
      <c r="N123" t="b">
        <v>1</v>
      </c>
    </row>
    <row r="124">
      <c r="A124" t="inlineStr">
        <is>
          <t>A股</t>
        </is>
      </c>
      <c r="B124" t="inlineStr">
        <is>
          <t>920896</t>
        </is>
      </c>
      <c r="C124" t="inlineStr">
        <is>
          <t>旺成科技</t>
        </is>
      </c>
      <c r="D124" t="inlineStr">
        <is>
          <t>年度财务</t>
        </is>
      </c>
      <c r="E124" t="inlineStr">
        <is>
          <t>东方财富</t>
        </is>
      </c>
      <c r="F124" t="inlineStr">
        <is>
          <t>RPT_LICO_FN_CPD + RPT_DMSK_FN_CASHFLOW；巨潮回退原因：未配置巨潮官方 API 凭证/端点（CNINFO_ACCESS_TOKEN、CNINFO_INCOME_API_URL、CNINFO_CASHFLOW_API_URL）</t>
        </is>
      </c>
      <c r="G124" s="32" t="n">
        <v>46263.26145011258</v>
      </c>
      <c r="H124" t="inlineStr">
        <is>
          <t>CNY</t>
        </is>
      </c>
      <c r="I124" t="inlineStr">
        <is>
          <t>CNY</t>
        </is>
      </c>
      <c r="J124" t="inlineStr">
        <is>
          <t>ok</t>
        </is>
      </c>
      <c r="L124" t="b">
        <v>1</v>
      </c>
      <c r="M124" t="inlineStr">
        <is>
          <t>巨潮资讯（CNINFO Data Service）</t>
        </is>
      </c>
      <c r="N124" t="b">
        <v>1</v>
      </c>
    </row>
    <row r="125">
      <c r="A125" t="inlineStr">
        <is>
          <t>A股</t>
        </is>
      </c>
      <c r="B125" t="inlineStr">
        <is>
          <t>920896</t>
        </is>
      </c>
      <c r="C125" t="inlineStr">
        <is>
          <t>旺成科技</t>
        </is>
      </c>
      <c r="D125" t="inlineStr">
        <is>
          <t>上市与发行信息</t>
        </is>
      </c>
      <c r="E125" t="inlineStr">
        <is>
          <t>东方财富</t>
        </is>
      </c>
      <c r="F125" t="inlineStr">
        <is>
          <t>RPT_PCF10_ORG_ISSUEINFO</t>
        </is>
      </c>
      <c r="G125" s="32" t="n">
        <v>46263.26155216563</v>
      </c>
      <c r="H125" t="inlineStr">
        <is>
          <t>CNY</t>
        </is>
      </c>
      <c r="I125" t="inlineStr">
        <is>
          <t>CNY</t>
        </is>
      </c>
      <c r="J125" t="inlineStr">
        <is>
          <t>ok</t>
        </is>
      </c>
      <c r="L125" t="b">
        <v>0</v>
      </c>
      <c r="M125" t="inlineStr">
        <is>
          <t>东方财富</t>
        </is>
      </c>
      <c r="N125" t="b">
        <v>1</v>
      </c>
    </row>
    <row r="126">
      <c r="A126" t="inlineStr">
        <is>
          <t>A股</t>
        </is>
      </c>
      <c r="B126" t="inlineStr">
        <is>
          <t>920896</t>
        </is>
      </c>
      <c r="C126" t="inlineStr">
        <is>
          <t>旺成科技</t>
        </is>
      </c>
      <c r="D126" t="inlineStr">
        <is>
          <t>资金流</t>
        </is>
      </c>
      <c r="E126" t="inlineStr">
        <is>
          <t>东方财富</t>
        </is>
      </c>
      <c r="F126" t="inlineStr">
        <is>
          <t>fast-mode-no-reliable-batch-endpoint</t>
        </is>
      </c>
      <c r="G126" s="32" t="n">
        <v>46263.26159564944</v>
      </c>
      <c r="I126" t="inlineStr">
        <is>
          <t>CNY</t>
        </is>
      </c>
      <c r="J126" t="inlineStr">
        <is>
          <t>optional_missing</t>
        </is>
      </c>
      <c r="K126" t="inlineStr">
        <is>
          <t>快速模式未发现可靠的批量近五个交易日同口径字段，为避免逐股慢请求，本次留空</t>
        </is>
      </c>
      <c r="L126" t="b">
        <v>0</v>
      </c>
      <c r="M126" t="inlineStr">
        <is>
          <t>东方财富</t>
        </is>
      </c>
      <c r="N126" t="b">
        <v>1</v>
      </c>
    </row>
    <row r="127">
      <c r="A127" t="inlineStr">
        <is>
          <t>A股</t>
        </is>
      </c>
      <c r="B127" t="inlineStr">
        <is>
          <t>920895</t>
        </is>
      </c>
      <c r="C127" t="inlineStr">
        <is>
          <t>花溪科技</t>
        </is>
      </c>
      <c r="D127" t="inlineStr">
        <is>
          <t>最新行情</t>
        </is>
      </c>
      <c r="E127" t="inlineStr">
        <is>
          <t>东方财富</t>
        </is>
      </c>
      <c r="F127" t="inlineStr">
        <is>
          <t>push2 ulist.np/get f2,f20（按指定证券分批）</t>
        </is>
      </c>
      <c r="G127" s="32" t="n">
        <v>46263.26140913873</v>
      </c>
      <c r="H127" t="inlineStr">
        <is>
          <t>CNY</t>
        </is>
      </c>
      <c r="I127" t="inlineStr">
        <is>
          <t>CNY</t>
        </is>
      </c>
      <c r="J127" t="inlineStr">
        <is>
          <t>ok</t>
        </is>
      </c>
      <c r="L127" t="b">
        <v>0</v>
      </c>
      <c r="M127" t="inlineStr">
        <is>
          <t>东方财富</t>
        </is>
      </c>
      <c r="N127" t="b">
        <v>1</v>
      </c>
    </row>
    <row r="128">
      <c r="A128" t="inlineStr">
        <is>
          <t>A股</t>
        </is>
      </c>
      <c r="B128" t="inlineStr">
        <is>
          <t>920895</t>
        </is>
      </c>
      <c r="C128" t="inlineStr">
        <is>
          <t>花溪科技</t>
        </is>
      </c>
      <c r="D128" t="inlineStr">
        <is>
          <t>大宗交易</t>
        </is>
      </c>
      <c r="E128" t="inlineStr">
        <is>
          <t>东方财富</t>
        </is>
      </c>
      <c r="F128" t="inlineStr">
        <is>
          <t>RPT_DATA_BLOCKTRADE 2026（全市场分页后本地聚合）</t>
        </is>
      </c>
      <c r="G128" s="32" t="n">
        <v>46263.26141482598</v>
      </c>
      <c r="H128" t="inlineStr">
        <is>
          <t>CNY</t>
        </is>
      </c>
      <c r="I128" t="inlineStr">
        <is>
          <t>CNY</t>
        </is>
      </c>
      <c r="J128" t="inlineStr">
        <is>
          <t>ok</t>
        </is>
      </c>
      <c r="L128" t="b">
        <v>0</v>
      </c>
      <c r="M128" t="inlineStr">
        <is>
          <t>东方财富</t>
        </is>
      </c>
      <c r="N128" t="b">
        <v>1</v>
      </c>
    </row>
    <row r="129">
      <c r="A129" t="inlineStr">
        <is>
          <t>A股</t>
        </is>
      </c>
      <c r="B129" t="inlineStr">
        <is>
          <t>920895</t>
        </is>
      </c>
      <c r="C129" t="inlineStr">
        <is>
          <t>花溪科技</t>
        </is>
      </c>
      <c r="D129" t="inlineStr">
        <is>
          <t>年度财务</t>
        </is>
      </c>
      <c r="E129" t="inlineStr">
        <is>
          <t>东方财富</t>
        </is>
      </c>
      <c r="F129" t="inlineStr">
        <is>
          <t>RPT_LICO_FN_CPD + RPT_DMSK_FN_CASHFLOW；巨潮回退原因：未配置巨潮官方 API 凭证/端点（CNINFO_ACCESS_TOKEN、CNINFO_INCOME_API_URL、CNINFO_CASHFLOW_API_URL）</t>
        </is>
      </c>
      <c r="G129" s="32" t="n">
        <v>46263.26145234949</v>
      </c>
      <c r="H129" t="inlineStr">
        <is>
          <t>CNY</t>
        </is>
      </c>
      <c r="I129" t="inlineStr">
        <is>
          <t>CNY</t>
        </is>
      </c>
      <c r="J129" t="inlineStr">
        <is>
          <t>ok</t>
        </is>
      </c>
      <c r="L129" t="b">
        <v>1</v>
      </c>
      <c r="M129" t="inlineStr">
        <is>
          <t>巨潮资讯（CNINFO Data Service）</t>
        </is>
      </c>
      <c r="N129" t="b">
        <v>1</v>
      </c>
    </row>
    <row r="130">
      <c r="A130" t="inlineStr">
        <is>
          <t>A股</t>
        </is>
      </c>
      <c r="B130" t="inlineStr">
        <is>
          <t>920895</t>
        </is>
      </c>
      <c r="C130" t="inlineStr">
        <is>
          <t>花溪科技</t>
        </is>
      </c>
      <c r="D130" t="inlineStr">
        <is>
          <t>上市与发行信息</t>
        </is>
      </c>
      <c r="E130" t="inlineStr">
        <is>
          <t>东方财富</t>
        </is>
      </c>
      <c r="F130" t="inlineStr">
        <is>
          <t>RPT_PCF10_ORG_ISSUEINFO</t>
        </is>
      </c>
      <c r="G130" s="32" t="n">
        <v>46263.26155272057</v>
      </c>
      <c r="H130" t="inlineStr">
        <is>
          <t>CNY</t>
        </is>
      </c>
      <c r="I130" t="inlineStr">
        <is>
          <t>CNY</t>
        </is>
      </c>
      <c r="J130" t="inlineStr">
        <is>
          <t>ok</t>
        </is>
      </c>
      <c r="L130" t="b">
        <v>0</v>
      </c>
      <c r="M130" t="inlineStr">
        <is>
          <t>东方财富</t>
        </is>
      </c>
      <c r="N130" t="b">
        <v>1</v>
      </c>
    </row>
    <row r="131">
      <c r="A131" t="inlineStr">
        <is>
          <t>A股</t>
        </is>
      </c>
      <c r="B131" t="inlineStr">
        <is>
          <t>920895</t>
        </is>
      </c>
      <c r="C131" t="inlineStr">
        <is>
          <t>花溪科技</t>
        </is>
      </c>
      <c r="D131" t="inlineStr">
        <is>
          <t>资金流</t>
        </is>
      </c>
      <c r="E131" t="inlineStr">
        <is>
          <t>东方财富</t>
        </is>
      </c>
      <c r="F131" t="inlineStr">
        <is>
          <t>fast-mode-no-reliable-batch-endpoint</t>
        </is>
      </c>
      <c r="G131" s="32" t="n">
        <v>46263.26159564944</v>
      </c>
      <c r="I131" t="inlineStr">
        <is>
          <t>CNY</t>
        </is>
      </c>
      <c r="J131" t="inlineStr">
        <is>
          <t>optional_missing</t>
        </is>
      </c>
      <c r="K131" t="inlineStr">
        <is>
          <t>快速模式未发现可靠的批量近五个交易日同口径字段，为避免逐股慢请求，本次留空</t>
        </is>
      </c>
      <c r="L131" t="b">
        <v>0</v>
      </c>
      <c r="M131" t="inlineStr">
        <is>
          <t>东方财富</t>
        </is>
      </c>
      <c r="N131" t="b">
        <v>1</v>
      </c>
    </row>
    <row r="132">
      <c r="A132" t="inlineStr">
        <is>
          <t>A股</t>
        </is>
      </c>
      <c r="B132" t="inlineStr">
        <is>
          <t>920892</t>
        </is>
      </c>
      <c r="C132" t="inlineStr">
        <is>
          <t>广咨国际</t>
        </is>
      </c>
      <c r="D132" t="inlineStr">
        <is>
          <t>最新行情</t>
        </is>
      </c>
      <c r="E132" t="inlineStr">
        <is>
          <t>东方财富</t>
        </is>
      </c>
      <c r="F132" t="inlineStr">
        <is>
          <t>push2 ulist.np/get f2,f20（按指定证券分批）</t>
        </is>
      </c>
      <c r="G132" s="32" t="n">
        <v>46263.26140913873</v>
      </c>
      <c r="H132" t="inlineStr">
        <is>
          <t>CNY</t>
        </is>
      </c>
      <c r="I132" t="inlineStr">
        <is>
          <t>CNY</t>
        </is>
      </c>
      <c r="J132" t="inlineStr">
        <is>
          <t>ok</t>
        </is>
      </c>
      <c r="L132" t="b">
        <v>0</v>
      </c>
      <c r="M132" t="inlineStr">
        <is>
          <t>东方财富</t>
        </is>
      </c>
      <c r="N132" t="b">
        <v>1</v>
      </c>
    </row>
    <row r="133">
      <c r="A133" t="inlineStr">
        <is>
          <t>A股</t>
        </is>
      </c>
      <c r="B133" t="inlineStr">
        <is>
          <t>920892</t>
        </is>
      </c>
      <c r="C133" t="inlineStr">
        <is>
          <t>广咨国际</t>
        </is>
      </c>
      <c r="D133" t="inlineStr">
        <is>
          <t>大宗交易</t>
        </is>
      </c>
      <c r="E133" t="inlineStr">
        <is>
          <t>东方财富</t>
        </is>
      </c>
      <c r="F133" t="inlineStr">
        <is>
          <t>RPT_DATA_BLOCKTRADE 2026（全市场分页后本地聚合）</t>
        </is>
      </c>
      <c r="G133" s="32" t="n">
        <v>46263.26141482598</v>
      </c>
      <c r="H133" t="inlineStr">
        <is>
          <t>CNY</t>
        </is>
      </c>
      <c r="I133" t="inlineStr">
        <is>
          <t>CNY</t>
        </is>
      </c>
      <c r="J133" t="inlineStr">
        <is>
          <t>ok</t>
        </is>
      </c>
      <c r="L133" t="b">
        <v>0</v>
      </c>
      <c r="M133" t="inlineStr">
        <is>
          <t>东方财富</t>
        </is>
      </c>
      <c r="N133" t="b">
        <v>1</v>
      </c>
    </row>
    <row r="134">
      <c r="A134" t="inlineStr">
        <is>
          <t>A股</t>
        </is>
      </c>
      <c r="B134" t="inlineStr">
        <is>
          <t>920892</t>
        </is>
      </c>
      <c r="C134" t="inlineStr">
        <is>
          <t>广咨国际</t>
        </is>
      </c>
      <c r="D134" t="inlineStr">
        <is>
          <t>年度财务</t>
        </is>
      </c>
      <c r="E134" t="inlineStr">
        <is>
          <t>东方财富</t>
        </is>
      </c>
      <c r="F134" t="inlineStr">
        <is>
          <t>RPT_LICO_FN_CPD + RPT_DMSK_FN_CASHFLOW；巨潮回退原因：未配置巨潮官方 API 凭证/端点（CNINFO_ACCESS_TOKEN、CNINFO_INCOME_API_URL、CNINFO_CASHFLOW_API_URL）</t>
        </is>
      </c>
      <c r="G134" s="32" t="n">
        <v>46263.26145373591</v>
      </c>
      <c r="H134" t="inlineStr">
        <is>
          <t>CNY</t>
        </is>
      </c>
      <c r="I134" t="inlineStr">
        <is>
          <t>CNY</t>
        </is>
      </c>
      <c r="J134" t="inlineStr">
        <is>
          <t>ok</t>
        </is>
      </c>
      <c r="L134" t="b">
        <v>1</v>
      </c>
      <c r="M134" t="inlineStr">
        <is>
          <t>巨潮资讯（CNINFO Data Service）</t>
        </is>
      </c>
      <c r="N134" t="b">
        <v>1</v>
      </c>
    </row>
    <row r="135">
      <c r="A135" t="inlineStr">
        <is>
          <t>A股</t>
        </is>
      </c>
      <c r="B135" t="inlineStr">
        <is>
          <t>920892</t>
        </is>
      </c>
      <c r="C135" t="inlineStr">
        <is>
          <t>广咨国际</t>
        </is>
      </c>
      <c r="D135" t="inlineStr">
        <is>
          <t>上市与发行信息</t>
        </is>
      </c>
      <c r="E135" t="inlineStr">
        <is>
          <t>东方财富</t>
        </is>
      </c>
      <c r="F135" t="inlineStr">
        <is>
          <t>RPT_PCF10_ORG_ISSUEINFO</t>
        </is>
      </c>
      <c r="G135" s="32" t="n">
        <v>46263.26155524671</v>
      </c>
      <c r="H135" t="inlineStr">
        <is>
          <t>CNY</t>
        </is>
      </c>
      <c r="I135" t="inlineStr">
        <is>
          <t>CNY</t>
        </is>
      </c>
      <c r="J135" t="inlineStr">
        <is>
          <t>ok</t>
        </is>
      </c>
      <c r="L135" t="b">
        <v>0</v>
      </c>
      <c r="M135" t="inlineStr">
        <is>
          <t>东方财富</t>
        </is>
      </c>
      <c r="N135" t="b">
        <v>1</v>
      </c>
    </row>
    <row r="136">
      <c r="A136" t="inlineStr">
        <is>
          <t>A股</t>
        </is>
      </c>
      <c r="B136" t="inlineStr">
        <is>
          <t>920892</t>
        </is>
      </c>
      <c r="C136" t="inlineStr">
        <is>
          <t>广咨国际</t>
        </is>
      </c>
      <c r="D136" t="inlineStr">
        <is>
          <t>资金流</t>
        </is>
      </c>
      <c r="E136" t="inlineStr">
        <is>
          <t>东方财富</t>
        </is>
      </c>
      <c r="F136" t="inlineStr">
        <is>
          <t>fast-mode-no-reliable-batch-endpoint</t>
        </is>
      </c>
      <c r="G136" s="32" t="n">
        <v>46263.26159564944</v>
      </c>
      <c r="I136" t="inlineStr">
        <is>
          <t>CNY</t>
        </is>
      </c>
      <c r="J136" t="inlineStr">
        <is>
          <t>optional_missing</t>
        </is>
      </c>
      <c r="K136" t="inlineStr">
        <is>
          <t>快速模式未发现可靠的批量近五个交易日同口径字段，为避免逐股慢请求，本次留空</t>
        </is>
      </c>
      <c r="L136" t="b">
        <v>0</v>
      </c>
      <c r="M136" t="inlineStr">
        <is>
          <t>东方财富</t>
        </is>
      </c>
      <c r="N136" t="b">
        <v>1</v>
      </c>
    </row>
    <row r="137">
      <c r="A137" t="inlineStr">
        <is>
          <t>A股</t>
        </is>
      </c>
      <c r="B137" t="inlineStr">
        <is>
          <t>920885</t>
        </is>
      </c>
      <c r="C137" t="inlineStr">
        <is>
          <t>星辰科技</t>
        </is>
      </c>
      <c r="D137" t="inlineStr">
        <is>
          <t>最新行情</t>
        </is>
      </c>
      <c r="E137" t="inlineStr">
        <is>
          <t>东方财富</t>
        </is>
      </c>
      <c r="F137" t="inlineStr">
        <is>
          <t>push2 ulist.np/get f2,f20（按指定证券分批）</t>
        </is>
      </c>
      <c r="G137" s="32" t="n">
        <v>46263.26140913873</v>
      </c>
      <c r="H137" t="inlineStr">
        <is>
          <t>CNY</t>
        </is>
      </c>
      <c r="I137" t="inlineStr">
        <is>
          <t>CNY</t>
        </is>
      </c>
      <c r="J137" t="inlineStr">
        <is>
          <t>ok</t>
        </is>
      </c>
      <c r="L137" t="b">
        <v>0</v>
      </c>
      <c r="M137" t="inlineStr">
        <is>
          <t>东方财富</t>
        </is>
      </c>
      <c r="N137" t="b">
        <v>1</v>
      </c>
    </row>
    <row r="138">
      <c r="A138" t="inlineStr">
        <is>
          <t>A股</t>
        </is>
      </c>
      <c r="B138" t="inlineStr">
        <is>
          <t>920885</t>
        </is>
      </c>
      <c r="C138" t="inlineStr">
        <is>
          <t>星辰科技</t>
        </is>
      </c>
      <c r="D138" t="inlineStr">
        <is>
          <t>大宗交易</t>
        </is>
      </c>
      <c r="E138" t="inlineStr">
        <is>
          <t>东方财富</t>
        </is>
      </c>
      <c r="F138" t="inlineStr">
        <is>
          <t>RPT_DATA_BLOCKTRADE 2026（全市场分页后本地聚合）</t>
        </is>
      </c>
      <c r="G138" s="32" t="n">
        <v>46263.26141482598</v>
      </c>
      <c r="H138" t="inlineStr">
        <is>
          <t>CNY</t>
        </is>
      </c>
      <c r="I138" t="inlineStr">
        <is>
          <t>CNY</t>
        </is>
      </c>
      <c r="J138" t="inlineStr">
        <is>
          <t>ok</t>
        </is>
      </c>
      <c r="L138" t="b">
        <v>0</v>
      </c>
      <c r="M138" t="inlineStr">
        <is>
          <t>东方财富</t>
        </is>
      </c>
      <c r="N138" t="b">
        <v>1</v>
      </c>
    </row>
    <row r="139">
      <c r="A139" t="inlineStr">
        <is>
          <t>A股</t>
        </is>
      </c>
      <c r="B139" t="inlineStr">
        <is>
          <t>920885</t>
        </is>
      </c>
      <c r="C139" t="inlineStr">
        <is>
          <t>星辰科技</t>
        </is>
      </c>
      <c r="D139" t="inlineStr">
        <is>
          <t>年度财务</t>
        </is>
      </c>
      <c r="E139" t="inlineStr">
        <is>
          <t>东方财富</t>
        </is>
      </c>
      <c r="F139" t="inlineStr">
        <is>
          <t>RPT_LICO_FN_CPD + RPT_DMSK_FN_CASHFLOW；巨潮回退原因：未配置巨潮官方 API 凭证/端点（CNINFO_ACCESS_TOKEN、CNINFO_INCOME_API_URL、CNINFO_CASHFLOW_API_URL）</t>
        </is>
      </c>
      <c r="G139" s="32" t="n">
        <v>46263.26145467625</v>
      </c>
      <c r="H139" t="inlineStr">
        <is>
          <t>CNY</t>
        </is>
      </c>
      <c r="I139" t="inlineStr">
        <is>
          <t>CNY</t>
        </is>
      </c>
      <c r="J139" t="inlineStr">
        <is>
          <t>ok</t>
        </is>
      </c>
      <c r="L139" t="b">
        <v>1</v>
      </c>
      <c r="M139" t="inlineStr">
        <is>
          <t>巨潮资讯（CNINFO Data Service）</t>
        </is>
      </c>
      <c r="N139" t="b">
        <v>1</v>
      </c>
    </row>
    <row r="140">
      <c r="A140" t="inlineStr">
        <is>
          <t>A股</t>
        </is>
      </c>
      <c r="B140" t="inlineStr">
        <is>
          <t>920885</t>
        </is>
      </c>
      <c r="C140" t="inlineStr">
        <is>
          <t>星辰科技</t>
        </is>
      </c>
      <c r="D140" t="inlineStr">
        <is>
          <t>上市与发行信息</t>
        </is>
      </c>
      <c r="E140" t="inlineStr">
        <is>
          <t>东方财富</t>
        </is>
      </c>
      <c r="F140" t="inlineStr">
        <is>
          <t>RPT_PCF10_ORG_ISSUEINFO</t>
        </is>
      </c>
      <c r="G140" s="32" t="n">
        <v>46263.26155406647</v>
      </c>
      <c r="H140" t="inlineStr">
        <is>
          <t>CNY</t>
        </is>
      </c>
      <c r="I140" t="inlineStr">
        <is>
          <t>CNY</t>
        </is>
      </c>
      <c r="J140" t="inlineStr">
        <is>
          <t>ok</t>
        </is>
      </c>
      <c r="L140" t="b">
        <v>0</v>
      </c>
      <c r="M140" t="inlineStr">
        <is>
          <t>东方财富</t>
        </is>
      </c>
      <c r="N140" t="b">
        <v>1</v>
      </c>
    </row>
    <row r="141">
      <c r="A141" t="inlineStr">
        <is>
          <t>A股</t>
        </is>
      </c>
      <c r="B141" t="inlineStr">
        <is>
          <t>920885</t>
        </is>
      </c>
      <c r="C141" t="inlineStr">
        <is>
          <t>星辰科技</t>
        </is>
      </c>
      <c r="D141" t="inlineStr">
        <is>
          <t>资金流</t>
        </is>
      </c>
      <c r="E141" t="inlineStr">
        <is>
          <t>东方财富</t>
        </is>
      </c>
      <c r="F141" t="inlineStr">
        <is>
          <t>fast-mode-no-reliable-batch-endpoint</t>
        </is>
      </c>
      <c r="G141" s="32" t="n">
        <v>46263.26159564944</v>
      </c>
      <c r="I141" t="inlineStr">
        <is>
          <t>CNY</t>
        </is>
      </c>
      <c r="J141" t="inlineStr">
        <is>
          <t>optional_missing</t>
        </is>
      </c>
      <c r="K141" t="inlineStr">
        <is>
          <t>快速模式未发现可靠的批量近五个交易日同口径字段，为避免逐股慢请求，本次留空</t>
        </is>
      </c>
      <c r="L141" t="b">
        <v>0</v>
      </c>
      <c r="M141" t="inlineStr">
        <is>
          <t>东方财富</t>
        </is>
      </c>
      <c r="N141" t="b">
        <v>1</v>
      </c>
    </row>
    <row r="142">
      <c r="A142" t="inlineStr">
        <is>
          <t>A股</t>
        </is>
      </c>
      <c r="B142" t="inlineStr">
        <is>
          <t>920879</t>
        </is>
      </c>
      <c r="C142" t="inlineStr">
        <is>
          <t>基康技术</t>
        </is>
      </c>
      <c r="D142" t="inlineStr">
        <is>
          <t>最新行情</t>
        </is>
      </c>
      <c r="E142" t="inlineStr">
        <is>
          <t>东方财富</t>
        </is>
      </c>
      <c r="F142" t="inlineStr">
        <is>
          <t>push2 ulist.np/get f2,f20（按指定证券分批）</t>
        </is>
      </c>
      <c r="G142" s="32" t="n">
        <v>46263.26140913873</v>
      </c>
      <c r="H142" t="inlineStr">
        <is>
          <t>CNY</t>
        </is>
      </c>
      <c r="I142" t="inlineStr">
        <is>
          <t>CNY</t>
        </is>
      </c>
      <c r="J142" t="inlineStr">
        <is>
          <t>ok</t>
        </is>
      </c>
      <c r="L142" t="b">
        <v>0</v>
      </c>
      <c r="M142" t="inlineStr">
        <is>
          <t>东方财富</t>
        </is>
      </c>
      <c r="N142" t="b">
        <v>1</v>
      </c>
    </row>
    <row r="143">
      <c r="A143" t="inlineStr">
        <is>
          <t>A股</t>
        </is>
      </c>
      <c r="B143" t="inlineStr">
        <is>
          <t>920879</t>
        </is>
      </c>
      <c r="C143" t="inlineStr">
        <is>
          <t>基康技术</t>
        </is>
      </c>
      <c r="D143" t="inlineStr">
        <is>
          <t>大宗交易</t>
        </is>
      </c>
      <c r="E143" t="inlineStr">
        <is>
          <t>东方财富</t>
        </is>
      </c>
      <c r="F143" t="inlineStr">
        <is>
          <t>RPT_DATA_BLOCKTRADE 2026（全市场分页后本地聚合）</t>
        </is>
      </c>
      <c r="G143" s="32" t="n">
        <v>46263.26141482598</v>
      </c>
      <c r="H143" t="inlineStr">
        <is>
          <t>CNY</t>
        </is>
      </c>
      <c r="I143" t="inlineStr">
        <is>
          <t>CNY</t>
        </is>
      </c>
      <c r="J143" t="inlineStr">
        <is>
          <t>ok</t>
        </is>
      </c>
      <c r="L143" t="b">
        <v>0</v>
      </c>
      <c r="M143" t="inlineStr">
        <is>
          <t>东方财富</t>
        </is>
      </c>
      <c r="N143" t="b">
        <v>1</v>
      </c>
    </row>
    <row r="144">
      <c r="A144" t="inlineStr">
        <is>
          <t>A股</t>
        </is>
      </c>
      <c r="B144" t="inlineStr">
        <is>
          <t>920879</t>
        </is>
      </c>
      <c r="C144" t="inlineStr">
        <is>
          <t>基康技术</t>
        </is>
      </c>
      <c r="D144" t="inlineStr">
        <is>
          <t>年度财务</t>
        </is>
      </c>
      <c r="E144" t="inlineStr">
        <is>
          <t>东方财富</t>
        </is>
      </c>
      <c r="F144" t="inlineStr">
        <is>
          <t>RPT_LICO_FN_CPD + RPT_DMSK_FN_CASHFLOW；巨潮回退原因：未配置巨潮官方 API 凭证/端点（CNINFO_ACCESS_TOKEN、CNINFO_INCOME_API_URL、CNINFO_CASHFLOW_API_URL）</t>
        </is>
      </c>
      <c r="G144" s="32" t="n">
        <v>46263.26145365628</v>
      </c>
      <c r="H144" t="inlineStr">
        <is>
          <t>CNY</t>
        </is>
      </c>
      <c r="I144" t="inlineStr">
        <is>
          <t>CNY</t>
        </is>
      </c>
      <c r="J144" t="inlineStr">
        <is>
          <t>ok</t>
        </is>
      </c>
      <c r="L144" t="b">
        <v>1</v>
      </c>
      <c r="M144" t="inlineStr">
        <is>
          <t>巨潮资讯（CNINFO Data Service）</t>
        </is>
      </c>
      <c r="N144" t="b">
        <v>1</v>
      </c>
    </row>
    <row r="145">
      <c r="A145" t="inlineStr">
        <is>
          <t>A股</t>
        </is>
      </c>
      <c r="B145" t="inlineStr">
        <is>
          <t>920879</t>
        </is>
      </c>
      <c r="C145" t="inlineStr">
        <is>
          <t>基康技术</t>
        </is>
      </c>
      <c r="D145" t="inlineStr">
        <is>
          <t>上市与发行信息</t>
        </is>
      </c>
      <c r="E145" t="inlineStr">
        <is>
          <t>东方财富</t>
        </is>
      </c>
      <c r="F145" t="inlineStr">
        <is>
          <t>RPT_PCF10_ORG_ISSUEINFO</t>
        </is>
      </c>
      <c r="G145" s="32" t="n">
        <v>46263.26155457777</v>
      </c>
      <c r="H145" t="inlineStr">
        <is>
          <t>CNY</t>
        </is>
      </c>
      <c r="I145" t="inlineStr">
        <is>
          <t>CNY</t>
        </is>
      </c>
      <c r="J145" t="inlineStr">
        <is>
          <t>ok</t>
        </is>
      </c>
      <c r="L145" t="b">
        <v>0</v>
      </c>
      <c r="M145" t="inlineStr">
        <is>
          <t>东方财富</t>
        </is>
      </c>
      <c r="N145" t="b">
        <v>1</v>
      </c>
    </row>
    <row r="146">
      <c r="A146" t="inlineStr">
        <is>
          <t>A股</t>
        </is>
      </c>
      <c r="B146" t="inlineStr">
        <is>
          <t>920879</t>
        </is>
      </c>
      <c r="C146" t="inlineStr">
        <is>
          <t>基康技术</t>
        </is>
      </c>
      <c r="D146" t="inlineStr">
        <is>
          <t>资金流</t>
        </is>
      </c>
      <c r="E146" t="inlineStr">
        <is>
          <t>东方财富</t>
        </is>
      </c>
      <c r="F146" t="inlineStr">
        <is>
          <t>fast-mode-no-reliable-batch-endpoint</t>
        </is>
      </c>
      <c r="G146" s="32" t="n">
        <v>46263.26159564944</v>
      </c>
      <c r="I146" t="inlineStr">
        <is>
          <t>CNY</t>
        </is>
      </c>
      <c r="J146" t="inlineStr">
        <is>
          <t>optional_missing</t>
        </is>
      </c>
      <c r="K146" t="inlineStr">
        <is>
          <t>快速模式未发现可靠的批量近五个交易日同口径字段，为避免逐股慢请求，本次留空</t>
        </is>
      </c>
      <c r="L146" t="b">
        <v>0</v>
      </c>
      <c r="M146" t="inlineStr">
        <is>
          <t>东方财富</t>
        </is>
      </c>
      <c r="N146" t="b">
        <v>1</v>
      </c>
    </row>
    <row r="147">
      <c r="A147" t="inlineStr">
        <is>
          <t>A股</t>
        </is>
      </c>
      <c r="B147" t="inlineStr">
        <is>
          <t>920876</t>
        </is>
      </c>
      <c r="C147" t="inlineStr">
        <is>
          <t>慧为智能</t>
        </is>
      </c>
      <c r="D147" t="inlineStr">
        <is>
          <t>最新行情</t>
        </is>
      </c>
      <c r="E147" t="inlineStr">
        <is>
          <t>东方财富</t>
        </is>
      </c>
      <c r="F147" t="inlineStr">
        <is>
          <t>push2 ulist.np/get f2,f20（按指定证券分批）</t>
        </is>
      </c>
      <c r="G147" s="32" t="n">
        <v>46263.26140913873</v>
      </c>
      <c r="H147" t="inlineStr">
        <is>
          <t>CNY</t>
        </is>
      </c>
      <c r="I147" t="inlineStr">
        <is>
          <t>CNY</t>
        </is>
      </c>
      <c r="J147" t="inlineStr">
        <is>
          <t>ok</t>
        </is>
      </c>
      <c r="L147" t="b">
        <v>0</v>
      </c>
      <c r="M147" t="inlineStr">
        <is>
          <t>东方财富</t>
        </is>
      </c>
      <c r="N147" t="b">
        <v>1</v>
      </c>
    </row>
    <row r="148">
      <c r="A148" t="inlineStr">
        <is>
          <t>A股</t>
        </is>
      </c>
      <c r="B148" t="inlineStr">
        <is>
          <t>920876</t>
        </is>
      </c>
      <c r="C148" t="inlineStr">
        <is>
          <t>慧为智能</t>
        </is>
      </c>
      <c r="D148" t="inlineStr">
        <is>
          <t>大宗交易</t>
        </is>
      </c>
      <c r="E148" t="inlineStr">
        <is>
          <t>东方财富</t>
        </is>
      </c>
      <c r="F148" t="inlineStr">
        <is>
          <t>RPT_DATA_BLOCKTRADE 2026（全市场分页后本地聚合）</t>
        </is>
      </c>
      <c r="G148" s="32" t="n">
        <v>46263.26141482598</v>
      </c>
      <c r="H148" t="inlineStr">
        <is>
          <t>CNY</t>
        </is>
      </c>
      <c r="I148" t="inlineStr">
        <is>
          <t>CNY</t>
        </is>
      </c>
      <c r="J148" t="inlineStr">
        <is>
          <t>ok</t>
        </is>
      </c>
      <c r="L148" t="b">
        <v>0</v>
      </c>
      <c r="M148" t="inlineStr">
        <is>
          <t>东方财富</t>
        </is>
      </c>
      <c r="N148" t="b">
        <v>1</v>
      </c>
    </row>
    <row r="149">
      <c r="A149" t="inlineStr">
        <is>
          <t>A股</t>
        </is>
      </c>
      <c r="B149" t="inlineStr">
        <is>
          <t>920876</t>
        </is>
      </c>
      <c r="C149" t="inlineStr">
        <is>
          <t>慧为智能</t>
        </is>
      </c>
      <c r="D149" t="inlineStr">
        <is>
          <t>年度财务</t>
        </is>
      </c>
      <c r="E149" t="inlineStr">
        <is>
          <t>东方财富</t>
        </is>
      </c>
      <c r="F149" t="inlineStr">
        <is>
          <t>RPT_LICO_FN_CPD + RPT_DMSK_FN_CASHFLOW；巨潮回退原因：未配置巨潮官方 API 凭证/端点（CNINFO_ACCESS_TOKEN、CNINFO_INCOME_API_URL、CNINFO_CASHFLOW_API_URL）</t>
        </is>
      </c>
      <c r="G149" s="32" t="n">
        <v>46263.26145521636</v>
      </c>
      <c r="H149" t="inlineStr">
        <is>
          <t>CNY</t>
        </is>
      </c>
      <c r="I149" t="inlineStr">
        <is>
          <t>CNY</t>
        </is>
      </c>
      <c r="J149" t="inlineStr">
        <is>
          <t>ok</t>
        </is>
      </c>
      <c r="L149" t="b">
        <v>1</v>
      </c>
      <c r="M149" t="inlineStr">
        <is>
          <t>巨潮资讯（CNINFO Data Service）</t>
        </is>
      </c>
      <c r="N149" t="b">
        <v>1</v>
      </c>
    </row>
    <row r="150">
      <c r="A150" t="inlineStr">
        <is>
          <t>A股</t>
        </is>
      </c>
      <c r="B150" t="inlineStr">
        <is>
          <t>920876</t>
        </is>
      </c>
      <c r="C150" t="inlineStr">
        <is>
          <t>慧为智能</t>
        </is>
      </c>
      <c r="D150" t="inlineStr">
        <is>
          <t>上市与发行信息</t>
        </is>
      </c>
      <c r="E150" t="inlineStr">
        <is>
          <t>东方财富</t>
        </is>
      </c>
      <c r="F150" t="inlineStr">
        <is>
          <t>RPT_PCF10_ORG_ISSUEINFO</t>
        </is>
      </c>
      <c r="G150" s="32" t="n">
        <v>46263.26155516463</v>
      </c>
      <c r="H150" t="inlineStr">
        <is>
          <t>CNY</t>
        </is>
      </c>
      <c r="I150" t="inlineStr">
        <is>
          <t>CNY</t>
        </is>
      </c>
      <c r="J150" t="inlineStr">
        <is>
          <t>ok</t>
        </is>
      </c>
      <c r="L150" t="b">
        <v>0</v>
      </c>
      <c r="M150" t="inlineStr">
        <is>
          <t>东方财富</t>
        </is>
      </c>
      <c r="N150" t="b">
        <v>1</v>
      </c>
    </row>
    <row r="151">
      <c r="A151" t="inlineStr">
        <is>
          <t>A股</t>
        </is>
      </c>
      <c r="B151" t="inlineStr">
        <is>
          <t>920876</t>
        </is>
      </c>
      <c r="C151" t="inlineStr">
        <is>
          <t>慧为智能</t>
        </is>
      </c>
      <c r="D151" t="inlineStr">
        <is>
          <t>资金流</t>
        </is>
      </c>
      <c r="E151" t="inlineStr">
        <is>
          <t>东方财富</t>
        </is>
      </c>
      <c r="F151" t="inlineStr">
        <is>
          <t>fast-mode-no-reliable-batch-endpoint</t>
        </is>
      </c>
      <c r="G151" s="32" t="n">
        <v>46263.26159564944</v>
      </c>
      <c r="I151" t="inlineStr">
        <is>
          <t>CNY</t>
        </is>
      </c>
      <c r="J151" t="inlineStr">
        <is>
          <t>optional_missing</t>
        </is>
      </c>
      <c r="K151" t="inlineStr">
        <is>
          <t>快速模式未发现可靠的批量近五个交易日同口径字段，为避免逐股慢请求，本次留空</t>
        </is>
      </c>
      <c r="L151" t="b">
        <v>0</v>
      </c>
      <c r="M151" t="inlineStr">
        <is>
          <t>东方财富</t>
        </is>
      </c>
      <c r="N151" t="b">
        <v>1</v>
      </c>
    </row>
    <row r="152">
      <c r="A152" t="inlineStr">
        <is>
          <t>A股</t>
        </is>
      </c>
      <c r="B152" t="inlineStr">
        <is>
          <t>920873</t>
        </is>
      </c>
      <c r="C152" t="inlineStr">
        <is>
          <t>中设咨询</t>
        </is>
      </c>
      <c r="D152" t="inlineStr">
        <is>
          <t>最新行情</t>
        </is>
      </c>
      <c r="E152" t="inlineStr">
        <is>
          <t>东方财富</t>
        </is>
      </c>
      <c r="F152" t="inlineStr">
        <is>
          <t>push2 ulist.np/get f2,f20（按指定证券分批）</t>
        </is>
      </c>
      <c r="G152" s="32" t="n">
        <v>46263.26140913873</v>
      </c>
      <c r="H152" t="inlineStr">
        <is>
          <t>CNY</t>
        </is>
      </c>
      <c r="I152" t="inlineStr">
        <is>
          <t>CNY</t>
        </is>
      </c>
      <c r="J152" t="inlineStr">
        <is>
          <t>ok</t>
        </is>
      </c>
      <c r="L152" t="b">
        <v>0</v>
      </c>
      <c r="M152" t="inlineStr">
        <is>
          <t>东方财富</t>
        </is>
      </c>
      <c r="N152" t="b">
        <v>1</v>
      </c>
    </row>
    <row r="153">
      <c r="A153" t="inlineStr">
        <is>
          <t>A股</t>
        </is>
      </c>
      <c r="B153" t="inlineStr">
        <is>
          <t>920873</t>
        </is>
      </c>
      <c r="C153" t="inlineStr">
        <is>
          <t>中设咨询</t>
        </is>
      </c>
      <c r="D153" t="inlineStr">
        <is>
          <t>大宗交易</t>
        </is>
      </c>
      <c r="E153" t="inlineStr">
        <is>
          <t>东方财富</t>
        </is>
      </c>
      <c r="F153" t="inlineStr">
        <is>
          <t>RPT_DATA_BLOCKTRADE 2026（全市场分页后本地聚合）</t>
        </is>
      </c>
      <c r="G153" s="32" t="n">
        <v>46263.26141482598</v>
      </c>
      <c r="H153" t="inlineStr">
        <is>
          <t>CNY</t>
        </is>
      </c>
      <c r="I153" t="inlineStr">
        <is>
          <t>CNY</t>
        </is>
      </c>
      <c r="J153" t="inlineStr">
        <is>
          <t>ok</t>
        </is>
      </c>
      <c r="L153" t="b">
        <v>0</v>
      </c>
      <c r="M153" t="inlineStr">
        <is>
          <t>东方财富</t>
        </is>
      </c>
      <c r="N153" t="b">
        <v>1</v>
      </c>
    </row>
    <row r="154">
      <c r="A154" t="inlineStr">
        <is>
          <t>A股</t>
        </is>
      </c>
      <c r="B154" t="inlineStr">
        <is>
          <t>920873</t>
        </is>
      </c>
      <c r="C154" t="inlineStr">
        <is>
          <t>中设咨询</t>
        </is>
      </c>
      <c r="D154" t="inlineStr">
        <is>
          <t>年度财务</t>
        </is>
      </c>
      <c r="E154" t="inlineStr">
        <is>
          <t>东方财富</t>
        </is>
      </c>
      <c r="F154" t="inlineStr">
        <is>
          <t>RPT_LICO_FN_CPD + RPT_DMSK_FN_CASHFLOW；巨潮回退原因：未配置巨潮官方 API 凭证/端点（CNINFO_ACCESS_TOKEN、CNINFO_INCOME_API_URL、CNINFO_CASHFLOW_API_URL）</t>
        </is>
      </c>
      <c r="G154" s="32" t="n">
        <v>46263.26145474055</v>
      </c>
      <c r="H154" t="inlineStr">
        <is>
          <t>CNY</t>
        </is>
      </c>
      <c r="I154" t="inlineStr">
        <is>
          <t>CNY</t>
        </is>
      </c>
      <c r="J154" t="inlineStr">
        <is>
          <t>ok</t>
        </is>
      </c>
      <c r="L154" t="b">
        <v>1</v>
      </c>
      <c r="M154" t="inlineStr">
        <is>
          <t>巨潮资讯（CNINFO Data Service）</t>
        </is>
      </c>
      <c r="N154" t="b">
        <v>1</v>
      </c>
    </row>
    <row r="155">
      <c r="A155" t="inlineStr">
        <is>
          <t>A股</t>
        </is>
      </c>
      <c r="B155" t="inlineStr">
        <is>
          <t>920873</t>
        </is>
      </c>
      <c r="C155" t="inlineStr">
        <is>
          <t>中设咨询</t>
        </is>
      </c>
      <c r="D155" t="inlineStr">
        <is>
          <t>上市与发行信息</t>
        </is>
      </c>
      <c r="E155" t="inlineStr">
        <is>
          <t>东方财富</t>
        </is>
      </c>
      <c r="F155" t="inlineStr">
        <is>
          <t>RPT_PCF10_ORG_ISSUEINFO</t>
        </is>
      </c>
      <c r="G155" s="32" t="n">
        <v>46263.26155569146</v>
      </c>
      <c r="H155" t="inlineStr">
        <is>
          <t>CNY</t>
        </is>
      </c>
      <c r="I155" t="inlineStr">
        <is>
          <t>CNY</t>
        </is>
      </c>
      <c r="J155" t="inlineStr">
        <is>
          <t>ok</t>
        </is>
      </c>
      <c r="L155" t="b">
        <v>0</v>
      </c>
      <c r="M155" t="inlineStr">
        <is>
          <t>东方财富</t>
        </is>
      </c>
      <c r="N155" t="b">
        <v>1</v>
      </c>
    </row>
    <row r="156">
      <c r="A156" t="inlineStr">
        <is>
          <t>A股</t>
        </is>
      </c>
      <c r="B156" t="inlineStr">
        <is>
          <t>920873</t>
        </is>
      </c>
      <c r="C156" t="inlineStr">
        <is>
          <t>中设咨询</t>
        </is>
      </c>
      <c r="D156" t="inlineStr">
        <is>
          <t>资金流</t>
        </is>
      </c>
      <c r="E156" t="inlineStr">
        <is>
          <t>东方财富</t>
        </is>
      </c>
      <c r="F156" t="inlineStr">
        <is>
          <t>fast-mode-no-reliable-batch-endpoint</t>
        </is>
      </c>
      <c r="G156" s="32" t="n">
        <v>46263.26159564944</v>
      </c>
      <c r="I156" t="inlineStr">
        <is>
          <t>CNY</t>
        </is>
      </c>
      <c r="J156" t="inlineStr">
        <is>
          <t>optional_missing</t>
        </is>
      </c>
      <c r="K156" t="inlineStr">
        <is>
          <t>快速模式未发现可靠的批量近五个交易日同口径字段，为避免逐股慢请求，本次留空</t>
        </is>
      </c>
      <c r="L156" t="b">
        <v>0</v>
      </c>
      <c r="M156" t="inlineStr">
        <is>
          <t>东方财富</t>
        </is>
      </c>
      <c r="N156" t="b">
        <v>1</v>
      </c>
    </row>
    <row r="157">
      <c r="A157" t="inlineStr">
        <is>
          <t>A股</t>
        </is>
      </c>
      <c r="B157" t="inlineStr">
        <is>
          <t>920871</t>
        </is>
      </c>
      <c r="C157" t="inlineStr">
        <is>
          <t>派特尔</t>
        </is>
      </c>
      <c r="D157" t="inlineStr">
        <is>
          <t>最新行情</t>
        </is>
      </c>
      <c r="E157" t="inlineStr">
        <is>
          <t>东方财富</t>
        </is>
      </c>
      <c r="F157" t="inlineStr">
        <is>
          <t>push2 ulist.np/get f2,f20（按指定证券分批）</t>
        </is>
      </c>
      <c r="G157" s="32" t="n">
        <v>46263.26140913873</v>
      </c>
      <c r="H157" t="inlineStr">
        <is>
          <t>CNY</t>
        </is>
      </c>
      <c r="I157" t="inlineStr">
        <is>
          <t>CNY</t>
        </is>
      </c>
      <c r="J157" t="inlineStr">
        <is>
          <t>ok</t>
        </is>
      </c>
      <c r="L157" t="b">
        <v>0</v>
      </c>
      <c r="M157" t="inlineStr">
        <is>
          <t>东方财富</t>
        </is>
      </c>
      <c r="N157" t="b">
        <v>1</v>
      </c>
    </row>
    <row r="158">
      <c r="A158" t="inlineStr">
        <is>
          <t>A股</t>
        </is>
      </c>
      <c r="B158" t="inlineStr">
        <is>
          <t>920871</t>
        </is>
      </c>
      <c r="C158" t="inlineStr">
        <is>
          <t>派特尔</t>
        </is>
      </c>
      <c r="D158" t="inlineStr">
        <is>
          <t>大宗交易</t>
        </is>
      </c>
      <c r="E158" t="inlineStr">
        <is>
          <t>东方财富</t>
        </is>
      </c>
      <c r="F158" t="inlineStr">
        <is>
          <t>RPT_DATA_BLOCKTRADE 2026（全市场分页后本地聚合）</t>
        </is>
      </c>
      <c r="G158" s="32" t="n">
        <v>46263.26141482598</v>
      </c>
      <c r="H158" t="inlineStr">
        <is>
          <t>CNY</t>
        </is>
      </c>
      <c r="I158" t="inlineStr">
        <is>
          <t>CNY</t>
        </is>
      </c>
      <c r="J158" t="inlineStr">
        <is>
          <t>ok</t>
        </is>
      </c>
      <c r="L158" t="b">
        <v>0</v>
      </c>
      <c r="M158" t="inlineStr">
        <is>
          <t>东方财富</t>
        </is>
      </c>
      <c r="N158" t="b">
        <v>1</v>
      </c>
    </row>
    <row r="159">
      <c r="A159" t="inlineStr">
        <is>
          <t>A股</t>
        </is>
      </c>
      <c r="B159" t="inlineStr">
        <is>
          <t>920871</t>
        </is>
      </c>
      <c r="C159" t="inlineStr">
        <is>
          <t>派特尔</t>
        </is>
      </c>
      <c r="D159" t="inlineStr">
        <is>
          <t>年度财务</t>
        </is>
      </c>
      <c r="E159" t="inlineStr">
        <is>
          <t>东方财富</t>
        </is>
      </c>
      <c r="F159" t="inlineStr">
        <is>
          <t>RPT_LICO_FN_CPD + RPT_DMSK_FN_CASHFLOW；巨潮回退原因：未配置巨潮官方 API 凭证/端点（CNINFO_ACCESS_TOKEN、CNINFO_INCOME_API_URL、CNINFO_CASHFLOW_API_URL）</t>
        </is>
      </c>
      <c r="G159" s="32" t="n">
        <v>46263.26145625304</v>
      </c>
      <c r="H159" t="inlineStr">
        <is>
          <t>CNY</t>
        </is>
      </c>
      <c r="I159" t="inlineStr">
        <is>
          <t>CNY</t>
        </is>
      </c>
      <c r="J159" t="inlineStr">
        <is>
          <t>ok</t>
        </is>
      </c>
      <c r="L159" t="b">
        <v>1</v>
      </c>
      <c r="M159" t="inlineStr">
        <is>
          <t>巨潮资讯（CNINFO Data Service）</t>
        </is>
      </c>
      <c r="N159" t="b">
        <v>1</v>
      </c>
    </row>
    <row r="160">
      <c r="A160" t="inlineStr">
        <is>
          <t>A股</t>
        </is>
      </c>
      <c r="B160" t="inlineStr">
        <is>
          <t>920871</t>
        </is>
      </c>
      <c r="C160" t="inlineStr">
        <is>
          <t>派特尔</t>
        </is>
      </c>
      <c r="D160" t="inlineStr">
        <is>
          <t>上市与发行信息</t>
        </is>
      </c>
      <c r="E160" t="inlineStr">
        <is>
          <t>东方财富</t>
        </is>
      </c>
      <c r="F160" t="inlineStr">
        <is>
          <t>RPT_PCF10_ORG_ISSUEINFO</t>
        </is>
      </c>
      <c r="G160" s="32" t="n">
        <v>46263.26155619406</v>
      </c>
      <c r="H160" t="inlineStr">
        <is>
          <t>CNY</t>
        </is>
      </c>
      <c r="I160" t="inlineStr">
        <is>
          <t>CNY</t>
        </is>
      </c>
      <c r="J160" t="inlineStr">
        <is>
          <t>ok</t>
        </is>
      </c>
      <c r="L160" t="b">
        <v>0</v>
      </c>
      <c r="M160" t="inlineStr">
        <is>
          <t>东方财富</t>
        </is>
      </c>
      <c r="N160" t="b">
        <v>1</v>
      </c>
    </row>
    <row r="161">
      <c r="A161" t="inlineStr">
        <is>
          <t>A股</t>
        </is>
      </c>
      <c r="B161" t="inlineStr">
        <is>
          <t>920871</t>
        </is>
      </c>
      <c r="C161" t="inlineStr">
        <is>
          <t>派特尔</t>
        </is>
      </c>
      <c r="D161" t="inlineStr">
        <is>
          <t>资金流</t>
        </is>
      </c>
      <c r="E161" t="inlineStr">
        <is>
          <t>东方财富</t>
        </is>
      </c>
      <c r="F161" t="inlineStr">
        <is>
          <t>fast-mode-no-reliable-batch-endpoint</t>
        </is>
      </c>
      <c r="G161" s="32" t="n">
        <v>46263.26159564944</v>
      </c>
      <c r="I161" t="inlineStr">
        <is>
          <t>CNY</t>
        </is>
      </c>
      <c r="J161" t="inlineStr">
        <is>
          <t>optional_missing</t>
        </is>
      </c>
      <c r="K161" t="inlineStr">
        <is>
          <t>快速模式未发现可靠的批量近五个交易日同口径字段，为避免逐股慢请求，本次留空</t>
        </is>
      </c>
      <c r="L161" t="b">
        <v>0</v>
      </c>
      <c r="M161" t="inlineStr">
        <is>
          <t>东方财富</t>
        </is>
      </c>
      <c r="N161" t="b">
        <v>1</v>
      </c>
    </row>
    <row r="162">
      <c r="A162" t="inlineStr">
        <is>
          <t>A股</t>
        </is>
      </c>
      <c r="B162" t="inlineStr">
        <is>
          <t>920870</t>
        </is>
      </c>
      <c r="C162" t="inlineStr">
        <is>
          <t>恒进感应</t>
        </is>
      </c>
      <c r="D162" t="inlineStr">
        <is>
          <t>最新行情</t>
        </is>
      </c>
      <c r="E162" t="inlineStr">
        <is>
          <t>东方财富</t>
        </is>
      </c>
      <c r="F162" t="inlineStr">
        <is>
          <t>push2 ulist.np/get f2,f20（按指定证券分批）</t>
        </is>
      </c>
      <c r="G162" s="32" t="n">
        <v>46263.26140913873</v>
      </c>
      <c r="H162" t="inlineStr">
        <is>
          <t>CNY</t>
        </is>
      </c>
      <c r="I162" t="inlineStr">
        <is>
          <t>CNY</t>
        </is>
      </c>
      <c r="J162" t="inlineStr">
        <is>
          <t>ok</t>
        </is>
      </c>
      <c r="L162" t="b">
        <v>0</v>
      </c>
      <c r="M162" t="inlineStr">
        <is>
          <t>东方财富</t>
        </is>
      </c>
      <c r="N162" t="b">
        <v>1</v>
      </c>
    </row>
    <row r="163">
      <c r="A163" t="inlineStr">
        <is>
          <t>A股</t>
        </is>
      </c>
      <c r="B163" t="inlineStr">
        <is>
          <t>920870</t>
        </is>
      </c>
      <c r="C163" t="inlineStr">
        <is>
          <t>恒进感应</t>
        </is>
      </c>
      <c r="D163" t="inlineStr">
        <is>
          <t>大宗交易</t>
        </is>
      </c>
      <c r="E163" t="inlineStr">
        <is>
          <t>东方财富</t>
        </is>
      </c>
      <c r="F163" t="inlineStr">
        <is>
          <t>RPT_DATA_BLOCKTRADE 2026（全市场分页后本地聚合）</t>
        </is>
      </c>
      <c r="G163" s="32" t="n">
        <v>46263.26141482598</v>
      </c>
      <c r="H163" t="inlineStr">
        <is>
          <t>CNY</t>
        </is>
      </c>
      <c r="I163" t="inlineStr">
        <is>
          <t>CNY</t>
        </is>
      </c>
      <c r="J163" t="inlineStr">
        <is>
          <t>ok</t>
        </is>
      </c>
      <c r="L163" t="b">
        <v>0</v>
      </c>
      <c r="M163" t="inlineStr">
        <is>
          <t>东方财富</t>
        </is>
      </c>
      <c r="N163" t="b">
        <v>1</v>
      </c>
    </row>
    <row r="164">
      <c r="A164" t="inlineStr">
        <is>
          <t>A股</t>
        </is>
      </c>
      <c r="B164" t="inlineStr">
        <is>
          <t>920870</t>
        </is>
      </c>
      <c r="C164" t="inlineStr">
        <is>
          <t>恒进感应</t>
        </is>
      </c>
      <c r="D164" t="inlineStr">
        <is>
          <t>年度财务</t>
        </is>
      </c>
      <c r="E164" t="inlineStr">
        <is>
          <t>东方财富</t>
        </is>
      </c>
      <c r="F164" t="inlineStr">
        <is>
          <t>RPT_LICO_FN_CPD + RPT_DMSK_FN_CASHFLOW；巨潮回退原因：未配置巨潮官方 API 凭证/端点（CNINFO_ACCESS_TOKEN、CNINFO_INCOME_API_URL、CNINFO_CASHFLOW_API_URL）</t>
        </is>
      </c>
      <c r="G164" s="32" t="n">
        <v>46263.26145756039</v>
      </c>
      <c r="H164" t="inlineStr">
        <is>
          <t>CNY</t>
        </is>
      </c>
      <c r="I164" t="inlineStr">
        <is>
          <t>CNY</t>
        </is>
      </c>
      <c r="J164" t="inlineStr">
        <is>
          <t>ok</t>
        </is>
      </c>
      <c r="L164" t="b">
        <v>1</v>
      </c>
      <c r="M164" t="inlineStr">
        <is>
          <t>巨潮资讯（CNINFO Data Service）</t>
        </is>
      </c>
      <c r="N164" t="b">
        <v>1</v>
      </c>
    </row>
    <row r="165">
      <c r="A165" t="inlineStr">
        <is>
          <t>A股</t>
        </is>
      </c>
      <c r="B165" t="inlineStr">
        <is>
          <t>920870</t>
        </is>
      </c>
      <c r="C165" t="inlineStr">
        <is>
          <t>恒进感应</t>
        </is>
      </c>
      <c r="D165" t="inlineStr">
        <is>
          <t>上市与发行信息</t>
        </is>
      </c>
      <c r="E165" t="inlineStr">
        <is>
          <t>东方财富</t>
        </is>
      </c>
      <c r="F165" t="inlineStr">
        <is>
          <t>RPT_PCF10_ORG_ISSUEINFO</t>
        </is>
      </c>
      <c r="G165" s="32" t="n">
        <v>46263.2615568031</v>
      </c>
      <c r="H165" t="inlineStr">
        <is>
          <t>CNY</t>
        </is>
      </c>
      <c r="I165" t="inlineStr">
        <is>
          <t>CNY</t>
        </is>
      </c>
      <c r="J165" t="inlineStr">
        <is>
          <t>ok</t>
        </is>
      </c>
      <c r="L165" t="b">
        <v>0</v>
      </c>
      <c r="M165" t="inlineStr">
        <is>
          <t>东方财富</t>
        </is>
      </c>
      <c r="N165" t="b">
        <v>1</v>
      </c>
    </row>
    <row r="166">
      <c r="A166" t="inlineStr">
        <is>
          <t>A股</t>
        </is>
      </c>
      <c r="B166" t="inlineStr">
        <is>
          <t>920870</t>
        </is>
      </c>
      <c r="C166" t="inlineStr">
        <is>
          <t>恒进感应</t>
        </is>
      </c>
      <c r="D166" t="inlineStr">
        <is>
          <t>资金流</t>
        </is>
      </c>
      <c r="E166" t="inlineStr">
        <is>
          <t>东方财富</t>
        </is>
      </c>
      <c r="F166" t="inlineStr">
        <is>
          <t>fast-mode-no-reliable-batch-endpoint</t>
        </is>
      </c>
      <c r="G166" s="32" t="n">
        <v>46263.26159564944</v>
      </c>
      <c r="I166" t="inlineStr">
        <is>
          <t>CNY</t>
        </is>
      </c>
      <c r="J166" t="inlineStr">
        <is>
          <t>optional_missing</t>
        </is>
      </c>
      <c r="K166" t="inlineStr">
        <is>
          <t>快速模式未发现可靠的批量近五个交易日同口径字段，为避免逐股慢请求，本次留空</t>
        </is>
      </c>
      <c r="L166" t="b">
        <v>0</v>
      </c>
      <c r="M166" t="inlineStr">
        <is>
          <t>东方财富</t>
        </is>
      </c>
      <c r="N166" t="b">
        <v>1</v>
      </c>
    </row>
    <row r="167">
      <c r="A167" t="inlineStr">
        <is>
          <t>A股</t>
        </is>
      </c>
      <c r="B167" t="inlineStr">
        <is>
          <t>920866</t>
        </is>
      </c>
      <c r="C167" t="inlineStr">
        <is>
          <t>绿亨科技</t>
        </is>
      </c>
      <c r="D167" t="inlineStr">
        <is>
          <t>最新行情</t>
        </is>
      </c>
      <c r="E167" t="inlineStr">
        <is>
          <t>东方财富</t>
        </is>
      </c>
      <c r="F167" t="inlineStr">
        <is>
          <t>push2 ulist.np/get f2,f20（按指定证券分批）</t>
        </is>
      </c>
      <c r="G167" s="32" t="n">
        <v>46263.26140913873</v>
      </c>
      <c r="H167" t="inlineStr">
        <is>
          <t>CNY</t>
        </is>
      </c>
      <c r="I167" t="inlineStr">
        <is>
          <t>CNY</t>
        </is>
      </c>
      <c r="J167" t="inlineStr">
        <is>
          <t>ok</t>
        </is>
      </c>
      <c r="L167" t="b">
        <v>0</v>
      </c>
      <c r="M167" t="inlineStr">
        <is>
          <t>东方财富</t>
        </is>
      </c>
      <c r="N167" t="b">
        <v>1</v>
      </c>
    </row>
    <row r="168">
      <c r="A168" t="inlineStr">
        <is>
          <t>A股</t>
        </is>
      </c>
      <c r="B168" t="inlineStr">
        <is>
          <t>920866</t>
        </is>
      </c>
      <c r="C168" t="inlineStr">
        <is>
          <t>绿亨科技</t>
        </is>
      </c>
      <c r="D168" t="inlineStr">
        <is>
          <t>大宗交易</t>
        </is>
      </c>
      <c r="E168" t="inlineStr">
        <is>
          <t>东方财富</t>
        </is>
      </c>
      <c r="F168" t="inlineStr">
        <is>
          <t>RPT_DATA_BLOCKTRADE 2026（全市场分页后本地聚合）</t>
        </is>
      </c>
      <c r="G168" s="32" t="n">
        <v>46263.26141482598</v>
      </c>
      <c r="H168" t="inlineStr">
        <is>
          <t>CNY</t>
        </is>
      </c>
      <c r="I168" t="inlineStr">
        <is>
          <t>CNY</t>
        </is>
      </c>
      <c r="J168" t="inlineStr">
        <is>
          <t>ok</t>
        </is>
      </c>
      <c r="L168" t="b">
        <v>0</v>
      </c>
      <c r="M168" t="inlineStr">
        <is>
          <t>东方财富</t>
        </is>
      </c>
      <c r="N168" t="b">
        <v>1</v>
      </c>
    </row>
    <row r="169">
      <c r="A169" t="inlineStr">
        <is>
          <t>A股</t>
        </is>
      </c>
      <c r="B169" t="inlineStr">
        <is>
          <t>920866</t>
        </is>
      </c>
      <c r="C169" t="inlineStr">
        <is>
          <t>绿亨科技</t>
        </is>
      </c>
      <c r="D169" t="inlineStr">
        <is>
          <t>年度财务</t>
        </is>
      </c>
      <c r="E169" t="inlineStr">
        <is>
          <t>东方财富</t>
        </is>
      </c>
      <c r="F169" t="inlineStr">
        <is>
          <t>RPT_LICO_FN_CPD + RPT_DMSK_FN_CASHFLOW；巨潮回退原因：未配置巨潮官方 API 凭证/端点（CNINFO_ACCESS_TOKEN、CNINFO_INCOME_API_URL、CNINFO_CASHFLOW_API_URL）</t>
        </is>
      </c>
      <c r="G169" s="32" t="n">
        <v>46263.26146053406</v>
      </c>
      <c r="H169" t="inlineStr">
        <is>
          <t>CNY</t>
        </is>
      </c>
      <c r="I169" t="inlineStr">
        <is>
          <t>CNY</t>
        </is>
      </c>
      <c r="J169" t="inlineStr">
        <is>
          <t>ok</t>
        </is>
      </c>
      <c r="L169" t="b">
        <v>1</v>
      </c>
      <c r="M169" t="inlineStr">
        <is>
          <t>巨潮资讯（CNINFO Data Service）</t>
        </is>
      </c>
      <c r="N169" t="b">
        <v>1</v>
      </c>
    </row>
    <row r="170">
      <c r="A170" t="inlineStr">
        <is>
          <t>A股</t>
        </is>
      </c>
      <c r="B170" t="inlineStr">
        <is>
          <t>920866</t>
        </is>
      </c>
      <c r="C170" t="inlineStr">
        <is>
          <t>绿亨科技</t>
        </is>
      </c>
      <c r="D170" t="inlineStr">
        <is>
          <t>上市与发行信息</t>
        </is>
      </c>
      <c r="E170" t="inlineStr">
        <is>
          <t>东方财富</t>
        </is>
      </c>
      <c r="F170" t="inlineStr">
        <is>
          <t>RPT_PCF10_ORG_ISSUEINFO</t>
        </is>
      </c>
      <c r="G170" s="32" t="n">
        <v>46263.26155820891</v>
      </c>
      <c r="H170" t="inlineStr">
        <is>
          <t>CNY</t>
        </is>
      </c>
      <c r="I170" t="inlineStr">
        <is>
          <t>CNY</t>
        </is>
      </c>
      <c r="J170" t="inlineStr">
        <is>
          <t>ok</t>
        </is>
      </c>
      <c r="L170" t="b">
        <v>0</v>
      </c>
      <c r="M170" t="inlineStr">
        <is>
          <t>东方财富</t>
        </is>
      </c>
      <c r="N170" t="b">
        <v>1</v>
      </c>
    </row>
    <row r="171">
      <c r="A171" t="inlineStr">
        <is>
          <t>A股</t>
        </is>
      </c>
      <c r="B171" t="inlineStr">
        <is>
          <t>920866</t>
        </is>
      </c>
      <c r="C171" t="inlineStr">
        <is>
          <t>绿亨科技</t>
        </is>
      </c>
      <c r="D171" t="inlineStr">
        <is>
          <t>资金流</t>
        </is>
      </c>
      <c r="E171" t="inlineStr">
        <is>
          <t>东方财富</t>
        </is>
      </c>
      <c r="F171" t="inlineStr">
        <is>
          <t>fast-mode-no-reliable-batch-endpoint</t>
        </is>
      </c>
      <c r="G171" s="32" t="n">
        <v>46263.26159564944</v>
      </c>
      <c r="I171" t="inlineStr">
        <is>
          <t>CNY</t>
        </is>
      </c>
      <c r="J171" t="inlineStr">
        <is>
          <t>optional_missing</t>
        </is>
      </c>
      <c r="K171" t="inlineStr">
        <is>
          <t>快速模式未发现可靠的批量近五个交易日同口径字段，为避免逐股慢请求，本次留空</t>
        </is>
      </c>
      <c r="L171" t="b">
        <v>0</v>
      </c>
      <c r="M171" t="inlineStr">
        <is>
          <t>东方财富</t>
        </is>
      </c>
      <c r="N171" t="b">
        <v>1</v>
      </c>
    </row>
    <row r="172">
      <c r="A172" t="inlineStr">
        <is>
          <t>A股</t>
        </is>
      </c>
      <c r="B172" t="inlineStr">
        <is>
          <t>920857</t>
        </is>
      </c>
      <c r="C172" t="inlineStr">
        <is>
          <t>泓禧科技</t>
        </is>
      </c>
      <c r="D172" t="inlineStr">
        <is>
          <t>最新行情</t>
        </is>
      </c>
      <c r="E172" t="inlineStr">
        <is>
          <t>东方财富</t>
        </is>
      </c>
      <c r="F172" t="inlineStr">
        <is>
          <t>push2 ulist.np/get f2,f20（按指定证券分批）</t>
        </is>
      </c>
      <c r="G172" s="32" t="n">
        <v>46263.26140913873</v>
      </c>
      <c r="H172" t="inlineStr">
        <is>
          <t>CNY</t>
        </is>
      </c>
      <c r="I172" t="inlineStr">
        <is>
          <t>CNY</t>
        </is>
      </c>
      <c r="J172" t="inlineStr">
        <is>
          <t>ok</t>
        </is>
      </c>
      <c r="L172" t="b">
        <v>0</v>
      </c>
      <c r="M172" t="inlineStr">
        <is>
          <t>东方财富</t>
        </is>
      </c>
      <c r="N172" t="b">
        <v>1</v>
      </c>
    </row>
    <row r="173">
      <c r="A173" t="inlineStr">
        <is>
          <t>A股</t>
        </is>
      </c>
      <c r="B173" t="inlineStr">
        <is>
          <t>920857</t>
        </is>
      </c>
      <c r="C173" t="inlineStr">
        <is>
          <t>泓禧科技</t>
        </is>
      </c>
      <c r="D173" t="inlineStr">
        <is>
          <t>大宗交易</t>
        </is>
      </c>
      <c r="E173" t="inlineStr">
        <is>
          <t>东方财富</t>
        </is>
      </c>
      <c r="F173" t="inlineStr">
        <is>
          <t>RPT_DATA_BLOCKTRADE 2026（全市场分页后本地聚合）</t>
        </is>
      </c>
      <c r="G173" s="32" t="n">
        <v>46263.26141482598</v>
      </c>
      <c r="H173" t="inlineStr">
        <is>
          <t>CNY</t>
        </is>
      </c>
      <c r="I173" t="inlineStr">
        <is>
          <t>CNY</t>
        </is>
      </c>
      <c r="J173" t="inlineStr">
        <is>
          <t>ok</t>
        </is>
      </c>
      <c r="L173" t="b">
        <v>0</v>
      </c>
      <c r="M173" t="inlineStr">
        <is>
          <t>东方财富</t>
        </is>
      </c>
      <c r="N173" t="b">
        <v>1</v>
      </c>
    </row>
    <row r="174">
      <c r="A174" t="inlineStr">
        <is>
          <t>A股</t>
        </is>
      </c>
      <c r="B174" t="inlineStr">
        <is>
          <t>920857</t>
        </is>
      </c>
      <c r="C174" t="inlineStr">
        <is>
          <t>泓禧科技</t>
        </is>
      </c>
      <c r="D174" t="inlineStr">
        <is>
          <t>年度财务</t>
        </is>
      </c>
      <c r="E174" t="inlineStr">
        <is>
          <t>东方财富</t>
        </is>
      </c>
      <c r="F174" t="inlineStr">
        <is>
          <t>RPT_LICO_FN_CPD + RPT_DMSK_FN_CASHFLOW；巨潮回退原因：未配置巨潮官方 API 凭证/端点（CNINFO_ACCESS_TOKEN、CNINFO_INCOME_API_URL、CNINFO_CASHFLOW_API_URL）</t>
        </is>
      </c>
      <c r="G174" s="32" t="n">
        <v>46263.26146178454</v>
      </c>
      <c r="H174" t="inlineStr">
        <is>
          <t>CNY</t>
        </is>
      </c>
      <c r="I174" t="inlineStr">
        <is>
          <t>CNY</t>
        </is>
      </c>
      <c r="J174" t="inlineStr">
        <is>
          <t>ok</t>
        </is>
      </c>
      <c r="L174" t="b">
        <v>1</v>
      </c>
      <c r="M174" t="inlineStr">
        <is>
          <t>巨潮资讯（CNINFO Data Service）</t>
        </is>
      </c>
      <c r="N174" t="b">
        <v>1</v>
      </c>
    </row>
    <row r="175">
      <c r="A175" t="inlineStr">
        <is>
          <t>A股</t>
        </is>
      </c>
      <c r="B175" t="inlineStr">
        <is>
          <t>920857</t>
        </is>
      </c>
      <c r="C175" t="inlineStr">
        <is>
          <t>泓禧科技</t>
        </is>
      </c>
      <c r="D175" t="inlineStr">
        <is>
          <t>上市与发行信息</t>
        </is>
      </c>
      <c r="E175" t="inlineStr">
        <is>
          <t>东方财富</t>
        </is>
      </c>
      <c r="F175" t="inlineStr">
        <is>
          <t>RPT_PCF10_ORG_ISSUEINFO</t>
        </is>
      </c>
      <c r="G175" s="32" t="n">
        <v>46263.26155797664</v>
      </c>
      <c r="H175" t="inlineStr">
        <is>
          <t>CNY</t>
        </is>
      </c>
      <c r="I175" t="inlineStr">
        <is>
          <t>CNY</t>
        </is>
      </c>
      <c r="J175" t="inlineStr">
        <is>
          <t>ok</t>
        </is>
      </c>
      <c r="L175" t="b">
        <v>0</v>
      </c>
      <c r="M175" t="inlineStr">
        <is>
          <t>东方财富</t>
        </is>
      </c>
      <c r="N175" t="b">
        <v>1</v>
      </c>
    </row>
    <row r="176">
      <c r="A176" t="inlineStr">
        <is>
          <t>A股</t>
        </is>
      </c>
      <c r="B176" t="inlineStr">
        <is>
          <t>920857</t>
        </is>
      </c>
      <c r="C176" t="inlineStr">
        <is>
          <t>泓禧科技</t>
        </is>
      </c>
      <c r="D176" t="inlineStr">
        <is>
          <t>资金流</t>
        </is>
      </c>
      <c r="E176" t="inlineStr">
        <is>
          <t>东方财富</t>
        </is>
      </c>
      <c r="F176" t="inlineStr">
        <is>
          <t>fast-mode-no-reliable-batch-endpoint</t>
        </is>
      </c>
      <c r="G176" s="32" t="n">
        <v>46263.26159564944</v>
      </c>
      <c r="I176" t="inlineStr">
        <is>
          <t>CNY</t>
        </is>
      </c>
      <c r="J176" t="inlineStr">
        <is>
          <t>optional_missing</t>
        </is>
      </c>
      <c r="K176" t="inlineStr">
        <is>
          <t>快速模式未发现可靠的批量近五个交易日同口径字段，为避免逐股慢请求，本次留空</t>
        </is>
      </c>
      <c r="L176" t="b">
        <v>0</v>
      </c>
      <c r="M176" t="inlineStr">
        <is>
          <t>东方财富</t>
        </is>
      </c>
      <c r="N176" t="b">
        <v>1</v>
      </c>
    </row>
    <row r="177">
      <c r="A177" t="inlineStr">
        <is>
          <t>A股</t>
        </is>
      </c>
      <c r="B177" t="inlineStr">
        <is>
          <t>920856</t>
        </is>
      </c>
      <c r="C177" t="inlineStr">
        <is>
          <t>浩淼科技</t>
        </is>
      </c>
      <c r="D177" t="inlineStr">
        <is>
          <t>最新行情</t>
        </is>
      </c>
      <c r="E177" t="inlineStr">
        <is>
          <t>东方财富</t>
        </is>
      </c>
      <c r="F177" t="inlineStr">
        <is>
          <t>push2 ulist.np/get f2,f20（按指定证券分批）</t>
        </is>
      </c>
      <c r="G177" s="32" t="n">
        <v>46263.26140913873</v>
      </c>
      <c r="H177" t="inlineStr">
        <is>
          <t>CNY</t>
        </is>
      </c>
      <c r="I177" t="inlineStr">
        <is>
          <t>CNY</t>
        </is>
      </c>
      <c r="J177" t="inlineStr">
        <is>
          <t>ok</t>
        </is>
      </c>
      <c r="L177" t="b">
        <v>0</v>
      </c>
      <c r="M177" t="inlineStr">
        <is>
          <t>东方财富</t>
        </is>
      </c>
      <c r="N177" t="b">
        <v>1</v>
      </c>
    </row>
    <row r="178">
      <c r="A178" t="inlineStr">
        <is>
          <t>A股</t>
        </is>
      </c>
      <c r="B178" t="inlineStr">
        <is>
          <t>920856</t>
        </is>
      </c>
      <c r="C178" t="inlineStr">
        <is>
          <t>浩淼科技</t>
        </is>
      </c>
      <c r="D178" t="inlineStr">
        <is>
          <t>大宗交易</t>
        </is>
      </c>
      <c r="E178" t="inlineStr">
        <is>
          <t>东方财富</t>
        </is>
      </c>
      <c r="F178" t="inlineStr">
        <is>
          <t>RPT_DATA_BLOCKTRADE 2026（全市场分页后本地聚合）</t>
        </is>
      </c>
      <c r="G178" s="32" t="n">
        <v>46263.26141482598</v>
      </c>
      <c r="H178" t="inlineStr">
        <is>
          <t>CNY</t>
        </is>
      </c>
      <c r="I178" t="inlineStr">
        <is>
          <t>CNY</t>
        </is>
      </c>
      <c r="J178" t="inlineStr">
        <is>
          <t>ok</t>
        </is>
      </c>
      <c r="L178" t="b">
        <v>0</v>
      </c>
      <c r="M178" t="inlineStr">
        <is>
          <t>东方财富</t>
        </is>
      </c>
      <c r="N178" t="b">
        <v>1</v>
      </c>
    </row>
    <row r="179">
      <c r="A179" t="inlineStr">
        <is>
          <t>A股</t>
        </is>
      </c>
      <c r="B179" t="inlineStr">
        <is>
          <t>920856</t>
        </is>
      </c>
      <c r="C179" t="inlineStr">
        <is>
          <t>浩淼科技</t>
        </is>
      </c>
      <c r="D179" t="inlineStr">
        <is>
          <t>年度财务</t>
        </is>
      </c>
      <c r="E179" t="inlineStr">
        <is>
          <t>东方财富</t>
        </is>
      </c>
      <c r="F179" t="inlineStr">
        <is>
          <t>RPT_LICO_FN_CPD + RPT_DMSK_FN_CASHFLOW；巨潮回退原因：未配置巨潮官方 API 凭证/端点（CNINFO_ACCESS_TOKEN、CNINFO_INCOME_API_URL、CNINFO_CASHFLOW_API_URL）</t>
        </is>
      </c>
      <c r="G179" s="32" t="n">
        <v>46263.26146278931</v>
      </c>
      <c r="H179" t="inlineStr">
        <is>
          <t>CNY</t>
        </is>
      </c>
      <c r="I179" t="inlineStr">
        <is>
          <t>CNY</t>
        </is>
      </c>
      <c r="J179" t="inlineStr">
        <is>
          <t>ok</t>
        </is>
      </c>
      <c r="L179" t="b">
        <v>1</v>
      </c>
      <c r="M179" t="inlineStr">
        <is>
          <t>巨潮资讯（CNINFO Data Service）</t>
        </is>
      </c>
      <c r="N179" t="b">
        <v>1</v>
      </c>
    </row>
    <row r="180">
      <c r="A180" t="inlineStr">
        <is>
          <t>A股</t>
        </is>
      </c>
      <c r="B180" t="inlineStr">
        <is>
          <t>920856</t>
        </is>
      </c>
      <c r="C180" t="inlineStr">
        <is>
          <t>浩淼科技</t>
        </is>
      </c>
      <c r="D180" t="inlineStr">
        <is>
          <t>上市与发行信息</t>
        </is>
      </c>
      <c r="E180" t="inlineStr">
        <is>
          <t>东方财富</t>
        </is>
      </c>
      <c r="F180" t="inlineStr">
        <is>
          <t>RPT_PCF10_ORG_ISSUEINFO</t>
        </is>
      </c>
      <c r="G180" s="32" t="n">
        <v>46263.26156026037</v>
      </c>
      <c r="H180" t="inlineStr">
        <is>
          <t>CNY</t>
        </is>
      </c>
      <c r="I180" t="inlineStr">
        <is>
          <t>CNY</t>
        </is>
      </c>
      <c r="J180" t="inlineStr">
        <is>
          <t>ok</t>
        </is>
      </c>
      <c r="L180" t="b">
        <v>0</v>
      </c>
      <c r="M180" t="inlineStr">
        <is>
          <t>东方财富</t>
        </is>
      </c>
      <c r="N180" t="b">
        <v>1</v>
      </c>
    </row>
    <row r="181">
      <c r="A181" t="inlineStr">
        <is>
          <t>A股</t>
        </is>
      </c>
      <c r="B181" t="inlineStr">
        <is>
          <t>920856</t>
        </is>
      </c>
      <c r="C181" t="inlineStr">
        <is>
          <t>浩淼科技</t>
        </is>
      </c>
      <c r="D181" t="inlineStr">
        <is>
          <t>资金流</t>
        </is>
      </c>
      <c r="E181" t="inlineStr">
        <is>
          <t>东方财富</t>
        </is>
      </c>
      <c r="F181" t="inlineStr">
        <is>
          <t>fast-mode-no-reliable-batch-endpoint</t>
        </is>
      </c>
      <c r="G181" s="32" t="n">
        <v>46263.26159564944</v>
      </c>
      <c r="I181" t="inlineStr">
        <is>
          <t>CNY</t>
        </is>
      </c>
      <c r="J181" t="inlineStr">
        <is>
          <t>optional_missing</t>
        </is>
      </c>
      <c r="K181" t="inlineStr">
        <is>
          <t>快速模式未发现可靠的批量近五个交易日同口径字段，为避免逐股慢请求，本次留空</t>
        </is>
      </c>
      <c r="L181" t="b">
        <v>0</v>
      </c>
      <c r="M181" t="inlineStr">
        <is>
          <t>东方财富</t>
        </is>
      </c>
      <c r="N181" t="b">
        <v>1</v>
      </c>
    </row>
    <row r="182">
      <c r="A182" t="inlineStr">
        <is>
          <t>A股</t>
        </is>
      </c>
      <c r="B182" t="inlineStr">
        <is>
          <t>920855</t>
        </is>
      </c>
      <c r="C182" t="inlineStr">
        <is>
          <t>浙江大农</t>
        </is>
      </c>
      <c r="D182" t="inlineStr">
        <is>
          <t>最新行情</t>
        </is>
      </c>
      <c r="E182" t="inlineStr">
        <is>
          <t>东方财富</t>
        </is>
      </c>
      <c r="F182" t="inlineStr">
        <is>
          <t>push2 ulist.np/get f2,f20（按指定证券分批）</t>
        </is>
      </c>
      <c r="G182" s="32" t="n">
        <v>46263.26140913873</v>
      </c>
      <c r="H182" t="inlineStr">
        <is>
          <t>CNY</t>
        </is>
      </c>
      <c r="I182" t="inlineStr">
        <is>
          <t>CNY</t>
        </is>
      </c>
      <c r="J182" t="inlineStr">
        <is>
          <t>ok</t>
        </is>
      </c>
      <c r="L182" t="b">
        <v>0</v>
      </c>
      <c r="M182" t="inlineStr">
        <is>
          <t>东方财富</t>
        </is>
      </c>
      <c r="N182" t="b">
        <v>1</v>
      </c>
    </row>
    <row r="183">
      <c r="A183" t="inlineStr">
        <is>
          <t>A股</t>
        </is>
      </c>
      <c r="B183" t="inlineStr">
        <is>
          <t>920855</t>
        </is>
      </c>
      <c r="C183" t="inlineStr">
        <is>
          <t>浙江大农</t>
        </is>
      </c>
      <c r="D183" t="inlineStr">
        <is>
          <t>大宗交易</t>
        </is>
      </c>
      <c r="E183" t="inlineStr">
        <is>
          <t>东方财富</t>
        </is>
      </c>
      <c r="F183" t="inlineStr">
        <is>
          <t>RPT_DATA_BLOCKTRADE 2026（全市场分页后本地聚合）</t>
        </is>
      </c>
      <c r="G183" s="32" t="n">
        <v>46263.26141482598</v>
      </c>
      <c r="H183" t="inlineStr">
        <is>
          <t>CNY</t>
        </is>
      </c>
      <c r="I183" t="inlineStr">
        <is>
          <t>CNY</t>
        </is>
      </c>
      <c r="J183" t="inlineStr">
        <is>
          <t>ok</t>
        </is>
      </c>
      <c r="L183" t="b">
        <v>0</v>
      </c>
      <c r="M183" t="inlineStr">
        <is>
          <t>东方财富</t>
        </is>
      </c>
      <c r="N183" t="b">
        <v>1</v>
      </c>
    </row>
    <row r="184">
      <c r="A184" t="inlineStr">
        <is>
          <t>A股</t>
        </is>
      </c>
      <c r="B184" t="inlineStr">
        <is>
          <t>920855</t>
        </is>
      </c>
      <c r="C184" t="inlineStr">
        <is>
          <t>浙江大农</t>
        </is>
      </c>
      <c r="D184" t="inlineStr">
        <is>
          <t>年度财务</t>
        </is>
      </c>
      <c r="E184" t="inlineStr">
        <is>
          <t>东方财富</t>
        </is>
      </c>
      <c r="F184" t="inlineStr">
        <is>
          <t>RPT_LICO_FN_CPD + RPT_DMSK_FN_CASHFLOW；巨潮回退原因：未配置巨潮官方 API 凭证/端点（CNINFO_ACCESS_TOKEN、CNINFO_INCOME_API_URL、CNINFO_CASHFLOW_API_URL）</t>
        </is>
      </c>
      <c r="G184" s="32" t="n">
        <v>46263.2614636933</v>
      </c>
      <c r="H184" t="inlineStr">
        <is>
          <t>CNY</t>
        </is>
      </c>
      <c r="I184" t="inlineStr">
        <is>
          <t>CNY</t>
        </is>
      </c>
      <c r="J184" t="inlineStr">
        <is>
          <t>ok</t>
        </is>
      </c>
      <c r="L184" t="b">
        <v>1</v>
      </c>
      <c r="M184" t="inlineStr">
        <is>
          <t>巨潮资讯（CNINFO Data Service）</t>
        </is>
      </c>
      <c r="N184" t="b">
        <v>1</v>
      </c>
    </row>
    <row r="185">
      <c r="A185" t="inlineStr">
        <is>
          <t>A股</t>
        </is>
      </c>
      <c r="B185" t="inlineStr">
        <is>
          <t>920855</t>
        </is>
      </c>
      <c r="C185" t="inlineStr">
        <is>
          <t>浙江大农</t>
        </is>
      </c>
      <c r="D185" t="inlineStr">
        <is>
          <t>上市与发行信息</t>
        </is>
      </c>
      <c r="E185" t="inlineStr">
        <is>
          <t>东方财富</t>
        </is>
      </c>
      <c r="F185" t="inlineStr">
        <is>
          <t>RPT_PCF10_ORG_ISSUEINFO</t>
        </is>
      </c>
      <c r="G185" s="32" t="n">
        <v>46263.26155909392</v>
      </c>
      <c r="H185" t="inlineStr">
        <is>
          <t>CNY</t>
        </is>
      </c>
      <c r="I185" t="inlineStr">
        <is>
          <t>CNY</t>
        </is>
      </c>
      <c r="J185" t="inlineStr">
        <is>
          <t>ok</t>
        </is>
      </c>
      <c r="L185" t="b">
        <v>0</v>
      </c>
      <c r="M185" t="inlineStr">
        <is>
          <t>东方财富</t>
        </is>
      </c>
      <c r="N185" t="b">
        <v>1</v>
      </c>
    </row>
    <row r="186">
      <c r="A186" t="inlineStr">
        <is>
          <t>A股</t>
        </is>
      </c>
      <c r="B186" t="inlineStr">
        <is>
          <t>920855</t>
        </is>
      </c>
      <c r="C186" t="inlineStr">
        <is>
          <t>浙江大农</t>
        </is>
      </c>
      <c r="D186" t="inlineStr">
        <is>
          <t>资金流</t>
        </is>
      </c>
      <c r="E186" t="inlineStr">
        <is>
          <t>东方财富</t>
        </is>
      </c>
      <c r="F186" t="inlineStr">
        <is>
          <t>fast-mode-no-reliable-batch-endpoint</t>
        </is>
      </c>
      <c r="G186" s="32" t="n">
        <v>46263.26159564944</v>
      </c>
      <c r="I186" t="inlineStr">
        <is>
          <t>CNY</t>
        </is>
      </c>
      <c r="J186" t="inlineStr">
        <is>
          <t>optional_missing</t>
        </is>
      </c>
      <c r="K186" t="inlineStr">
        <is>
          <t>快速模式未发现可靠的批量近五个交易日同口径字段，为避免逐股慢请求，本次留空</t>
        </is>
      </c>
      <c r="L186" t="b">
        <v>0</v>
      </c>
      <c r="M186" t="inlineStr">
        <is>
          <t>东方财富</t>
        </is>
      </c>
      <c r="N186" t="b">
        <v>1</v>
      </c>
    </row>
    <row r="187">
      <c r="A187" t="inlineStr">
        <is>
          <t>A股</t>
        </is>
      </c>
      <c r="B187" t="inlineStr">
        <is>
          <t>920839</t>
        </is>
      </c>
      <c r="C187" t="inlineStr">
        <is>
          <t>万通液压</t>
        </is>
      </c>
      <c r="D187" t="inlineStr">
        <is>
          <t>最新行情</t>
        </is>
      </c>
      <c r="E187" t="inlineStr">
        <is>
          <t>东方财富</t>
        </is>
      </c>
      <c r="F187" t="inlineStr">
        <is>
          <t>push2 ulist.np/get f2,f20（按指定证券分批）</t>
        </is>
      </c>
      <c r="G187" s="32" t="n">
        <v>46263.26140913873</v>
      </c>
      <c r="H187" t="inlineStr">
        <is>
          <t>CNY</t>
        </is>
      </c>
      <c r="I187" t="inlineStr">
        <is>
          <t>CNY</t>
        </is>
      </c>
      <c r="J187" t="inlineStr">
        <is>
          <t>ok</t>
        </is>
      </c>
      <c r="L187" t="b">
        <v>0</v>
      </c>
      <c r="M187" t="inlineStr">
        <is>
          <t>东方财富</t>
        </is>
      </c>
      <c r="N187" t="b">
        <v>1</v>
      </c>
    </row>
    <row r="188">
      <c r="A188" t="inlineStr">
        <is>
          <t>A股</t>
        </is>
      </c>
      <c r="B188" t="inlineStr">
        <is>
          <t>920839</t>
        </is>
      </c>
      <c r="C188" t="inlineStr">
        <is>
          <t>万通液压</t>
        </is>
      </c>
      <c r="D188" t="inlineStr">
        <is>
          <t>大宗交易</t>
        </is>
      </c>
      <c r="E188" t="inlineStr">
        <is>
          <t>东方财富</t>
        </is>
      </c>
      <c r="F188" t="inlineStr">
        <is>
          <t>RPT_DATA_BLOCKTRADE 2026（全市场分页后本地聚合）</t>
        </is>
      </c>
      <c r="G188" s="32" t="n">
        <v>46263.26141482598</v>
      </c>
      <c r="H188" t="inlineStr">
        <is>
          <t>CNY</t>
        </is>
      </c>
      <c r="I188" t="inlineStr">
        <is>
          <t>CNY</t>
        </is>
      </c>
      <c r="J188" t="inlineStr">
        <is>
          <t>ok</t>
        </is>
      </c>
      <c r="L188" t="b">
        <v>0</v>
      </c>
      <c r="M188" t="inlineStr">
        <is>
          <t>东方财富</t>
        </is>
      </c>
      <c r="N188" t="b">
        <v>1</v>
      </c>
    </row>
    <row r="189">
      <c r="A189" t="inlineStr">
        <is>
          <t>A股</t>
        </is>
      </c>
      <c r="B189" t="inlineStr">
        <is>
          <t>920839</t>
        </is>
      </c>
      <c r="C189" t="inlineStr">
        <is>
          <t>万通液压</t>
        </is>
      </c>
      <c r="D189" t="inlineStr">
        <is>
          <t>年度财务</t>
        </is>
      </c>
      <c r="E189" t="inlineStr">
        <is>
          <t>东方财富</t>
        </is>
      </c>
      <c r="F189" t="inlineStr">
        <is>
          <t>RPT_LICO_FN_CPD + RPT_DMSK_FN_CASHFLOW；巨潮回退原因：未配置巨潮官方 API 凭证/端点（CNINFO_ACCESS_TOKEN、CNINFO_INCOME_API_URL、CNINFO_CASHFLOW_API_URL）</t>
        </is>
      </c>
      <c r="G189" s="32" t="n">
        <v>46263.26146403606</v>
      </c>
      <c r="H189" t="inlineStr">
        <is>
          <t>CNY</t>
        </is>
      </c>
      <c r="I189" t="inlineStr">
        <is>
          <t>CNY</t>
        </is>
      </c>
      <c r="J189" t="inlineStr">
        <is>
          <t>ok</t>
        </is>
      </c>
      <c r="L189" t="b">
        <v>1</v>
      </c>
      <c r="M189" t="inlineStr">
        <is>
          <t>巨潮资讯（CNINFO Data Service）</t>
        </is>
      </c>
      <c r="N189" t="b">
        <v>1</v>
      </c>
    </row>
    <row r="190">
      <c r="A190" t="inlineStr">
        <is>
          <t>A股</t>
        </is>
      </c>
      <c r="B190" t="inlineStr">
        <is>
          <t>920839</t>
        </is>
      </c>
      <c r="C190" t="inlineStr">
        <is>
          <t>万通液压</t>
        </is>
      </c>
      <c r="D190" t="inlineStr">
        <is>
          <t>上市与发行信息</t>
        </is>
      </c>
      <c r="E190" t="inlineStr">
        <is>
          <t>东方财富</t>
        </is>
      </c>
      <c r="F190" t="inlineStr">
        <is>
          <t>RPT_PCF10_ORG_ISSUEINFO</t>
        </is>
      </c>
      <c r="G190" s="32" t="n">
        <v>46263.26155965536</v>
      </c>
      <c r="H190" t="inlineStr">
        <is>
          <t>CNY</t>
        </is>
      </c>
      <c r="I190" t="inlineStr">
        <is>
          <t>CNY</t>
        </is>
      </c>
      <c r="J190" t="inlineStr">
        <is>
          <t>ok</t>
        </is>
      </c>
      <c r="L190" t="b">
        <v>0</v>
      </c>
      <c r="M190" t="inlineStr">
        <is>
          <t>东方财富</t>
        </is>
      </c>
      <c r="N190" t="b">
        <v>1</v>
      </c>
    </row>
    <row r="191">
      <c r="A191" t="inlineStr">
        <is>
          <t>A股</t>
        </is>
      </c>
      <c r="B191" t="inlineStr">
        <is>
          <t>920839</t>
        </is>
      </c>
      <c r="C191" t="inlineStr">
        <is>
          <t>万通液压</t>
        </is>
      </c>
      <c r="D191" t="inlineStr">
        <is>
          <t>资金流</t>
        </is>
      </c>
      <c r="E191" t="inlineStr">
        <is>
          <t>东方财富</t>
        </is>
      </c>
      <c r="F191" t="inlineStr">
        <is>
          <t>fast-mode-no-reliable-batch-endpoint</t>
        </is>
      </c>
      <c r="G191" s="32" t="n">
        <v>46263.26159564944</v>
      </c>
      <c r="I191" t="inlineStr">
        <is>
          <t>CNY</t>
        </is>
      </c>
      <c r="J191" t="inlineStr">
        <is>
          <t>optional_missing</t>
        </is>
      </c>
      <c r="K191" t="inlineStr">
        <is>
          <t>快速模式未发现可靠的批量近五个交易日同口径字段，为避免逐股慢请求，本次留空</t>
        </is>
      </c>
      <c r="L191" t="b">
        <v>0</v>
      </c>
      <c r="M191" t="inlineStr">
        <is>
          <t>东方财富</t>
        </is>
      </c>
      <c r="N191" t="b">
        <v>1</v>
      </c>
    </row>
    <row r="192">
      <c r="A192" t="inlineStr">
        <is>
          <t>A股</t>
        </is>
      </c>
      <c r="B192" t="inlineStr">
        <is>
          <t>920837</t>
        </is>
      </c>
      <c r="C192" t="inlineStr">
        <is>
          <t>华原股份</t>
        </is>
      </c>
      <c r="D192" t="inlineStr">
        <is>
          <t>最新行情</t>
        </is>
      </c>
      <c r="E192" t="inlineStr">
        <is>
          <t>东方财富</t>
        </is>
      </c>
      <c r="F192" t="inlineStr">
        <is>
          <t>push2 ulist.np/get f2,f20（按指定证券分批）</t>
        </is>
      </c>
      <c r="G192" s="32" t="n">
        <v>46263.26140913873</v>
      </c>
      <c r="H192" t="inlineStr">
        <is>
          <t>CNY</t>
        </is>
      </c>
      <c r="I192" t="inlineStr">
        <is>
          <t>CNY</t>
        </is>
      </c>
      <c r="J192" t="inlineStr">
        <is>
          <t>ok</t>
        </is>
      </c>
      <c r="L192" t="b">
        <v>0</v>
      </c>
      <c r="M192" t="inlineStr">
        <is>
          <t>东方财富</t>
        </is>
      </c>
      <c r="N192" t="b">
        <v>1</v>
      </c>
    </row>
    <row r="193">
      <c r="A193" t="inlineStr">
        <is>
          <t>A股</t>
        </is>
      </c>
      <c r="B193" t="inlineStr">
        <is>
          <t>920837</t>
        </is>
      </c>
      <c r="C193" t="inlineStr">
        <is>
          <t>华原股份</t>
        </is>
      </c>
      <c r="D193" t="inlineStr">
        <is>
          <t>大宗交易</t>
        </is>
      </c>
      <c r="E193" t="inlineStr">
        <is>
          <t>东方财富</t>
        </is>
      </c>
      <c r="F193" t="inlineStr">
        <is>
          <t>RPT_DATA_BLOCKTRADE 2026（全市场分页后本地聚合）</t>
        </is>
      </c>
      <c r="G193" s="32" t="n">
        <v>46263.26141482598</v>
      </c>
      <c r="H193" t="inlineStr">
        <is>
          <t>CNY</t>
        </is>
      </c>
      <c r="I193" t="inlineStr">
        <is>
          <t>CNY</t>
        </is>
      </c>
      <c r="J193" t="inlineStr">
        <is>
          <t>ok</t>
        </is>
      </c>
      <c r="L193" t="b">
        <v>0</v>
      </c>
      <c r="M193" t="inlineStr">
        <is>
          <t>东方财富</t>
        </is>
      </c>
      <c r="N193" t="b">
        <v>1</v>
      </c>
    </row>
    <row r="194">
      <c r="A194" t="inlineStr">
        <is>
          <t>A股</t>
        </is>
      </c>
      <c r="B194" t="inlineStr">
        <is>
          <t>920837</t>
        </is>
      </c>
      <c r="C194" t="inlineStr">
        <is>
          <t>华原股份</t>
        </is>
      </c>
      <c r="D194" t="inlineStr">
        <is>
          <t>年度财务</t>
        </is>
      </c>
      <c r="E194" t="inlineStr">
        <is>
          <t>东方财富</t>
        </is>
      </c>
      <c r="F194" t="inlineStr">
        <is>
          <t>RPT_LICO_FN_CPD + RPT_DMSK_FN_CASHFLOW；巨潮回退原因：未配置巨潮官方 API 凭证/端点（CNINFO_ACCESS_TOKEN、CNINFO_INCOME_API_URL、CNINFO_CASHFLOW_API_URL）</t>
        </is>
      </c>
      <c r="G194" s="32" t="n">
        <v>46263.261464499</v>
      </c>
      <c r="H194" t="inlineStr">
        <is>
          <t>CNY</t>
        </is>
      </c>
      <c r="I194" t="inlineStr">
        <is>
          <t>CNY</t>
        </is>
      </c>
      <c r="J194" t="inlineStr">
        <is>
          <t>ok</t>
        </is>
      </c>
      <c r="L194" t="b">
        <v>1</v>
      </c>
      <c r="M194" t="inlineStr">
        <is>
          <t>巨潮资讯（CNINFO Data Service）</t>
        </is>
      </c>
      <c r="N194" t="b">
        <v>1</v>
      </c>
    </row>
    <row r="195">
      <c r="A195" t="inlineStr">
        <is>
          <t>A股</t>
        </is>
      </c>
      <c r="B195" t="inlineStr">
        <is>
          <t>920837</t>
        </is>
      </c>
      <c r="C195" t="inlineStr">
        <is>
          <t>华原股份</t>
        </is>
      </c>
      <c r="D195" t="inlineStr">
        <is>
          <t>上市与发行信息</t>
        </is>
      </c>
      <c r="E195" t="inlineStr">
        <is>
          <t>东方财富</t>
        </is>
      </c>
      <c r="F195" t="inlineStr">
        <is>
          <t>RPT_PCF10_ORG_ISSUEINFO</t>
        </is>
      </c>
      <c r="G195" s="32" t="n">
        <v>46263.26156014238</v>
      </c>
      <c r="H195" t="inlineStr">
        <is>
          <t>CNY</t>
        </is>
      </c>
      <c r="I195" t="inlineStr">
        <is>
          <t>CNY</t>
        </is>
      </c>
      <c r="J195" t="inlineStr">
        <is>
          <t>ok</t>
        </is>
      </c>
      <c r="L195" t="b">
        <v>0</v>
      </c>
      <c r="M195" t="inlineStr">
        <is>
          <t>东方财富</t>
        </is>
      </c>
      <c r="N195" t="b">
        <v>1</v>
      </c>
    </row>
    <row r="196">
      <c r="A196" t="inlineStr">
        <is>
          <t>A股</t>
        </is>
      </c>
      <c r="B196" t="inlineStr">
        <is>
          <t>920837</t>
        </is>
      </c>
      <c r="C196" t="inlineStr">
        <is>
          <t>华原股份</t>
        </is>
      </c>
      <c r="D196" t="inlineStr">
        <is>
          <t>资金流</t>
        </is>
      </c>
      <c r="E196" t="inlineStr">
        <is>
          <t>东方财富</t>
        </is>
      </c>
      <c r="F196" t="inlineStr">
        <is>
          <t>fast-mode-no-reliable-batch-endpoint</t>
        </is>
      </c>
      <c r="G196" s="32" t="n">
        <v>46263.26159564944</v>
      </c>
      <c r="I196" t="inlineStr">
        <is>
          <t>CNY</t>
        </is>
      </c>
      <c r="J196" t="inlineStr">
        <is>
          <t>optional_missing</t>
        </is>
      </c>
      <c r="K196" t="inlineStr">
        <is>
          <t>快速模式未发现可靠的批量近五个交易日同口径字段，为避免逐股慢请求，本次留空</t>
        </is>
      </c>
      <c r="L196" t="b">
        <v>0</v>
      </c>
      <c r="M196" t="inlineStr">
        <is>
          <t>东方财富</t>
        </is>
      </c>
      <c r="N196" t="b">
        <v>1</v>
      </c>
    </row>
    <row r="197">
      <c r="A197" t="inlineStr">
        <is>
          <t>A股</t>
        </is>
      </c>
      <c r="B197" t="inlineStr">
        <is>
          <t>920834</t>
        </is>
      </c>
      <c r="C197" t="inlineStr">
        <is>
          <t>三维装备</t>
        </is>
      </c>
      <c r="D197" t="inlineStr">
        <is>
          <t>最新行情</t>
        </is>
      </c>
      <c r="E197" t="inlineStr">
        <is>
          <t>东方财富</t>
        </is>
      </c>
      <c r="F197" t="inlineStr">
        <is>
          <t>push2 ulist.np/get f2,f20（按指定证券分批）</t>
        </is>
      </c>
      <c r="G197" s="32" t="n">
        <v>46263.26140913873</v>
      </c>
      <c r="H197" t="inlineStr">
        <is>
          <t>CNY</t>
        </is>
      </c>
      <c r="I197" t="inlineStr">
        <is>
          <t>CNY</t>
        </is>
      </c>
      <c r="J197" t="inlineStr">
        <is>
          <t>ok</t>
        </is>
      </c>
      <c r="L197" t="b">
        <v>0</v>
      </c>
      <c r="M197" t="inlineStr">
        <is>
          <t>东方财富</t>
        </is>
      </c>
      <c r="N197" t="b">
        <v>1</v>
      </c>
    </row>
    <row r="198">
      <c r="A198" t="inlineStr">
        <is>
          <t>A股</t>
        </is>
      </c>
      <c r="B198" t="inlineStr">
        <is>
          <t>920834</t>
        </is>
      </c>
      <c r="C198" t="inlineStr">
        <is>
          <t>三维装备</t>
        </is>
      </c>
      <c r="D198" t="inlineStr">
        <is>
          <t>大宗交易</t>
        </is>
      </c>
      <c r="E198" t="inlineStr">
        <is>
          <t>东方财富</t>
        </is>
      </c>
      <c r="F198" t="inlineStr">
        <is>
          <t>RPT_DATA_BLOCKTRADE 2026（全市场分页后本地聚合）</t>
        </is>
      </c>
      <c r="G198" s="32" t="n">
        <v>46263.26141482598</v>
      </c>
      <c r="H198" t="inlineStr">
        <is>
          <t>CNY</t>
        </is>
      </c>
      <c r="I198" t="inlineStr">
        <is>
          <t>CNY</t>
        </is>
      </c>
      <c r="J198" t="inlineStr">
        <is>
          <t>ok</t>
        </is>
      </c>
      <c r="L198" t="b">
        <v>0</v>
      </c>
      <c r="M198" t="inlineStr">
        <is>
          <t>东方财富</t>
        </is>
      </c>
      <c r="N198" t="b">
        <v>1</v>
      </c>
    </row>
    <row r="199">
      <c r="A199" t="inlineStr">
        <is>
          <t>A股</t>
        </is>
      </c>
      <c r="B199" t="inlineStr">
        <is>
          <t>920834</t>
        </is>
      </c>
      <c r="C199" t="inlineStr">
        <is>
          <t>三维装备</t>
        </is>
      </c>
      <c r="D199" t="inlineStr">
        <is>
          <t>年度财务</t>
        </is>
      </c>
      <c r="E199" t="inlineStr">
        <is>
          <t>东方财富</t>
        </is>
      </c>
      <c r="F199" t="inlineStr">
        <is>
          <t>RPT_LICO_FN_CPD + RPT_DMSK_FN_CASHFLOW；巨潮回退原因：未配置巨潮官方 API 凭证/端点（CNINFO_ACCESS_TOKEN、CNINFO_INCOME_API_URL、CNINFO_CASHFLOW_API_URL）</t>
        </is>
      </c>
      <c r="G199" s="32" t="n">
        <v>46263.26146614881</v>
      </c>
      <c r="H199" t="inlineStr">
        <is>
          <t>CNY</t>
        </is>
      </c>
      <c r="I199" t="inlineStr">
        <is>
          <t>CNY</t>
        </is>
      </c>
      <c r="J199" t="inlineStr">
        <is>
          <t>ok</t>
        </is>
      </c>
      <c r="L199" t="b">
        <v>1</v>
      </c>
      <c r="M199" t="inlineStr">
        <is>
          <t>巨潮资讯（CNINFO Data Service）</t>
        </is>
      </c>
      <c r="N199" t="b">
        <v>1</v>
      </c>
    </row>
    <row r="200">
      <c r="A200" t="inlineStr">
        <is>
          <t>A股</t>
        </is>
      </c>
      <c r="B200" t="inlineStr">
        <is>
          <t>920834</t>
        </is>
      </c>
      <c r="C200" t="inlineStr">
        <is>
          <t>三维装备</t>
        </is>
      </c>
      <c r="D200" t="inlineStr">
        <is>
          <t>上市与发行信息</t>
        </is>
      </c>
      <c r="E200" t="inlineStr">
        <is>
          <t>东方财富</t>
        </is>
      </c>
      <c r="F200" t="inlineStr">
        <is>
          <t>RPT_PCF10_ORG_ISSUEINFO</t>
        </is>
      </c>
      <c r="G200" s="32" t="n">
        <v>46263.26156089042</v>
      </c>
      <c r="H200" t="inlineStr">
        <is>
          <t>CNY</t>
        </is>
      </c>
      <c r="I200" t="inlineStr">
        <is>
          <t>CNY</t>
        </is>
      </c>
      <c r="J200" t="inlineStr">
        <is>
          <t>ok</t>
        </is>
      </c>
      <c r="L200" t="b">
        <v>0</v>
      </c>
      <c r="M200" t="inlineStr">
        <is>
          <t>东方财富</t>
        </is>
      </c>
      <c r="N200" t="b">
        <v>1</v>
      </c>
    </row>
    <row r="201">
      <c r="A201" t="inlineStr">
        <is>
          <t>A股</t>
        </is>
      </c>
      <c r="B201" t="inlineStr">
        <is>
          <t>920834</t>
        </is>
      </c>
      <c r="C201" t="inlineStr">
        <is>
          <t>三维装备</t>
        </is>
      </c>
      <c r="D201" t="inlineStr">
        <is>
          <t>资金流</t>
        </is>
      </c>
      <c r="E201" t="inlineStr">
        <is>
          <t>东方财富</t>
        </is>
      </c>
      <c r="F201" t="inlineStr">
        <is>
          <t>fast-mode-no-reliable-batch-endpoint</t>
        </is>
      </c>
      <c r="G201" s="32" t="n">
        <v>46263.26159564944</v>
      </c>
      <c r="I201" t="inlineStr">
        <is>
          <t>CNY</t>
        </is>
      </c>
      <c r="J201" t="inlineStr">
        <is>
          <t>optional_missing</t>
        </is>
      </c>
      <c r="K201" t="inlineStr">
        <is>
          <t>快速模式未发现可靠的批量近五个交易日同口径字段，为避免逐股慢请求，本次留空</t>
        </is>
      </c>
      <c r="L201" t="b">
        <v>0</v>
      </c>
      <c r="M201" t="inlineStr">
        <is>
          <t>东方财富</t>
        </is>
      </c>
      <c r="N201" t="b">
        <v>1</v>
      </c>
    </row>
    <row r="202">
      <c r="A202" t="inlineStr">
        <is>
          <t>A股</t>
        </is>
      </c>
      <c r="B202" t="inlineStr">
        <is>
          <t>920833</t>
        </is>
      </c>
      <c r="C202" t="inlineStr">
        <is>
          <t>美心翼申</t>
        </is>
      </c>
      <c r="D202" t="inlineStr">
        <is>
          <t>最新行情</t>
        </is>
      </c>
      <c r="E202" t="inlineStr">
        <is>
          <t>东方财富</t>
        </is>
      </c>
      <c r="F202" t="inlineStr">
        <is>
          <t>push2 ulist.np/get f2,f20（按指定证券分批）</t>
        </is>
      </c>
      <c r="G202" s="32" t="n">
        <v>46263.26140913873</v>
      </c>
      <c r="H202" t="inlineStr">
        <is>
          <t>CNY</t>
        </is>
      </c>
      <c r="I202" t="inlineStr">
        <is>
          <t>CNY</t>
        </is>
      </c>
      <c r="J202" t="inlineStr">
        <is>
          <t>ok</t>
        </is>
      </c>
      <c r="L202" t="b">
        <v>0</v>
      </c>
      <c r="M202" t="inlineStr">
        <is>
          <t>东方财富</t>
        </is>
      </c>
      <c r="N202" t="b">
        <v>1</v>
      </c>
    </row>
    <row r="203">
      <c r="A203" t="inlineStr">
        <is>
          <t>A股</t>
        </is>
      </c>
      <c r="B203" t="inlineStr">
        <is>
          <t>920833</t>
        </is>
      </c>
      <c r="C203" t="inlineStr">
        <is>
          <t>美心翼申</t>
        </is>
      </c>
      <c r="D203" t="inlineStr">
        <is>
          <t>大宗交易</t>
        </is>
      </c>
      <c r="E203" t="inlineStr">
        <is>
          <t>东方财富</t>
        </is>
      </c>
      <c r="F203" t="inlineStr">
        <is>
          <t>RPT_DATA_BLOCKTRADE 2026（全市场分页后本地聚合）</t>
        </is>
      </c>
      <c r="G203" s="32" t="n">
        <v>46263.26141482598</v>
      </c>
      <c r="H203" t="inlineStr">
        <is>
          <t>CNY</t>
        </is>
      </c>
      <c r="I203" t="inlineStr">
        <is>
          <t>CNY</t>
        </is>
      </c>
      <c r="J203" t="inlineStr">
        <is>
          <t>ok</t>
        </is>
      </c>
      <c r="L203" t="b">
        <v>0</v>
      </c>
      <c r="M203" t="inlineStr">
        <is>
          <t>东方财富</t>
        </is>
      </c>
      <c r="N203" t="b">
        <v>1</v>
      </c>
    </row>
    <row r="204">
      <c r="A204" t="inlineStr">
        <is>
          <t>A股</t>
        </is>
      </c>
      <c r="B204" t="inlineStr">
        <is>
          <t>920833</t>
        </is>
      </c>
      <c r="C204" t="inlineStr">
        <is>
          <t>美心翼申</t>
        </is>
      </c>
      <c r="D204" t="inlineStr">
        <is>
          <t>年度财务</t>
        </is>
      </c>
      <c r="E204" t="inlineStr">
        <is>
          <t>东方财富</t>
        </is>
      </c>
      <c r="F204" t="inlineStr">
        <is>
          <t>RPT_LICO_FN_CPD + RPT_DMSK_FN_CASHFLOW；巨潮回退原因：未配置巨潮官方 API 凭证/端点（CNINFO_ACCESS_TOKEN、CNINFO_INCOME_API_URL、CNINFO_CASHFLOW_API_URL）</t>
        </is>
      </c>
      <c r="G204" s="32" t="n">
        <v>46263.26146605121</v>
      </c>
      <c r="H204" t="inlineStr">
        <is>
          <t>CNY</t>
        </is>
      </c>
      <c r="I204" t="inlineStr">
        <is>
          <t>CNY</t>
        </is>
      </c>
      <c r="J204" t="inlineStr">
        <is>
          <t>ok</t>
        </is>
      </c>
      <c r="L204" t="b">
        <v>1</v>
      </c>
      <c r="M204" t="inlineStr">
        <is>
          <t>巨潮资讯（CNINFO Data Service）</t>
        </is>
      </c>
      <c r="N204" t="b">
        <v>1</v>
      </c>
    </row>
    <row r="205">
      <c r="A205" t="inlineStr">
        <is>
          <t>A股</t>
        </is>
      </c>
      <c r="B205" t="inlineStr">
        <is>
          <t>920833</t>
        </is>
      </c>
      <c r="C205" t="inlineStr">
        <is>
          <t>美心翼申</t>
        </is>
      </c>
      <c r="D205" t="inlineStr">
        <is>
          <t>上市与发行信息</t>
        </is>
      </c>
      <c r="E205" t="inlineStr">
        <is>
          <t>东方财富</t>
        </is>
      </c>
      <c r="F205" t="inlineStr">
        <is>
          <t>RPT_PCF10_ORG_ISSUEINFO</t>
        </is>
      </c>
      <c r="G205" s="32" t="n">
        <v>46263.26156138049</v>
      </c>
      <c r="H205" t="inlineStr">
        <is>
          <t>CNY</t>
        </is>
      </c>
      <c r="I205" t="inlineStr">
        <is>
          <t>CNY</t>
        </is>
      </c>
      <c r="J205" t="inlineStr">
        <is>
          <t>ok</t>
        </is>
      </c>
      <c r="L205" t="b">
        <v>0</v>
      </c>
      <c r="M205" t="inlineStr">
        <is>
          <t>东方财富</t>
        </is>
      </c>
      <c r="N205" t="b">
        <v>1</v>
      </c>
    </row>
    <row r="206">
      <c r="A206" t="inlineStr">
        <is>
          <t>A股</t>
        </is>
      </c>
      <c r="B206" t="inlineStr">
        <is>
          <t>920833</t>
        </is>
      </c>
      <c r="C206" t="inlineStr">
        <is>
          <t>美心翼申</t>
        </is>
      </c>
      <c r="D206" t="inlineStr">
        <is>
          <t>资金流</t>
        </is>
      </c>
      <c r="E206" t="inlineStr">
        <is>
          <t>东方财富</t>
        </is>
      </c>
      <c r="F206" t="inlineStr">
        <is>
          <t>fast-mode-no-reliable-batch-endpoint</t>
        </is>
      </c>
      <c r="G206" s="32" t="n">
        <v>46263.26159564944</v>
      </c>
      <c r="I206" t="inlineStr">
        <is>
          <t>CNY</t>
        </is>
      </c>
      <c r="J206" t="inlineStr">
        <is>
          <t>optional_missing</t>
        </is>
      </c>
      <c r="K206" t="inlineStr">
        <is>
          <t>快速模式未发现可靠的批量近五个交易日同口径字段，为避免逐股慢请求，本次留空</t>
        </is>
      </c>
      <c r="L206" t="b">
        <v>0</v>
      </c>
      <c r="M206" t="inlineStr">
        <is>
          <t>东方财富</t>
        </is>
      </c>
      <c r="N206" t="b">
        <v>1</v>
      </c>
    </row>
    <row r="207">
      <c r="A207" t="inlineStr">
        <is>
          <t>A股</t>
        </is>
      </c>
      <c r="B207" t="inlineStr">
        <is>
          <t>920832</t>
        </is>
      </c>
      <c r="C207" t="inlineStr">
        <is>
          <t>齐鲁华信</t>
        </is>
      </c>
      <c r="D207" t="inlineStr">
        <is>
          <t>最新行情</t>
        </is>
      </c>
      <c r="E207" t="inlineStr">
        <is>
          <t>东方财富</t>
        </is>
      </c>
      <c r="F207" t="inlineStr">
        <is>
          <t>push2 ulist.np/get f2,f20（按指定证券分批）</t>
        </is>
      </c>
      <c r="G207" s="32" t="n">
        <v>46263.26140913873</v>
      </c>
      <c r="H207" t="inlineStr">
        <is>
          <t>CNY</t>
        </is>
      </c>
      <c r="I207" t="inlineStr">
        <is>
          <t>CNY</t>
        </is>
      </c>
      <c r="J207" t="inlineStr">
        <is>
          <t>ok</t>
        </is>
      </c>
      <c r="L207" t="b">
        <v>0</v>
      </c>
      <c r="M207" t="inlineStr">
        <is>
          <t>东方财富</t>
        </is>
      </c>
      <c r="N207" t="b">
        <v>1</v>
      </c>
    </row>
    <row r="208">
      <c r="A208" t="inlineStr">
        <is>
          <t>A股</t>
        </is>
      </c>
      <c r="B208" t="inlineStr">
        <is>
          <t>920832</t>
        </is>
      </c>
      <c r="C208" t="inlineStr">
        <is>
          <t>齐鲁华信</t>
        </is>
      </c>
      <c r="D208" t="inlineStr">
        <is>
          <t>大宗交易</t>
        </is>
      </c>
      <c r="E208" t="inlineStr">
        <is>
          <t>东方财富</t>
        </is>
      </c>
      <c r="F208" t="inlineStr">
        <is>
          <t>RPT_DATA_BLOCKTRADE 2026（全市场分页后本地聚合）</t>
        </is>
      </c>
      <c r="G208" s="32" t="n">
        <v>46263.26141482598</v>
      </c>
      <c r="H208" t="inlineStr">
        <is>
          <t>CNY</t>
        </is>
      </c>
      <c r="I208" t="inlineStr">
        <is>
          <t>CNY</t>
        </is>
      </c>
      <c r="J208" t="inlineStr">
        <is>
          <t>ok</t>
        </is>
      </c>
      <c r="L208" t="b">
        <v>0</v>
      </c>
      <c r="M208" t="inlineStr">
        <is>
          <t>东方财富</t>
        </is>
      </c>
      <c r="N208" t="b">
        <v>1</v>
      </c>
    </row>
    <row r="209">
      <c r="A209" t="inlineStr">
        <is>
          <t>A股</t>
        </is>
      </c>
      <c r="B209" t="inlineStr">
        <is>
          <t>920832</t>
        </is>
      </c>
      <c r="C209" t="inlineStr">
        <is>
          <t>齐鲁华信</t>
        </is>
      </c>
      <c r="D209" t="inlineStr">
        <is>
          <t>年度财务</t>
        </is>
      </c>
      <c r="E209" t="inlineStr">
        <is>
          <t>东方财富</t>
        </is>
      </c>
      <c r="F209" t="inlineStr">
        <is>
          <t>RPT_LICO_FN_CPD + RPT_DMSK_FN_CASHFLOW；巨潮回退原因：未配置巨潮官方 API 凭证/端点（CNINFO_ACCESS_TOKEN、CNINFO_INCOME_API_URL、CNINFO_CASHFLOW_API_URL）</t>
        </is>
      </c>
      <c r="G209" s="32" t="n">
        <v>46263.26147008716</v>
      </c>
      <c r="H209" t="inlineStr">
        <is>
          <t>CNY</t>
        </is>
      </c>
      <c r="I209" t="inlineStr">
        <is>
          <t>CNY</t>
        </is>
      </c>
      <c r="J209" t="inlineStr">
        <is>
          <t>ok</t>
        </is>
      </c>
      <c r="L209" t="b">
        <v>1</v>
      </c>
      <c r="M209" t="inlineStr">
        <is>
          <t>巨潮资讯（CNINFO Data Service）</t>
        </is>
      </c>
      <c r="N209" t="b">
        <v>1</v>
      </c>
    </row>
    <row r="210">
      <c r="A210" t="inlineStr">
        <is>
          <t>A股</t>
        </is>
      </c>
      <c r="B210" t="inlineStr">
        <is>
          <t>920832</t>
        </is>
      </c>
      <c r="C210" t="inlineStr">
        <is>
          <t>齐鲁华信</t>
        </is>
      </c>
      <c r="D210" t="inlineStr">
        <is>
          <t>上市与发行信息</t>
        </is>
      </c>
      <c r="E210" t="inlineStr">
        <is>
          <t>东方财富</t>
        </is>
      </c>
      <c r="F210" t="inlineStr">
        <is>
          <t>RPT_PCF10_ORG_ISSUEINFO</t>
        </is>
      </c>
      <c r="G210" s="32" t="n">
        <v>46263.26156207298</v>
      </c>
      <c r="H210" t="inlineStr">
        <is>
          <t>CNY</t>
        </is>
      </c>
      <c r="I210" t="inlineStr">
        <is>
          <t>CNY</t>
        </is>
      </c>
      <c r="J210" t="inlineStr">
        <is>
          <t>ok</t>
        </is>
      </c>
      <c r="L210" t="b">
        <v>0</v>
      </c>
      <c r="M210" t="inlineStr">
        <is>
          <t>东方财富</t>
        </is>
      </c>
      <c r="N210" t="b">
        <v>1</v>
      </c>
    </row>
    <row r="211">
      <c r="A211" t="inlineStr">
        <is>
          <t>A股</t>
        </is>
      </c>
      <c r="B211" t="inlineStr">
        <is>
          <t>920832</t>
        </is>
      </c>
      <c r="C211" t="inlineStr">
        <is>
          <t>齐鲁华信</t>
        </is>
      </c>
      <c r="D211" t="inlineStr">
        <is>
          <t>资金流</t>
        </is>
      </c>
      <c r="E211" t="inlineStr">
        <is>
          <t>东方财富</t>
        </is>
      </c>
      <c r="F211" t="inlineStr">
        <is>
          <t>fast-mode-no-reliable-batch-endpoint</t>
        </is>
      </c>
      <c r="G211" s="32" t="n">
        <v>46263.26159564944</v>
      </c>
      <c r="I211" t="inlineStr">
        <is>
          <t>CNY</t>
        </is>
      </c>
      <c r="J211" t="inlineStr">
        <is>
          <t>optional_missing</t>
        </is>
      </c>
      <c r="K211" t="inlineStr">
        <is>
          <t>快速模式未发现可靠的批量近五个交易日同口径字段，为避免逐股慢请求，本次留空</t>
        </is>
      </c>
      <c r="L211" t="b">
        <v>0</v>
      </c>
      <c r="M211" t="inlineStr">
        <is>
          <t>东方财富</t>
        </is>
      </c>
      <c r="N211" t="b">
        <v>1</v>
      </c>
    </row>
    <row r="212">
      <c r="A212" t="inlineStr">
        <is>
          <t>A股</t>
        </is>
      </c>
      <c r="B212" t="inlineStr">
        <is>
          <t>920826</t>
        </is>
      </c>
      <c r="C212" t="inlineStr">
        <is>
          <t>盖世食品</t>
        </is>
      </c>
      <c r="D212" t="inlineStr">
        <is>
          <t>最新行情</t>
        </is>
      </c>
      <c r="E212" t="inlineStr">
        <is>
          <t>东方财富</t>
        </is>
      </c>
      <c r="F212" t="inlineStr">
        <is>
          <t>push2 ulist.np/get f2,f20（按指定证券分批）</t>
        </is>
      </c>
      <c r="G212" s="32" t="n">
        <v>46263.26140913873</v>
      </c>
      <c r="H212" t="inlineStr">
        <is>
          <t>CNY</t>
        </is>
      </c>
      <c r="I212" t="inlineStr">
        <is>
          <t>CNY</t>
        </is>
      </c>
      <c r="J212" t="inlineStr">
        <is>
          <t>ok</t>
        </is>
      </c>
      <c r="L212" t="b">
        <v>0</v>
      </c>
      <c r="M212" t="inlineStr">
        <is>
          <t>东方财富</t>
        </is>
      </c>
      <c r="N212" t="b">
        <v>1</v>
      </c>
    </row>
    <row r="213">
      <c r="A213" t="inlineStr">
        <is>
          <t>A股</t>
        </is>
      </c>
      <c r="B213" t="inlineStr">
        <is>
          <t>920826</t>
        </is>
      </c>
      <c r="C213" t="inlineStr">
        <is>
          <t>盖世食品</t>
        </is>
      </c>
      <c r="D213" t="inlineStr">
        <is>
          <t>大宗交易</t>
        </is>
      </c>
      <c r="E213" t="inlineStr">
        <is>
          <t>东方财富</t>
        </is>
      </c>
      <c r="F213" t="inlineStr">
        <is>
          <t>RPT_DATA_BLOCKTRADE 2026（全市场分页后本地聚合）</t>
        </is>
      </c>
      <c r="G213" s="32" t="n">
        <v>46263.26141482598</v>
      </c>
      <c r="H213" t="inlineStr">
        <is>
          <t>CNY</t>
        </is>
      </c>
      <c r="I213" t="inlineStr">
        <is>
          <t>CNY</t>
        </is>
      </c>
      <c r="J213" t="inlineStr">
        <is>
          <t>ok</t>
        </is>
      </c>
      <c r="L213" t="b">
        <v>0</v>
      </c>
      <c r="M213" t="inlineStr">
        <is>
          <t>东方财富</t>
        </is>
      </c>
      <c r="N213" t="b">
        <v>1</v>
      </c>
    </row>
    <row r="214">
      <c r="A214" t="inlineStr">
        <is>
          <t>A股</t>
        </is>
      </c>
      <c r="B214" t="inlineStr">
        <is>
          <t>920826</t>
        </is>
      </c>
      <c r="C214" t="inlineStr">
        <is>
          <t>盖世食品</t>
        </is>
      </c>
      <c r="D214" t="inlineStr">
        <is>
          <t>年度财务</t>
        </is>
      </c>
      <c r="E214" t="inlineStr">
        <is>
          <t>东方财富</t>
        </is>
      </c>
      <c r="F214" t="inlineStr">
        <is>
          <t>RPT_LICO_FN_CPD + RPT_DMSK_FN_CASHFLOW；巨潮回退原因：未配置巨潮官方 API 凭证/端点（CNINFO_ACCESS_TOKEN、CNINFO_INCOME_API_URL、CNINFO_CASHFLOW_API_URL）</t>
        </is>
      </c>
      <c r="G214" s="32" t="n">
        <v>46263.26147381831</v>
      </c>
      <c r="H214" t="inlineStr">
        <is>
          <t>CNY</t>
        </is>
      </c>
      <c r="I214" t="inlineStr">
        <is>
          <t>CNY</t>
        </is>
      </c>
      <c r="J214" t="inlineStr">
        <is>
          <t>ok</t>
        </is>
      </c>
      <c r="L214" t="b">
        <v>1</v>
      </c>
      <c r="M214" t="inlineStr">
        <is>
          <t>巨潮资讯（CNINFO Data Service）</t>
        </is>
      </c>
      <c r="N214" t="b">
        <v>1</v>
      </c>
    </row>
    <row r="215">
      <c r="A215" t="inlineStr">
        <is>
          <t>A股</t>
        </is>
      </c>
      <c r="B215" t="inlineStr">
        <is>
          <t>920826</t>
        </is>
      </c>
      <c r="C215" t="inlineStr">
        <is>
          <t>盖世食品</t>
        </is>
      </c>
      <c r="D215" t="inlineStr">
        <is>
          <t>上市与发行信息</t>
        </is>
      </c>
      <c r="E215" t="inlineStr">
        <is>
          <t>东方财富</t>
        </is>
      </c>
      <c r="F215" t="inlineStr">
        <is>
          <t>RPT_PCF10_ORG_ISSUEINFO</t>
        </is>
      </c>
      <c r="G215" s="32" t="n">
        <v>46263.261562592</v>
      </c>
      <c r="H215" t="inlineStr">
        <is>
          <t>CNY</t>
        </is>
      </c>
      <c r="I215" t="inlineStr">
        <is>
          <t>CNY</t>
        </is>
      </c>
      <c r="J215" t="inlineStr">
        <is>
          <t>ok</t>
        </is>
      </c>
      <c r="L215" t="b">
        <v>0</v>
      </c>
      <c r="M215" t="inlineStr">
        <is>
          <t>东方财富</t>
        </is>
      </c>
      <c r="N215" t="b">
        <v>1</v>
      </c>
    </row>
    <row r="216">
      <c r="A216" t="inlineStr">
        <is>
          <t>A股</t>
        </is>
      </c>
      <c r="B216" t="inlineStr">
        <is>
          <t>920826</t>
        </is>
      </c>
      <c r="C216" t="inlineStr">
        <is>
          <t>盖世食品</t>
        </is>
      </c>
      <c r="D216" t="inlineStr">
        <is>
          <t>资金流</t>
        </is>
      </c>
      <c r="E216" t="inlineStr">
        <is>
          <t>东方财富</t>
        </is>
      </c>
      <c r="F216" t="inlineStr">
        <is>
          <t>fast-mode-no-reliable-batch-endpoint</t>
        </is>
      </c>
      <c r="G216" s="32" t="n">
        <v>46263.26159564944</v>
      </c>
      <c r="I216" t="inlineStr">
        <is>
          <t>CNY</t>
        </is>
      </c>
      <c r="J216" t="inlineStr">
        <is>
          <t>optional_missing</t>
        </is>
      </c>
      <c r="K216" t="inlineStr">
        <is>
          <t>快速模式未发现可靠的批量近五个交易日同口径字段，为避免逐股慢请求，本次留空</t>
        </is>
      </c>
      <c r="L216" t="b">
        <v>0</v>
      </c>
      <c r="M216" t="inlineStr">
        <is>
          <t>东方财富</t>
        </is>
      </c>
      <c r="N216" t="b">
        <v>1</v>
      </c>
    </row>
    <row r="217">
      <c r="A217" t="inlineStr">
        <is>
          <t>A股</t>
        </is>
      </c>
      <c r="B217" t="inlineStr">
        <is>
          <t>920821</t>
        </is>
      </c>
      <c r="C217" t="inlineStr">
        <is>
          <t>则成电子</t>
        </is>
      </c>
      <c r="D217" t="inlineStr">
        <is>
          <t>最新行情</t>
        </is>
      </c>
      <c r="E217" t="inlineStr">
        <is>
          <t>东方财富</t>
        </is>
      </c>
      <c r="F217" t="inlineStr">
        <is>
          <t>push2 ulist.np/get f2,f20（按指定证券分批）</t>
        </is>
      </c>
      <c r="G217" s="32" t="n">
        <v>46263.26140913873</v>
      </c>
      <c r="H217" t="inlineStr">
        <is>
          <t>CNY</t>
        </is>
      </c>
      <c r="I217" t="inlineStr">
        <is>
          <t>CNY</t>
        </is>
      </c>
      <c r="J217" t="inlineStr">
        <is>
          <t>ok</t>
        </is>
      </c>
      <c r="L217" t="b">
        <v>0</v>
      </c>
      <c r="M217" t="inlineStr">
        <is>
          <t>东方财富</t>
        </is>
      </c>
      <c r="N217" t="b">
        <v>1</v>
      </c>
    </row>
    <row r="218">
      <c r="A218" t="inlineStr">
        <is>
          <t>A股</t>
        </is>
      </c>
      <c r="B218" t="inlineStr">
        <is>
          <t>920821</t>
        </is>
      </c>
      <c r="C218" t="inlineStr">
        <is>
          <t>则成电子</t>
        </is>
      </c>
      <c r="D218" t="inlineStr">
        <is>
          <t>大宗交易</t>
        </is>
      </c>
      <c r="E218" t="inlineStr">
        <is>
          <t>东方财富</t>
        </is>
      </c>
      <c r="F218" t="inlineStr">
        <is>
          <t>RPT_DATA_BLOCKTRADE 2026（全市场分页后本地聚合）</t>
        </is>
      </c>
      <c r="G218" s="32" t="n">
        <v>46263.26141482598</v>
      </c>
      <c r="H218" t="inlineStr">
        <is>
          <t>CNY</t>
        </is>
      </c>
      <c r="I218" t="inlineStr">
        <is>
          <t>CNY</t>
        </is>
      </c>
      <c r="J218" t="inlineStr">
        <is>
          <t>ok</t>
        </is>
      </c>
      <c r="L218" t="b">
        <v>0</v>
      </c>
      <c r="M218" t="inlineStr">
        <is>
          <t>东方财富</t>
        </is>
      </c>
      <c r="N218" t="b">
        <v>1</v>
      </c>
    </row>
    <row r="219">
      <c r="A219" t="inlineStr">
        <is>
          <t>A股</t>
        </is>
      </c>
      <c r="B219" t="inlineStr">
        <is>
          <t>920821</t>
        </is>
      </c>
      <c r="C219" t="inlineStr">
        <is>
          <t>则成电子</t>
        </is>
      </c>
      <c r="D219" t="inlineStr">
        <is>
          <t>年度财务</t>
        </is>
      </c>
      <c r="E219" t="inlineStr">
        <is>
          <t>东方财富</t>
        </is>
      </c>
      <c r="F219" t="inlineStr">
        <is>
          <t>RPT_LICO_FN_CPD + RPT_DMSK_FN_CASHFLOW；巨潮回退原因：未配置巨潮官方 API 凭证/端点（CNINFO_ACCESS_TOKEN、CNINFO_INCOME_API_URL、CNINFO_CASHFLOW_API_URL）</t>
        </is>
      </c>
      <c r="G219" s="32" t="n">
        <v>46263.26147452322</v>
      </c>
      <c r="H219" t="inlineStr">
        <is>
          <t>CNY</t>
        </is>
      </c>
      <c r="I219" t="inlineStr">
        <is>
          <t>CNY</t>
        </is>
      </c>
      <c r="J219" t="inlineStr">
        <is>
          <t>ok</t>
        </is>
      </c>
      <c r="L219" t="b">
        <v>1</v>
      </c>
      <c r="M219" t="inlineStr">
        <is>
          <t>巨潮资讯（CNINFO Data Service）</t>
        </is>
      </c>
      <c r="N219" t="b">
        <v>1</v>
      </c>
    </row>
    <row r="220">
      <c r="A220" t="inlineStr">
        <is>
          <t>A股</t>
        </is>
      </c>
      <c r="B220" t="inlineStr">
        <is>
          <t>920821</t>
        </is>
      </c>
      <c r="C220" t="inlineStr">
        <is>
          <t>则成电子</t>
        </is>
      </c>
      <c r="D220" t="inlineStr">
        <is>
          <t>上市与发行信息</t>
        </is>
      </c>
      <c r="E220" t="inlineStr">
        <is>
          <t>东方财富</t>
        </is>
      </c>
      <c r="F220" t="inlineStr">
        <is>
          <t>RPT_PCF10_ORG_ISSUEINFO</t>
        </is>
      </c>
      <c r="G220" s="32" t="n">
        <v>46263.26156320073</v>
      </c>
      <c r="H220" t="inlineStr">
        <is>
          <t>CNY</t>
        </is>
      </c>
      <c r="I220" t="inlineStr">
        <is>
          <t>CNY</t>
        </is>
      </c>
      <c r="J220" t="inlineStr">
        <is>
          <t>ok</t>
        </is>
      </c>
      <c r="L220" t="b">
        <v>0</v>
      </c>
      <c r="M220" t="inlineStr">
        <is>
          <t>东方财富</t>
        </is>
      </c>
      <c r="N220" t="b">
        <v>1</v>
      </c>
    </row>
    <row r="221">
      <c r="A221" t="inlineStr">
        <is>
          <t>A股</t>
        </is>
      </c>
      <c r="B221" t="inlineStr">
        <is>
          <t>920821</t>
        </is>
      </c>
      <c r="C221" t="inlineStr">
        <is>
          <t>则成电子</t>
        </is>
      </c>
      <c r="D221" t="inlineStr">
        <is>
          <t>资金流</t>
        </is>
      </c>
      <c r="E221" t="inlineStr">
        <is>
          <t>东方财富</t>
        </is>
      </c>
      <c r="F221" t="inlineStr">
        <is>
          <t>fast-mode-no-reliable-batch-endpoint</t>
        </is>
      </c>
      <c r="G221" s="32" t="n">
        <v>46263.26159564944</v>
      </c>
      <c r="I221" t="inlineStr">
        <is>
          <t>CNY</t>
        </is>
      </c>
      <c r="J221" t="inlineStr">
        <is>
          <t>optional_missing</t>
        </is>
      </c>
      <c r="K221" t="inlineStr">
        <is>
          <t>快速模式未发现可靠的批量近五个交易日同口径字段，为避免逐股慢请求，本次留空</t>
        </is>
      </c>
      <c r="L221" t="b">
        <v>0</v>
      </c>
      <c r="M221" t="inlineStr">
        <is>
          <t>东方财富</t>
        </is>
      </c>
      <c r="N221" t="b">
        <v>1</v>
      </c>
    </row>
    <row r="222">
      <c r="A222" t="inlineStr">
        <is>
          <t>A股</t>
        </is>
      </c>
      <c r="B222" t="inlineStr">
        <is>
          <t>920819</t>
        </is>
      </c>
      <c r="C222" t="inlineStr">
        <is>
          <t>颖泰生物</t>
        </is>
      </c>
      <c r="D222" t="inlineStr">
        <is>
          <t>最新行情</t>
        </is>
      </c>
      <c r="E222" t="inlineStr">
        <is>
          <t>东方财富</t>
        </is>
      </c>
      <c r="F222" t="inlineStr">
        <is>
          <t>push2 ulist.np/get f2,f20（按指定证券分批）</t>
        </is>
      </c>
      <c r="G222" s="32" t="n">
        <v>46263.26140913873</v>
      </c>
      <c r="H222" t="inlineStr">
        <is>
          <t>CNY</t>
        </is>
      </c>
      <c r="I222" t="inlineStr">
        <is>
          <t>CNY</t>
        </is>
      </c>
      <c r="J222" t="inlineStr">
        <is>
          <t>ok</t>
        </is>
      </c>
      <c r="L222" t="b">
        <v>0</v>
      </c>
      <c r="M222" t="inlineStr">
        <is>
          <t>东方财富</t>
        </is>
      </c>
      <c r="N222" t="b">
        <v>1</v>
      </c>
    </row>
    <row r="223">
      <c r="A223" t="inlineStr">
        <is>
          <t>A股</t>
        </is>
      </c>
      <c r="B223" t="inlineStr">
        <is>
          <t>920819</t>
        </is>
      </c>
      <c r="C223" t="inlineStr">
        <is>
          <t>颖泰生物</t>
        </is>
      </c>
      <c r="D223" t="inlineStr">
        <is>
          <t>大宗交易</t>
        </is>
      </c>
      <c r="E223" t="inlineStr">
        <is>
          <t>东方财富</t>
        </is>
      </c>
      <c r="F223" t="inlineStr">
        <is>
          <t>RPT_DATA_BLOCKTRADE 2026（全市场分页后本地聚合）</t>
        </is>
      </c>
      <c r="G223" s="32" t="n">
        <v>46263.26141482598</v>
      </c>
      <c r="H223" t="inlineStr">
        <is>
          <t>CNY</t>
        </is>
      </c>
      <c r="I223" t="inlineStr">
        <is>
          <t>CNY</t>
        </is>
      </c>
      <c r="J223" t="inlineStr">
        <is>
          <t>ok</t>
        </is>
      </c>
      <c r="L223" t="b">
        <v>0</v>
      </c>
      <c r="M223" t="inlineStr">
        <is>
          <t>东方财富</t>
        </is>
      </c>
      <c r="N223" t="b">
        <v>1</v>
      </c>
    </row>
    <row r="224">
      <c r="A224" t="inlineStr">
        <is>
          <t>A股</t>
        </is>
      </c>
      <c r="B224" t="inlineStr">
        <is>
          <t>920819</t>
        </is>
      </c>
      <c r="C224" t="inlineStr">
        <is>
          <t>颖泰生物</t>
        </is>
      </c>
      <c r="D224" t="inlineStr">
        <is>
          <t>年度财务</t>
        </is>
      </c>
      <c r="E224" t="inlineStr">
        <is>
          <t>东方财富</t>
        </is>
      </c>
      <c r="F224" t="inlineStr">
        <is>
          <t>RPT_LICO_FN_CPD + RPT_DMSK_FN_CASHFLOW；巨潮回退原因：未配置巨潮官方 API 凭证/端点（CNINFO_ACCESS_TOKEN、CNINFO_INCOME_API_URL、CNINFO_CASHFLOW_API_URL）</t>
        </is>
      </c>
      <c r="G224" s="32" t="n">
        <v>46263.2614735145</v>
      </c>
      <c r="H224" t="inlineStr">
        <is>
          <t>CNY</t>
        </is>
      </c>
      <c r="I224" t="inlineStr">
        <is>
          <t>CNY</t>
        </is>
      </c>
      <c r="J224" t="inlineStr">
        <is>
          <t>ok</t>
        </is>
      </c>
      <c r="L224" t="b">
        <v>1</v>
      </c>
      <c r="M224" t="inlineStr">
        <is>
          <t>巨潮资讯（CNINFO Data Service）</t>
        </is>
      </c>
      <c r="N224" t="b">
        <v>1</v>
      </c>
    </row>
    <row r="225">
      <c r="A225" t="inlineStr">
        <is>
          <t>A股</t>
        </is>
      </c>
      <c r="B225" t="inlineStr">
        <is>
          <t>920819</t>
        </is>
      </c>
      <c r="C225" t="inlineStr">
        <is>
          <t>颖泰生物</t>
        </is>
      </c>
      <c r="D225" t="inlineStr">
        <is>
          <t>上市与发行信息</t>
        </is>
      </c>
      <c r="E225" t="inlineStr">
        <is>
          <t>东方财富</t>
        </is>
      </c>
      <c r="F225" t="inlineStr">
        <is>
          <t>RPT_PCF10_ORG_ISSUEINFO</t>
        </is>
      </c>
      <c r="G225" s="32" t="n">
        <v>46263.26156415066</v>
      </c>
      <c r="H225" t="inlineStr">
        <is>
          <t>CNY</t>
        </is>
      </c>
      <c r="I225" t="inlineStr">
        <is>
          <t>CNY</t>
        </is>
      </c>
      <c r="J225" t="inlineStr">
        <is>
          <t>ok</t>
        </is>
      </c>
      <c r="L225" t="b">
        <v>0</v>
      </c>
      <c r="M225" t="inlineStr">
        <is>
          <t>东方财富</t>
        </is>
      </c>
      <c r="N225" t="b">
        <v>1</v>
      </c>
    </row>
    <row r="226">
      <c r="A226" t="inlineStr">
        <is>
          <t>A股</t>
        </is>
      </c>
      <c r="B226" t="inlineStr">
        <is>
          <t>920819</t>
        </is>
      </c>
      <c r="C226" t="inlineStr">
        <is>
          <t>颖泰生物</t>
        </is>
      </c>
      <c r="D226" t="inlineStr">
        <is>
          <t>资金流</t>
        </is>
      </c>
      <c r="E226" t="inlineStr">
        <is>
          <t>东方财富</t>
        </is>
      </c>
      <c r="F226" t="inlineStr">
        <is>
          <t>fast-mode-no-reliable-batch-endpoint</t>
        </is>
      </c>
      <c r="G226" s="32" t="n">
        <v>46263.26159564944</v>
      </c>
      <c r="I226" t="inlineStr">
        <is>
          <t>CNY</t>
        </is>
      </c>
      <c r="J226" t="inlineStr">
        <is>
          <t>optional_missing</t>
        </is>
      </c>
      <c r="K226" t="inlineStr">
        <is>
          <t>快速模式未发现可靠的批量近五个交易日同口径字段，为避免逐股慢请求，本次留空</t>
        </is>
      </c>
      <c r="L226" t="b">
        <v>0</v>
      </c>
      <c r="M226" t="inlineStr">
        <is>
          <t>东方财富</t>
        </is>
      </c>
      <c r="N226" t="b">
        <v>1</v>
      </c>
    </row>
    <row r="227">
      <c r="A227" t="inlineStr">
        <is>
          <t>A股</t>
        </is>
      </c>
      <c r="B227" t="inlineStr">
        <is>
          <t>920810</t>
        </is>
      </c>
      <c r="C227" t="inlineStr">
        <is>
          <t>春光智能</t>
        </is>
      </c>
      <c r="D227" t="inlineStr">
        <is>
          <t>最新行情</t>
        </is>
      </c>
      <c r="E227" t="inlineStr">
        <is>
          <t>东方财富</t>
        </is>
      </c>
      <c r="F227" t="inlineStr">
        <is>
          <t>push2 ulist.np/get f2,f20（按指定证券分批）</t>
        </is>
      </c>
      <c r="G227" s="32" t="n">
        <v>46263.26140913873</v>
      </c>
      <c r="H227" t="inlineStr">
        <is>
          <t>CNY</t>
        </is>
      </c>
      <c r="I227" t="inlineStr">
        <is>
          <t>CNY</t>
        </is>
      </c>
      <c r="J227" t="inlineStr">
        <is>
          <t>ok</t>
        </is>
      </c>
      <c r="L227" t="b">
        <v>0</v>
      </c>
      <c r="M227" t="inlineStr">
        <is>
          <t>东方财富</t>
        </is>
      </c>
      <c r="N227" t="b">
        <v>1</v>
      </c>
    </row>
    <row r="228">
      <c r="A228" t="inlineStr">
        <is>
          <t>A股</t>
        </is>
      </c>
      <c r="B228" t="inlineStr">
        <is>
          <t>920810</t>
        </is>
      </c>
      <c r="C228" t="inlineStr">
        <is>
          <t>春光智能</t>
        </is>
      </c>
      <c r="D228" t="inlineStr">
        <is>
          <t>大宗交易</t>
        </is>
      </c>
      <c r="E228" t="inlineStr">
        <is>
          <t>东方财富</t>
        </is>
      </c>
      <c r="F228" t="inlineStr">
        <is>
          <t>RPT_DATA_BLOCKTRADE 2026（全市场分页后本地聚合）</t>
        </is>
      </c>
      <c r="G228" s="32" t="n">
        <v>46263.26141482598</v>
      </c>
      <c r="H228" t="inlineStr">
        <is>
          <t>CNY</t>
        </is>
      </c>
      <c r="I228" t="inlineStr">
        <is>
          <t>CNY</t>
        </is>
      </c>
      <c r="J228" t="inlineStr">
        <is>
          <t>ok</t>
        </is>
      </c>
      <c r="L228" t="b">
        <v>0</v>
      </c>
      <c r="M228" t="inlineStr">
        <is>
          <t>东方财富</t>
        </is>
      </c>
      <c r="N228" t="b">
        <v>1</v>
      </c>
    </row>
    <row r="229">
      <c r="A229" t="inlineStr">
        <is>
          <t>A股</t>
        </is>
      </c>
      <c r="B229" t="inlineStr">
        <is>
          <t>920810</t>
        </is>
      </c>
      <c r="C229" t="inlineStr">
        <is>
          <t>春光智能</t>
        </is>
      </c>
      <c r="D229" t="inlineStr">
        <is>
          <t>年度财务</t>
        </is>
      </c>
      <c r="E229" t="inlineStr">
        <is>
          <t>东方财富</t>
        </is>
      </c>
      <c r="F229" t="inlineStr">
        <is>
          <t>RPT_LICO_FN_CPD + RPT_DMSK_FN_CASHFLOW；巨潮回退原因：未配置巨潮官方 API 凭证/端点（CNINFO_ACCESS_TOKEN、CNINFO_INCOME_API_URL、CNINFO_CASHFLOW_API_URL）</t>
        </is>
      </c>
      <c r="G229" s="32" t="n">
        <v>46263.26147387439</v>
      </c>
      <c r="H229" t="inlineStr">
        <is>
          <t>CNY</t>
        </is>
      </c>
      <c r="I229" t="inlineStr">
        <is>
          <t>CNY</t>
        </is>
      </c>
      <c r="J229" t="inlineStr">
        <is>
          <t>ok</t>
        </is>
      </c>
      <c r="L229" t="b">
        <v>1</v>
      </c>
      <c r="M229" t="inlineStr">
        <is>
          <t>巨潮资讯（CNINFO Data Service）</t>
        </is>
      </c>
      <c r="N229" t="b">
        <v>1</v>
      </c>
    </row>
    <row r="230">
      <c r="A230" t="inlineStr">
        <is>
          <t>A股</t>
        </is>
      </c>
      <c r="B230" t="inlineStr">
        <is>
          <t>920810</t>
        </is>
      </c>
      <c r="C230" t="inlineStr">
        <is>
          <t>春光智能</t>
        </is>
      </c>
      <c r="D230" t="inlineStr">
        <is>
          <t>上市与发行信息</t>
        </is>
      </c>
      <c r="E230" t="inlineStr">
        <is>
          <t>东方财富</t>
        </is>
      </c>
      <c r="F230" t="inlineStr">
        <is>
          <t>RPT_PCF10_ORG_ISSUEINFO</t>
        </is>
      </c>
      <c r="G230" s="32" t="n">
        <v>46263.26156435385</v>
      </c>
      <c r="H230" t="inlineStr">
        <is>
          <t>CNY</t>
        </is>
      </c>
      <c r="I230" t="inlineStr">
        <is>
          <t>CNY</t>
        </is>
      </c>
      <c r="J230" t="inlineStr">
        <is>
          <t>ok</t>
        </is>
      </c>
      <c r="L230" t="b">
        <v>0</v>
      </c>
      <c r="M230" t="inlineStr">
        <is>
          <t>东方财富</t>
        </is>
      </c>
      <c r="N230" t="b">
        <v>1</v>
      </c>
    </row>
    <row r="231">
      <c r="A231" t="inlineStr">
        <is>
          <t>A股</t>
        </is>
      </c>
      <c r="B231" t="inlineStr">
        <is>
          <t>920810</t>
        </is>
      </c>
      <c r="C231" t="inlineStr">
        <is>
          <t>春光智能</t>
        </is>
      </c>
      <c r="D231" t="inlineStr">
        <is>
          <t>资金流</t>
        </is>
      </c>
      <c r="E231" t="inlineStr">
        <is>
          <t>东方财富</t>
        </is>
      </c>
      <c r="F231" t="inlineStr">
        <is>
          <t>fast-mode-no-reliable-batch-endpoint</t>
        </is>
      </c>
      <c r="G231" s="32" t="n">
        <v>46263.26159564944</v>
      </c>
      <c r="I231" t="inlineStr">
        <is>
          <t>CNY</t>
        </is>
      </c>
      <c r="J231" t="inlineStr">
        <is>
          <t>optional_missing</t>
        </is>
      </c>
      <c r="K231" t="inlineStr">
        <is>
          <t>快速模式未发现可靠的批量近五个交易日同口径字段，为避免逐股慢请求，本次留空</t>
        </is>
      </c>
      <c r="L231" t="b">
        <v>0</v>
      </c>
      <c r="M231" t="inlineStr">
        <is>
          <t>东方财富</t>
        </is>
      </c>
      <c r="N231" t="b">
        <v>1</v>
      </c>
    </row>
    <row r="232">
      <c r="A232" t="inlineStr">
        <is>
          <t>A股</t>
        </is>
      </c>
      <c r="B232" t="inlineStr">
        <is>
          <t>920809</t>
        </is>
      </c>
      <c r="C232" t="inlineStr">
        <is>
          <t>安达科技</t>
        </is>
      </c>
      <c r="D232" t="inlineStr">
        <is>
          <t>最新行情</t>
        </is>
      </c>
      <c r="E232" t="inlineStr">
        <is>
          <t>东方财富</t>
        </is>
      </c>
      <c r="F232" t="inlineStr">
        <is>
          <t>push2 ulist.np/get f2,f20（按指定证券分批）</t>
        </is>
      </c>
      <c r="G232" s="32" t="n">
        <v>46263.26140913873</v>
      </c>
      <c r="H232" t="inlineStr">
        <is>
          <t>CNY</t>
        </is>
      </c>
      <c r="I232" t="inlineStr">
        <is>
          <t>CNY</t>
        </is>
      </c>
      <c r="J232" t="inlineStr">
        <is>
          <t>ok</t>
        </is>
      </c>
      <c r="L232" t="b">
        <v>0</v>
      </c>
      <c r="M232" t="inlineStr">
        <is>
          <t>东方财富</t>
        </is>
      </c>
      <c r="N232" t="b">
        <v>1</v>
      </c>
    </row>
    <row r="233">
      <c r="A233" t="inlineStr">
        <is>
          <t>A股</t>
        </is>
      </c>
      <c r="B233" t="inlineStr">
        <is>
          <t>920809</t>
        </is>
      </c>
      <c r="C233" t="inlineStr">
        <is>
          <t>安达科技</t>
        </is>
      </c>
      <c r="D233" t="inlineStr">
        <is>
          <t>大宗交易</t>
        </is>
      </c>
      <c r="E233" t="inlineStr">
        <is>
          <t>东方财富</t>
        </is>
      </c>
      <c r="F233" t="inlineStr">
        <is>
          <t>RPT_DATA_BLOCKTRADE 2026（全市场分页后本地聚合）</t>
        </is>
      </c>
      <c r="G233" s="32" t="n">
        <v>46263.26141482598</v>
      </c>
      <c r="H233" t="inlineStr">
        <is>
          <t>CNY</t>
        </is>
      </c>
      <c r="I233" t="inlineStr">
        <is>
          <t>CNY</t>
        </is>
      </c>
      <c r="J233" t="inlineStr">
        <is>
          <t>ok</t>
        </is>
      </c>
      <c r="L233" t="b">
        <v>0</v>
      </c>
      <c r="M233" t="inlineStr">
        <is>
          <t>东方财富</t>
        </is>
      </c>
      <c r="N233" t="b">
        <v>1</v>
      </c>
    </row>
    <row r="234">
      <c r="A234" t="inlineStr">
        <is>
          <t>A股</t>
        </is>
      </c>
      <c r="B234" t="inlineStr">
        <is>
          <t>920809</t>
        </is>
      </c>
      <c r="C234" t="inlineStr">
        <is>
          <t>安达科技</t>
        </is>
      </c>
      <c r="D234" t="inlineStr">
        <is>
          <t>年度财务</t>
        </is>
      </c>
      <c r="E234" t="inlineStr">
        <is>
          <t>东方财富</t>
        </is>
      </c>
      <c r="F234" t="inlineStr">
        <is>
          <t>RPT_LICO_FN_CPD + RPT_DMSK_FN_CASHFLOW；巨潮回退原因：未配置巨潮官方 API 凭证/端点（CNINFO_ACCESS_TOKEN、CNINFO_INCOME_API_URL、CNINFO_CASHFLOW_API_URL）</t>
        </is>
      </c>
      <c r="G234" s="32" t="n">
        <v>46263.26147597413</v>
      </c>
      <c r="H234" t="inlineStr">
        <is>
          <t>CNY</t>
        </is>
      </c>
      <c r="I234" t="inlineStr">
        <is>
          <t>CNY</t>
        </is>
      </c>
      <c r="J234" t="inlineStr">
        <is>
          <t>ok</t>
        </is>
      </c>
      <c r="L234" t="b">
        <v>1</v>
      </c>
      <c r="M234" t="inlineStr">
        <is>
          <t>巨潮资讯（CNINFO Data Service）</t>
        </is>
      </c>
      <c r="N234" t="b">
        <v>1</v>
      </c>
    </row>
    <row r="235">
      <c r="A235" t="inlineStr">
        <is>
          <t>A股</t>
        </is>
      </c>
      <c r="B235" t="inlineStr">
        <is>
          <t>920809</t>
        </is>
      </c>
      <c r="C235" t="inlineStr">
        <is>
          <t>安达科技</t>
        </is>
      </c>
      <c r="D235" t="inlineStr">
        <is>
          <t>上市与发行信息</t>
        </is>
      </c>
      <c r="E235" t="inlineStr">
        <is>
          <t>东方财富</t>
        </is>
      </c>
      <c r="F235" t="inlineStr">
        <is>
          <t>RPT_PCF10_ORG_ISSUEINFO</t>
        </is>
      </c>
      <c r="G235" s="32" t="n">
        <v>46263.26156479384</v>
      </c>
      <c r="H235" t="inlineStr">
        <is>
          <t>CNY</t>
        </is>
      </c>
      <c r="I235" t="inlineStr">
        <is>
          <t>CNY</t>
        </is>
      </c>
      <c r="J235" t="inlineStr">
        <is>
          <t>ok</t>
        </is>
      </c>
      <c r="L235" t="b">
        <v>0</v>
      </c>
      <c r="M235" t="inlineStr">
        <is>
          <t>东方财富</t>
        </is>
      </c>
      <c r="N235" t="b">
        <v>1</v>
      </c>
    </row>
    <row r="236">
      <c r="A236" t="inlineStr">
        <is>
          <t>A股</t>
        </is>
      </c>
      <c r="B236" t="inlineStr">
        <is>
          <t>920809</t>
        </is>
      </c>
      <c r="C236" t="inlineStr">
        <is>
          <t>安达科技</t>
        </is>
      </c>
      <c r="D236" t="inlineStr">
        <is>
          <t>资金流</t>
        </is>
      </c>
      <c r="E236" t="inlineStr">
        <is>
          <t>东方财富</t>
        </is>
      </c>
      <c r="F236" t="inlineStr">
        <is>
          <t>fast-mode-no-reliable-batch-endpoint</t>
        </is>
      </c>
      <c r="G236" s="32" t="n">
        <v>46263.26159564944</v>
      </c>
      <c r="I236" t="inlineStr">
        <is>
          <t>CNY</t>
        </is>
      </c>
      <c r="J236" t="inlineStr">
        <is>
          <t>optional_missing</t>
        </is>
      </c>
      <c r="K236" t="inlineStr">
        <is>
          <t>快速模式未发现可靠的批量近五个交易日同口径字段，为避免逐股慢请求，本次留空</t>
        </is>
      </c>
      <c r="L236" t="b">
        <v>0</v>
      </c>
      <c r="M236" t="inlineStr">
        <is>
          <t>东方财富</t>
        </is>
      </c>
      <c r="N236" t="b">
        <v>1</v>
      </c>
    </row>
    <row r="237">
      <c r="A237" t="inlineStr">
        <is>
          <t>A股</t>
        </is>
      </c>
      <c r="B237" t="inlineStr">
        <is>
          <t>920808</t>
        </is>
      </c>
      <c r="C237" t="inlineStr">
        <is>
          <t>曙光数创</t>
        </is>
      </c>
      <c r="D237" t="inlineStr">
        <is>
          <t>最新行情</t>
        </is>
      </c>
      <c r="E237" t="inlineStr">
        <is>
          <t>东方财富</t>
        </is>
      </c>
      <c r="F237" t="inlineStr">
        <is>
          <t>push2 ulist.np/get f2,f20（按指定证券分批）</t>
        </is>
      </c>
      <c r="G237" s="32" t="n">
        <v>46263.26140913873</v>
      </c>
      <c r="H237" t="inlineStr">
        <is>
          <t>CNY</t>
        </is>
      </c>
      <c r="I237" t="inlineStr">
        <is>
          <t>CNY</t>
        </is>
      </c>
      <c r="J237" t="inlineStr">
        <is>
          <t>ok</t>
        </is>
      </c>
      <c r="L237" t="b">
        <v>0</v>
      </c>
      <c r="M237" t="inlineStr">
        <is>
          <t>东方财富</t>
        </is>
      </c>
      <c r="N237" t="b">
        <v>1</v>
      </c>
    </row>
    <row r="238">
      <c r="A238" t="inlineStr">
        <is>
          <t>A股</t>
        </is>
      </c>
      <c r="B238" t="inlineStr">
        <is>
          <t>920808</t>
        </is>
      </c>
      <c r="C238" t="inlineStr">
        <is>
          <t>曙光数创</t>
        </is>
      </c>
      <c r="D238" t="inlineStr">
        <is>
          <t>大宗交易</t>
        </is>
      </c>
      <c r="E238" t="inlineStr">
        <is>
          <t>东方财富</t>
        </is>
      </c>
      <c r="F238" t="inlineStr">
        <is>
          <t>RPT_DATA_BLOCKTRADE 2026（全市场分页后本地聚合）</t>
        </is>
      </c>
      <c r="G238" s="32" t="n">
        <v>46263.26141482598</v>
      </c>
      <c r="H238" t="inlineStr">
        <is>
          <t>CNY</t>
        </is>
      </c>
      <c r="I238" t="inlineStr">
        <is>
          <t>CNY</t>
        </is>
      </c>
      <c r="J238" t="inlineStr">
        <is>
          <t>ok</t>
        </is>
      </c>
      <c r="L238" t="b">
        <v>0</v>
      </c>
      <c r="M238" t="inlineStr">
        <is>
          <t>东方财富</t>
        </is>
      </c>
      <c r="N238" t="b">
        <v>1</v>
      </c>
    </row>
    <row r="239">
      <c r="A239" t="inlineStr">
        <is>
          <t>A股</t>
        </is>
      </c>
      <c r="B239" t="inlineStr">
        <is>
          <t>920808</t>
        </is>
      </c>
      <c r="C239" t="inlineStr">
        <is>
          <t>曙光数创</t>
        </is>
      </c>
      <c r="D239" t="inlineStr">
        <is>
          <t>年度财务</t>
        </is>
      </c>
      <c r="E239" t="inlineStr">
        <is>
          <t>东方财富</t>
        </is>
      </c>
      <c r="F239" t="inlineStr">
        <is>
          <t>RPT_LICO_FN_CPD + RPT_DMSK_FN_CASHFLOW；巨潮回退原因：未配置巨潮官方 API 凭证/端点（CNINFO_ACCESS_TOKEN、CNINFO_INCOME_API_URL、CNINFO_CASHFLOW_API_URL）</t>
        </is>
      </c>
      <c r="G239" s="32" t="n">
        <v>46263.26147580711</v>
      </c>
      <c r="H239" t="inlineStr">
        <is>
          <t>CNY</t>
        </is>
      </c>
      <c r="I239" t="inlineStr">
        <is>
          <t>CNY</t>
        </is>
      </c>
      <c r="J239" t="inlineStr">
        <is>
          <t>ok</t>
        </is>
      </c>
      <c r="L239" t="b">
        <v>1</v>
      </c>
      <c r="M239" t="inlineStr">
        <is>
          <t>巨潮资讯（CNINFO Data Service）</t>
        </is>
      </c>
      <c r="N239" t="b">
        <v>1</v>
      </c>
    </row>
    <row r="240">
      <c r="A240" t="inlineStr">
        <is>
          <t>A股</t>
        </is>
      </c>
      <c r="B240" t="inlineStr">
        <is>
          <t>920808</t>
        </is>
      </c>
      <c r="C240" t="inlineStr">
        <is>
          <t>曙光数创</t>
        </is>
      </c>
      <c r="D240" t="inlineStr">
        <is>
          <t>上市与发行信息</t>
        </is>
      </c>
      <c r="E240" t="inlineStr">
        <is>
          <t>东方财富</t>
        </is>
      </c>
      <c r="F240" t="inlineStr">
        <is>
          <t>RPT_PCF10_ORG_ISSUEINFO</t>
        </is>
      </c>
      <c r="G240" s="32" t="n">
        <v>46263.26156559639</v>
      </c>
      <c r="H240" t="inlineStr">
        <is>
          <t>CNY</t>
        </is>
      </c>
      <c r="I240" t="inlineStr">
        <is>
          <t>CNY</t>
        </is>
      </c>
      <c r="J240" t="inlineStr">
        <is>
          <t>ok</t>
        </is>
      </c>
      <c r="L240" t="b">
        <v>0</v>
      </c>
      <c r="M240" t="inlineStr">
        <is>
          <t>东方财富</t>
        </is>
      </c>
      <c r="N240" t="b">
        <v>1</v>
      </c>
    </row>
    <row r="241">
      <c r="A241" t="inlineStr">
        <is>
          <t>A股</t>
        </is>
      </c>
      <c r="B241" t="inlineStr">
        <is>
          <t>920808</t>
        </is>
      </c>
      <c r="C241" t="inlineStr">
        <is>
          <t>曙光数创</t>
        </is>
      </c>
      <c r="D241" t="inlineStr">
        <is>
          <t>资金流</t>
        </is>
      </c>
      <c r="E241" t="inlineStr">
        <is>
          <t>东方财富</t>
        </is>
      </c>
      <c r="F241" t="inlineStr">
        <is>
          <t>fast-mode-no-reliable-batch-endpoint</t>
        </is>
      </c>
      <c r="G241" s="32" t="n">
        <v>46263.26159564944</v>
      </c>
      <c r="I241" t="inlineStr">
        <is>
          <t>CNY</t>
        </is>
      </c>
      <c r="J241" t="inlineStr">
        <is>
          <t>optional_missing</t>
        </is>
      </c>
      <c r="K241" t="inlineStr">
        <is>
          <t>快速模式未发现可靠的批量近五个交易日同口径字段，为避免逐股慢请求，本次留空</t>
        </is>
      </c>
      <c r="L241" t="b">
        <v>0</v>
      </c>
      <c r="M241" t="inlineStr">
        <is>
          <t>东方财富</t>
        </is>
      </c>
      <c r="N241" t="b">
        <v>1</v>
      </c>
    </row>
    <row r="242">
      <c r="A242" t="inlineStr">
        <is>
          <t>A股</t>
        </is>
      </c>
      <c r="B242" t="inlineStr">
        <is>
          <t>920807</t>
        </is>
      </c>
      <c r="C242" t="inlineStr">
        <is>
          <t>奔朗新材</t>
        </is>
      </c>
      <c r="D242" t="inlineStr">
        <is>
          <t>最新行情</t>
        </is>
      </c>
      <c r="E242" t="inlineStr">
        <is>
          <t>东方财富</t>
        </is>
      </c>
      <c r="F242" t="inlineStr">
        <is>
          <t>push2 ulist.np/get f2,f20（按指定证券分批）</t>
        </is>
      </c>
      <c r="G242" s="32" t="n">
        <v>46263.26140913873</v>
      </c>
      <c r="H242" t="inlineStr">
        <is>
          <t>CNY</t>
        </is>
      </c>
      <c r="I242" t="inlineStr">
        <is>
          <t>CNY</t>
        </is>
      </c>
      <c r="J242" t="inlineStr">
        <is>
          <t>ok</t>
        </is>
      </c>
      <c r="L242" t="b">
        <v>0</v>
      </c>
      <c r="M242" t="inlineStr">
        <is>
          <t>东方财富</t>
        </is>
      </c>
      <c r="N242" t="b">
        <v>1</v>
      </c>
    </row>
    <row r="243">
      <c r="A243" t="inlineStr">
        <is>
          <t>A股</t>
        </is>
      </c>
      <c r="B243" t="inlineStr">
        <is>
          <t>920807</t>
        </is>
      </c>
      <c r="C243" t="inlineStr">
        <is>
          <t>奔朗新材</t>
        </is>
      </c>
      <c r="D243" t="inlineStr">
        <is>
          <t>大宗交易</t>
        </is>
      </c>
      <c r="E243" t="inlineStr">
        <is>
          <t>东方财富</t>
        </is>
      </c>
      <c r="F243" t="inlineStr">
        <is>
          <t>RPT_DATA_BLOCKTRADE 2026（全市场分页后本地聚合）</t>
        </is>
      </c>
      <c r="G243" s="32" t="n">
        <v>46263.26141482598</v>
      </c>
      <c r="H243" t="inlineStr">
        <is>
          <t>CNY</t>
        </is>
      </c>
      <c r="I243" t="inlineStr">
        <is>
          <t>CNY</t>
        </is>
      </c>
      <c r="J243" t="inlineStr">
        <is>
          <t>ok</t>
        </is>
      </c>
      <c r="L243" t="b">
        <v>0</v>
      </c>
      <c r="M243" t="inlineStr">
        <is>
          <t>东方财富</t>
        </is>
      </c>
      <c r="N243" t="b">
        <v>1</v>
      </c>
    </row>
    <row r="244">
      <c r="A244" t="inlineStr">
        <is>
          <t>A股</t>
        </is>
      </c>
      <c r="B244" t="inlineStr">
        <is>
          <t>920807</t>
        </is>
      </c>
      <c r="C244" t="inlineStr">
        <is>
          <t>奔朗新材</t>
        </is>
      </c>
      <c r="D244" t="inlineStr">
        <is>
          <t>年度财务</t>
        </is>
      </c>
      <c r="E244" t="inlineStr">
        <is>
          <t>东方财富</t>
        </is>
      </c>
      <c r="F244" t="inlineStr">
        <is>
          <t>RPT_LICO_FN_CPD + RPT_DMSK_FN_CASHFLOW；巨潮回退原因：未配置巨潮官方 API 凭证/端点（CNINFO_ACCESS_TOKEN、CNINFO_INCOME_API_URL、CNINFO_CASHFLOW_API_URL）</t>
        </is>
      </c>
      <c r="G244" s="32" t="n">
        <v>46263.26147765452</v>
      </c>
      <c r="H244" t="inlineStr">
        <is>
          <t>CNY</t>
        </is>
      </c>
      <c r="I244" t="inlineStr">
        <is>
          <t>CNY</t>
        </is>
      </c>
      <c r="J244" t="inlineStr">
        <is>
          <t>ok</t>
        </is>
      </c>
      <c r="L244" t="b">
        <v>1</v>
      </c>
      <c r="M244" t="inlineStr">
        <is>
          <t>巨潮资讯（CNINFO Data Service）</t>
        </is>
      </c>
      <c r="N244" t="b">
        <v>1</v>
      </c>
    </row>
    <row r="245">
      <c r="A245" t="inlineStr">
        <is>
          <t>A股</t>
        </is>
      </c>
      <c r="B245" t="inlineStr">
        <is>
          <t>920807</t>
        </is>
      </c>
      <c r="C245" t="inlineStr">
        <is>
          <t>奔朗新材</t>
        </is>
      </c>
      <c r="D245" t="inlineStr">
        <is>
          <t>上市与发行信息</t>
        </is>
      </c>
      <c r="E245" t="inlineStr">
        <is>
          <t>东方财富</t>
        </is>
      </c>
      <c r="F245" t="inlineStr">
        <is>
          <t>RPT_PCF10_ORG_ISSUEINFO</t>
        </is>
      </c>
      <c r="G245" s="32" t="n">
        <v>46263.26156603304</v>
      </c>
      <c r="H245" t="inlineStr">
        <is>
          <t>CNY</t>
        </is>
      </c>
      <c r="I245" t="inlineStr">
        <is>
          <t>CNY</t>
        </is>
      </c>
      <c r="J245" t="inlineStr">
        <is>
          <t>ok</t>
        </is>
      </c>
      <c r="L245" t="b">
        <v>0</v>
      </c>
      <c r="M245" t="inlineStr">
        <is>
          <t>东方财富</t>
        </is>
      </c>
      <c r="N245" t="b">
        <v>1</v>
      </c>
    </row>
    <row r="246">
      <c r="A246" t="inlineStr">
        <is>
          <t>A股</t>
        </is>
      </c>
      <c r="B246" t="inlineStr">
        <is>
          <t>920807</t>
        </is>
      </c>
      <c r="C246" t="inlineStr">
        <is>
          <t>奔朗新材</t>
        </is>
      </c>
      <c r="D246" t="inlineStr">
        <is>
          <t>资金流</t>
        </is>
      </c>
      <c r="E246" t="inlineStr">
        <is>
          <t>东方财富</t>
        </is>
      </c>
      <c r="F246" t="inlineStr">
        <is>
          <t>fast-mode-no-reliable-batch-endpoint</t>
        </is>
      </c>
      <c r="G246" s="32" t="n">
        <v>46263.26159564944</v>
      </c>
      <c r="I246" t="inlineStr">
        <is>
          <t>CNY</t>
        </is>
      </c>
      <c r="J246" t="inlineStr">
        <is>
          <t>optional_missing</t>
        </is>
      </c>
      <c r="K246" t="inlineStr">
        <is>
          <t>快速模式未发现可靠的批量近五个交易日同口径字段，为避免逐股慢请求，本次留空</t>
        </is>
      </c>
      <c r="L246" t="b">
        <v>0</v>
      </c>
      <c r="M246" t="inlineStr">
        <is>
          <t>东方财富</t>
        </is>
      </c>
      <c r="N246" t="b">
        <v>1</v>
      </c>
    </row>
    <row r="247">
      <c r="A247" t="inlineStr">
        <is>
          <t>A股</t>
        </is>
      </c>
      <c r="B247" t="inlineStr">
        <is>
          <t>920806</t>
        </is>
      </c>
      <c r="C247" t="inlineStr">
        <is>
          <t>云星宇</t>
        </is>
      </c>
      <c r="D247" t="inlineStr">
        <is>
          <t>最新行情</t>
        </is>
      </c>
      <c r="E247" t="inlineStr">
        <is>
          <t>东方财富</t>
        </is>
      </c>
      <c r="F247" t="inlineStr">
        <is>
          <t>push2 ulist.np/get f2,f20（按指定证券分批）</t>
        </is>
      </c>
      <c r="G247" s="32" t="n">
        <v>46263.26140913873</v>
      </c>
      <c r="H247" t="inlineStr">
        <is>
          <t>CNY</t>
        </is>
      </c>
      <c r="I247" t="inlineStr">
        <is>
          <t>CNY</t>
        </is>
      </c>
      <c r="J247" t="inlineStr">
        <is>
          <t>ok</t>
        </is>
      </c>
      <c r="L247" t="b">
        <v>0</v>
      </c>
      <c r="M247" t="inlineStr">
        <is>
          <t>东方财富</t>
        </is>
      </c>
      <c r="N247" t="b">
        <v>1</v>
      </c>
    </row>
    <row r="248">
      <c r="A248" t="inlineStr">
        <is>
          <t>A股</t>
        </is>
      </c>
      <c r="B248" t="inlineStr">
        <is>
          <t>920806</t>
        </is>
      </c>
      <c r="C248" t="inlineStr">
        <is>
          <t>云星宇</t>
        </is>
      </c>
      <c r="D248" t="inlineStr">
        <is>
          <t>大宗交易</t>
        </is>
      </c>
      <c r="E248" t="inlineStr">
        <is>
          <t>东方财富</t>
        </is>
      </c>
      <c r="F248" t="inlineStr">
        <is>
          <t>RPT_DATA_BLOCKTRADE 2026（全市场分页后本地聚合）</t>
        </is>
      </c>
      <c r="G248" s="32" t="n">
        <v>46263.26141482598</v>
      </c>
      <c r="H248" t="inlineStr">
        <is>
          <t>CNY</t>
        </is>
      </c>
      <c r="I248" t="inlineStr">
        <is>
          <t>CNY</t>
        </is>
      </c>
      <c r="J248" t="inlineStr">
        <is>
          <t>ok</t>
        </is>
      </c>
      <c r="L248" t="b">
        <v>0</v>
      </c>
      <c r="M248" t="inlineStr">
        <is>
          <t>东方财富</t>
        </is>
      </c>
      <c r="N248" t="b">
        <v>1</v>
      </c>
    </row>
    <row r="249">
      <c r="A249" t="inlineStr">
        <is>
          <t>A股</t>
        </is>
      </c>
      <c r="B249" t="inlineStr">
        <is>
          <t>920806</t>
        </is>
      </c>
      <c r="C249" t="inlineStr">
        <is>
          <t>云星宇</t>
        </is>
      </c>
      <c r="D249" t="inlineStr">
        <is>
          <t>年度财务</t>
        </is>
      </c>
      <c r="E249" t="inlineStr">
        <is>
          <t>东方财富</t>
        </is>
      </c>
      <c r="F249" t="inlineStr">
        <is>
          <t>RPT_LICO_FN_CPD + RPT_DMSK_FN_CASHFLOW；巨潮回退原因：未配置巨潮官方 API 凭证/端点（CNINFO_ACCESS_TOKEN、CNINFO_INCOME_API_URL、CNINFO_CASHFLOW_API_URL）</t>
        </is>
      </c>
      <c r="G249" s="32" t="n">
        <v>46263.26147641239</v>
      </c>
      <c r="H249" t="inlineStr">
        <is>
          <t>CNY</t>
        </is>
      </c>
      <c r="I249" t="inlineStr">
        <is>
          <t>CNY</t>
        </is>
      </c>
      <c r="J249" t="inlineStr">
        <is>
          <t>ok</t>
        </is>
      </c>
      <c r="L249" t="b">
        <v>1</v>
      </c>
      <c r="M249" t="inlineStr">
        <is>
          <t>巨潮资讯（CNINFO Data Service）</t>
        </is>
      </c>
      <c r="N249" t="b">
        <v>1</v>
      </c>
    </row>
    <row r="250">
      <c r="A250" t="inlineStr">
        <is>
          <t>A股</t>
        </is>
      </c>
      <c r="B250" t="inlineStr">
        <is>
          <t>920806</t>
        </is>
      </c>
      <c r="C250" t="inlineStr">
        <is>
          <t>云星宇</t>
        </is>
      </c>
      <c r="D250" t="inlineStr">
        <is>
          <t>上市与发行信息</t>
        </is>
      </c>
      <c r="E250" t="inlineStr">
        <is>
          <t>东方财富</t>
        </is>
      </c>
      <c r="F250" t="inlineStr">
        <is>
          <t>RPT_PCF10_ORG_ISSUEINFO</t>
        </is>
      </c>
      <c r="G250" s="32" t="n">
        <v>46263.26156658622</v>
      </c>
      <c r="H250" t="inlineStr">
        <is>
          <t>CNY</t>
        </is>
      </c>
      <c r="I250" t="inlineStr">
        <is>
          <t>CNY</t>
        </is>
      </c>
      <c r="J250" t="inlineStr">
        <is>
          <t>ok</t>
        </is>
      </c>
      <c r="L250" t="b">
        <v>0</v>
      </c>
      <c r="M250" t="inlineStr">
        <is>
          <t>东方财富</t>
        </is>
      </c>
      <c r="N250" t="b">
        <v>1</v>
      </c>
    </row>
    <row r="251">
      <c r="A251" t="inlineStr">
        <is>
          <t>A股</t>
        </is>
      </c>
      <c r="B251" t="inlineStr">
        <is>
          <t>920806</t>
        </is>
      </c>
      <c r="C251" t="inlineStr">
        <is>
          <t>云星宇</t>
        </is>
      </c>
      <c r="D251" t="inlineStr">
        <is>
          <t>资金流</t>
        </is>
      </c>
      <c r="E251" t="inlineStr">
        <is>
          <t>东方财富</t>
        </is>
      </c>
      <c r="F251" t="inlineStr">
        <is>
          <t>fast-mode-no-reliable-batch-endpoint</t>
        </is>
      </c>
      <c r="G251" s="32" t="n">
        <v>46263.26159565565</v>
      </c>
      <c r="I251" t="inlineStr">
        <is>
          <t>CNY</t>
        </is>
      </c>
      <c r="J251" t="inlineStr">
        <is>
          <t>optional_missing</t>
        </is>
      </c>
      <c r="K251" t="inlineStr">
        <is>
          <t>快速模式未发现可靠的批量近五个交易日同口径字段，为避免逐股慢请求，本次留空</t>
        </is>
      </c>
      <c r="L251" t="b">
        <v>0</v>
      </c>
      <c r="M251" t="inlineStr">
        <is>
          <t>东方财富</t>
        </is>
      </c>
      <c r="N251" t="b">
        <v>1</v>
      </c>
    </row>
    <row r="252">
      <c r="A252" t="inlineStr">
        <is>
          <t>A股</t>
        </is>
      </c>
      <c r="B252" t="inlineStr">
        <is>
          <t>920802</t>
        </is>
      </c>
      <c r="C252" t="inlineStr">
        <is>
          <t>保丽洁</t>
        </is>
      </c>
      <c r="D252" t="inlineStr">
        <is>
          <t>最新行情</t>
        </is>
      </c>
      <c r="E252" t="inlineStr">
        <is>
          <t>东方财富</t>
        </is>
      </c>
      <c r="F252" t="inlineStr">
        <is>
          <t>push2 ulist.np/get f2,f20（按指定证券分批）</t>
        </is>
      </c>
      <c r="G252" s="32" t="n">
        <v>46263.26140913873</v>
      </c>
      <c r="H252" t="inlineStr">
        <is>
          <t>CNY</t>
        </is>
      </c>
      <c r="I252" t="inlineStr">
        <is>
          <t>CNY</t>
        </is>
      </c>
      <c r="J252" t="inlineStr">
        <is>
          <t>ok</t>
        </is>
      </c>
      <c r="L252" t="b">
        <v>0</v>
      </c>
      <c r="M252" t="inlineStr">
        <is>
          <t>东方财富</t>
        </is>
      </c>
      <c r="N252" t="b">
        <v>1</v>
      </c>
    </row>
    <row r="253">
      <c r="A253" t="inlineStr">
        <is>
          <t>A股</t>
        </is>
      </c>
      <c r="B253" t="inlineStr">
        <is>
          <t>920802</t>
        </is>
      </c>
      <c r="C253" t="inlineStr">
        <is>
          <t>保丽洁</t>
        </is>
      </c>
      <c r="D253" t="inlineStr">
        <is>
          <t>大宗交易</t>
        </is>
      </c>
      <c r="E253" t="inlineStr">
        <is>
          <t>东方财富</t>
        </is>
      </c>
      <c r="F253" t="inlineStr">
        <is>
          <t>RPT_DATA_BLOCKTRADE 2026（全市场分页后本地聚合）</t>
        </is>
      </c>
      <c r="G253" s="32" t="n">
        <v>46263.26141482598</v>
      </c>
      <c r="H253" t="inlineStr">
        <is>
          <t>CNY</t>
        </is>
      </c>
      <c r="I253" t="inlineStr">
        <is>
          <t>CNY</t>
        </is>
      </c>
      <c r="J253" t="inlineStr">
        <is>
          <t>ok</t>
        </is>
      </c>
      <c r="L253" t="b">
        <v>0</v>
      </c>
      <c r="M253" t="inlineStr">
        <is>
          <t>东方财富</t>
        </is>
      </c>
      <c r="N253" t="b">
        <v>1</v>
      </c>
    </row>
    <row r="254">
      <c r="A254" t="inlineStr">
        <is>
          <t>A股</t>
        </is>
      </c>
      <c r="B254" t="inlineStr">
        <is>
          <t>920802</t>
        </is>
      </c>
      <c r="C254" t="inlineStr">
        <is>
          <t>保丽洁</t>
        </is>
      </c>
      <c r="D254" t="inlineStr">
        <is>
          <t>年度财务</t>
        </is>
      </c>
      <c r="E254" t="inlineStr">
        <is>
          <t>东方财富</t>
        </is>
      </c>
      <c r="F254" t="inlineStr">
        <is>
          <t>RPT_LICO_FN_CPD + RPT_DMSK_FN_CASHFLOW；巨潮回退原因：未配置巨潮官方 API 凭证/端点（CNINFO_ACCESS_TOKEN、CNINFO_INCOME_API_URL、CNINFO_CASHFLOW_API_URL）</t>
        </is>
      </c>
      <c r="G254" s="32" t="n">
        <v>46263.26148114358</v>
      </c>
      <c r="H254" t="inlineStr">
        <is>
          <t>CNY</t>
        </is>
      </c>
      <c r="I254" t="inlineStr">
        <is>
          <t>CNY</t>
        </is>
      </c>
      <c r="J254" t="inlineStr">
        <is>
          <t>ok</t>
        </is>
      </c>
      <c r="L254" t="b">
        <v>1</v>
      </c>
      <c r="M254" t="inlineStr">
        <is>
          <t>巨潮资讯（CNINFO Data Service）</t>
        </is>
      </c>
      <c r="N254" t="b">
        <v>1</v>
      </c>
    </row>
    <row r="255">
      <c r="A255" t="inlineStr">
        <is>
          <t>A股</t>
        </is>
      </c>
      <c r="B255" t="inlineStr">
        <is>
          <t>920802</t>
        </is>
      </c>
      <c r="C255" t="inlineStr">
        <is>
          <t>保丽洁</t>
        </is>
      </c>
      <c r="D255" t="inlineStr">
        <is>
          <t>上市与发行信息</t>
        </is>
      </c>
      <c r="E255" t="inlineStr">
        <is>
          <t>东方财富</t>
        </is>
      </c>
      <c r="F255" t="inlineStr">
        <is>
          <t>RPT_PCF10_ORG_ISSUEINFO</t>
        </is>
      </c>
      <c r="G255" s="32" t="n">
        <v>46263.26156712459</v>
      </c>
      <c r="H255" t="inlineStr">
        <is>
          <t>CNY</t>
        </is>
      </c>
      <c r="I255" t="inlineStr">
        <is>
          <t>CNY</t>
        </is>
      </c>
      <c r="J255" t="inlineStr">
        <is>
          <t>ok</t>
        </is>
      </c>
      <c r="L255" t="b">
        <v>0</v>
      </c>
      <c r="M255" t="inlineStr">
        <is>
          <t>东方财富</t>
        </is>
      </c>
      <c r="N255" t="b">
        <v>1</v>
      </c>
    </row>
    <row r="256">
      <c r="A256" t="inlineStr">
        <is>
          <t>A股</t>
        </is>
      </c>
      <c r="B256" t="inlineStr">
        <is>
          <t>920802</t>
        </is>
      </c>
      <c r="C256" t="inlineStr">
        <is>
          <t>保丽洁</t>
        </is>
      </c>
      <c r="D256" t="inlineStr">
        <is>
          <t>资金流</t>
        </is>
      </c>
      <c r="E256" t="inlineStr">
        <is>
          <t>东方财富</t>
        </is>
      </c>
      <c r="F256" t="inlineStr">
        <is>
          <t>fast-mode-no-reliable-batch-endpoint</t>
        </is>
      </c>
      <c r="G256" s="32" t="n">
        <v>46263.26159565565</v>
      </c>
      <c r="I256" t="inlineStr">
        <is>
          <t>CNY</t>
        </is>
      </c>
      <c r="J256" t="inlineStr">
        <is>
          <t>optional_missing</t>
        </is>
      </c>
      <c r="K256" t="inlineStr">
        <is>
          <t>快速模式未发现可靠的批量近五个交易日同口径字段，为避免逐股慢请求，本次留空</t>
        </is>
      </c>
      <c r="L256" t="b">
        <v>0</v>
      </c>
      <c r="M256" t="inlineStr">
        <is>
          <t>东方财富</t>
        </is>
      </c>
      <c r="N256" t="b">
        <v>1</v>
      </c>
    </row>
    <row r="257">
      <c r="A257" t="inlineStr">
        <is>
          <t>A股</t>
        </is>
      </c>
      <c r="B257" t="inlineStr">
        <is>
          <t>920799</t>
        </is>
      </c>
      <c r="C257" t="inlineStr">
        <is>
          <t>艾融软件</t>
        </is>
      </c>
      <c r="D257" t="inlineStr">
        <is>
          <t>最新行情</t>
        </is>
      </c>
      <c r="E257" t="inlineStr">
        <is>
          <t>东方财富</t>
        </is>
      </c>
      <c r="F257" t="inlineStr">
        <is>
          <t>push2 ulist.np/get f2,f20（按指定证券分批）</t>
        </is>
      </c>
      <c r="G257" s="32" t="n">
        <v>46263.26140913873</v>
      </c>
      <c r="H257" t="inlineStr">
        <is>
          <t>CNY</t>
        </is>
      </c>
      <c r="I257" t="inlineStr">
        <is>
          <t>CNY</t>
        </is>
      </c>
      <c r="J257" t="inlineStr">
        <is>
          <t>ok</t>
        </is>
      </c>
      <c r="L257" t="b">
        <v>0</v>
      </c>
      <c r="M257" t="inlineStr">
        <is>
          <t>东方财富</t>
        </is>
      </c>
      <c r="N257" t="b">
        <v>1</v>
      </c>
    </row>
    <row r="258">
      <c r="A258" t="inlineStr">
        <is>
          <t>A股</t>
        </is>
      </c>
      <c r="B258" t="inlineStr">
        <is>
          <t>920799</t>
        </is>
      </c>
      <c r="C258" t="inlineStr">
        <is>
          <t>艾融软件</t>
        </is>
      </c>
      <c r="D258" t="inlineStr">
        <is>
          <t>大宗交易</t>
        </is>
      </c>
      <c r="E258" t="inlineStr">
        <is>
          <t>东方财富</t>
        </is>
      </c>
      <c r="F258" t="inlineStr">
        <is>
          <t>RPT_DATA_BLOCKTRADE 2026（全市场分页后本地聚合）</t>
        </is>
      </c>
      <c r="G258" s="32" t="n">
        <v>46263.26141482598</v>
      </c>
      <c r="H258" t="inlineStr">
        <is>
          <t>CNY</t>
        </is>
      </c>
      <c r="I258" t="inlineStr">
        <is>
          <t>CNY</t>
        </is>
      </c>
      <c r="J258" t="inlineStr">
        <is>
          <t>ok</t>
        </is>
      </c>
      <c r="L258" t="b">
        <v>0</v>
      </c>
      <c r="M258" t="inlineStr">
        <is>
          <t>东方财富</t>
        </is>
      </c>
      <c r="N258" t="b">
        <v>1</v>
      </c>
    </row>
    <row r="259">
      <c r="A259" t="inlineStr">
        <is>
          <t>A股</t>
        </is>
      </c>
      <c r="B259" t="inlineStr">
        <is>
          <t>920799</t>
        </is>
      </c>
      <c r="C259" t="inlineStr">
        <is>
          <t>艾融软件</t>
        </is>
      </c>
      <c r="D259" t="inlineStr">
        <is>
          <t>年度财务</t>
        </is>
      </c>
      <c r="E259" t="inlineStr">
        <is>
          <t>东方财富</t>
        </is>
      </c>
      <c r="F259" t="inlineStr">
        <is>
          <t>RPT_LICO_FN_CPD + RPT_DMSK_FN_CASHFLOW；巨潮回退原因：未配置巨潮官方 API 凭证/端点（CNINFO_ACCESS_TOKEN、CNINFO_INCOME_API_URL、CNINFO_CASHFLOW_API_URL）</t>
        </is>
      </c>
      <c r="G259" s="32" t="n">
        <v>46263.26148150015</v>
      </c>
      <c r="H259" t="inlineStr">
        <is>
          <t>CNY</t>
        </is>
      </c>
      <c r="I259" t="inlineStr">
        <is>
          <t>CNY</t>
        </is>
      </c>
      <c r="J259" t="inlineStr">
        <is>
          <t>ok</t>
        </is>
      </c>
      <c r="L259" t="b">
        <v>1</v>
      </c>
      <c r="M259" t="inlineStr">
        <is>
          <t>巨潮资讯（CNINFO Data Service）</t>
        </is>
      </c>
      <c r="N259" t="b">
        <v>1</v>
      </c>
    </row>
    <row r="260">
      <c r="A260" t="inlineStr">
        <is>
          <t>A股</t>
        </is>
      </c>
      <c r="B260" t="inlineStr">
        <is>
          <t>920799</t>
        </is>
      </c>
      <c r="C260" t="inlineStr">
        <is>
          <t>艾融软件</t>
        </is>
      </c>
      <c r="D260" t="inlineStr">
        <is>
          <t>上市与发行信息</t>
        </is>
      </c>
      <c r="E260" t="inlineStr">
        <is>
          <t>东方财富</t>
        </is>
      </c>
      <c r="F260" t="inlineStr">
        <is>
          <t>RPT_PCF10_ORG_ISSUEINFO</t>
        </is>
      </c>
      <c r="G260" s="32" t="n">
        <v>46263.26156776118</v>
      </c>
      <c r="H260" t="inlineStr">
        <is>
          <t>CNY</t>
        </is>
      </c>
      <c r="I260" t="inlineStr">
        <is>
          <t>CNY</t>
        </is>
      </c>
      <c r="J260" t="inlineStr">
        <is>
          <t>ok</t>
        </is>
      </c>
      <c r="L260" t="b">
        <v>0</v>
      </c>
      <c r="M260" t="inlineStr">
        <is>
          <t>东方财富</t>
        </is>
      </c>
      <c r="N260" t="b">
        <v>1</v>
      </c>
    </row>
    <row r="261">
      <c r="A261" t="inlineStr">
        <is>
          <t>A股</t>
        </is>
      </c>
      <c r="B261" t="inlineStr">
        <is>
          <t>920799</t>
        </is>
      </c>
      <c r="C261" t="inlineStr">
        <is>
          <t>艾融软件</t>
        </is>
      </c>
      <c r="D261" t="inlineStr">
        <is>
          <t>资金流</t>
        </is>
      </c>
      <c r="E261" t="inlineStr">
        <is>
          <t>东方财富</t>
        </is>
      </c>
      <c r="F261" t="inlineStr">
        <is>
          <t>fast-mode-no-reliable-batch-endpoint</t>
        </is>
      </c>
      <c r="G261" s="32" t="n">
        <v>46263.26159565565</v>
      </c>
      <c r="I261" t="inlineStr">
        <is>
          <t>CNY</t>
        </is>
      </c>
      <c r="J261" t="inlineStr">
        <is>
          <t>optional_missing</t>
        </is>
      </c>
      <c r="K261" t="inlineStr">
        <is>
          <t>快速模式未发现可靠的批量近五个交易日同口径字段，为避免逐股慢请求，本次留空</t>
        </is>
      </c>
      <c r="L261" t="b">
        <v>0</v>
      </c>
      <c r="M261" t="inlineStr">
        <is>
          <t>东方财富</t>
        </is>
      </c>
      <c r="N261" t="b">
        <v>1</v>
      </c>
    </row>
    <row r="262">
      <c r="A262" t="inlineStr">
        <is>
          <t>A股</t>
        </is>
      </c>
      <c r="B262" t="inlineStr">
        <is>
          <t>920792</t>
        </is>
      </c>
      <c r="C262" t="inlineStr">
        <is>
          <t>东和新材</t>
        </is>
      </c>
      <c r="D262" t="inlineStr">
        <is>
          <t>最新行情</t>
        </is>
      </c>
      <c r="E262" t="inlineStr">
        <is>
          <t>东方财富</t>
        </is>
      </c>
      <c r="F262" t="inlineStr">
        <is>
          <t>push2 ulist.np/get f2,f20（按指定证券分批）</t>
        </is>
      </c>
      <c r="G262" s="32" t="n">
        <v>46263.26140913873</v>
      </c>
      <c r="H262" t="inlineStr">
        <is>
          <t>CNY</t>
        </is>
      </c>
      <c r="I262" t="inlineStr">
        <is>
          <t>CNY</t>
        </is>
      </c>
      <c r="J262" t="inlineStr">
        <is>
          <t>ok</t>
        </is>
      </c>
      <c r="L262" t="b">
        <v>0</v>
      </c>
      <c r="M262" t="inlineStr">
        <is>
          <t>东方财富</t>
        </is>
      </c>
      <c r="N262" t="b">
        <v>1</v>
      </c>
    </row>
    <row r="263">
      <c r="A263" t="inlineStr">
        <is>
          <t>A股</t>
        </is>
      </c>
      <c r="B263" t="inlineStr">
        <is>
          <t>920792</t>
        </is>
      </c>
      <c r="C263" t="inlineStr">
        <is>
          <t>东和新材</t>
        </is>
      </c>
      <c r="D263" t="inlineStr">
        <is>
          <t>大宗交易</t>
        </is>
      </c>
      <c r="E263" t="inlineStr">
        <is>
          <t>东方财富</t>
        </is>
      </c>
      <c r="F263" t="inlineStr">
        <is>
          <t>RPT_DATA_BLOCKTRADE 2026（全市场分页后本地聚合）</t>
        </is>
      </c>
      <c r="G263" s="32" t="n">
        <v>46263.26141482598</v>
      </c>
      <c r="H263" t="inlineStr">
        <is>
          <t>CNY</t>
        </is>
      </c>
      <c r="I263" t="inlineStr">
        <is>
          <t>CNY</t>
        </is>
      </c>
      <c r="J263" t="inlineStr">
        <is>
          <t>ok</t>
        </is>
      </c>
      <c r="L263" t="b">
        <v>0</v>
      </c>
      <c r="M263" t="inlineStr">
        <is>
          <t>东方财富</t>
        </is>
      </c>
      <c r="N263" t="b">
        <v>1</v>
      </c>
    </row>
    <row r="264">
      <c r="A264" t="inlineStr">
        <is>
          <t>A股</t>
        </is>
      </c>
      <c r="B264" t="inlineStr">
        <is>
          <t>920792</t>
        </is>
      </c>
      <c r="C264" t="inlineStr">
        <is>
          <t>东和新材</t>
        </is>
      </c>
      <c r="D264" t="inlineStr">
        <is>
          <t>年度财务</t>
        </is>
      </c>
      <c r="E264" t="inlineStr">
        <is>
          <t>东方财富</t>
        </is>
      </c>
      <c r="F264" t="inlineStr">
        <is>
          <t>RPT_LICO_FN_CPD + RPT_DMSK_FN_CASHFLOW；巨潮回退原因：未配置巨潮官方 API 凭证/端点（CNINFO_ACCESS_TOKEN、CNINFO_INCOME_API_URL、CNINFO_CASHFLOW_API_URL）</t>
        </is>
      </c>
      <c r="G264" s="32" t="n">
        <v>46263.26148228948</v>
      </c>
      <c r="H264" t="inlineStr">
        <is>
          <t>CNY</t>
        </is>
      </c>
      <c r="I264" t="inlineStr">
        <is>
          <t>CNY</t>
        </is>
      </c>
      <c r="J264" t="inlineStr">
        <is>
          <t>ok</t>
        </is>
      </c>
      <c r="L264" t="b">
        <v>1</v>
      </c>
      <c r="M264" t="inlineStr">
        <is>
          <t>巨潮资讯（CNINFO Data Service）</t>
        </is>
      </c>
      <c r="N264" t="b">
        <v>1</v>
      </c>
    </row>
    <row r="265">
      <c r="A265" t="inlineStr">
        <is>
          <t>A股</t>
        </is>
      </c>
      <c r="B265" t="inlineStr">
        <is>
          <t>920792</t>
        </is>
      </c>
      <c r="C265" t="inlineStr">
        <is>
          <t>东和新材</t>
        </is>
      </c>
      <c r="D265" t="inlineStr">
        <is>
          <t>上市与发行信息</t>
        </is>
      </c>
      <c r="E265" t="inlineStr">
        <is>
          <t>东方财富</t>
        </is>
      </c>
      <c r="F265" t="inlineStr">
        <is>
          <t>RPT_PCF10_ORG_ISSUEINFO</t>
        </is>
      </c>
      <c r="G265" s="32" t="n">
        <v>46263.26156840393</v>
      </c>
      <c r="H265" t="inlineStr">
        <is>
          <t>CNY</t>
        </is>
      </c>
      <c r="I265" t="inlineStr">
        <is>
          <t>CNY</t>
        </is>
      </c>
      <c r="J265" t="inlineStr">
        <is>
          <t>ok</t>
        </is>
      </c>
      <c r="L265" t="b">
        <v>0</v>
      </c>
      <c r="M265" t="inlineStr">
        <is>
          <t>东方财富</t>
        </is>
      </c>
      <c r="N265" t="b">
        <v>1</v>
      </c>
    </row>
    <row r="266">
      <c r="A266" t="inlineStr">
        <is>
          <t>A股</t>
        </is>
      </c>
      <c r="B266" t="inlineStr">
        <is>
          <t>920792</t>
        </is>
      </c>
      <c r="C266" t="inlineStr">
        <is>
          <t>东和新材</t>
        </is>
      </c>
      <c r="D266" t="inlineStr">
        <is>
          <t>资金流</t>
        </is>
      </c>
      <c r="E266" t="inlineStr">
        <is>
          <t>东方财富</t>
        </is>
      </c>
      <c r="F266" t="inlineStr">
        <is>
          <t>fast-mode-no-reliable-batch-endpoint</t>
        </is>
      </c>
      <c r="G266" s="32" t="n">
        <v>46263.26159565565</v>
      </c>
      <c r="I266" t="inlineStr">
        <is>
          <t>CNY</t>
        </is>
      </c>
      <c r="J266" t="inlineStr">
        <is>
          <t>optional_missing</t>
        </is>
      </c>
      <c r="K266" t="inlineStr">
        <is>
          <t>快速模式未发现可靠的批量近五个交易日同口径字段，为避免逐股慢请求，本次留空</t>
        </is>
      </c>
      <c r="L266" t="b">
        <v>0</v>
      </c>
      <c r="M266" t="inlineStr">
        <is>
          <t>东方财富</t>
        </is>
      </c>
      <c r="N266" t="b">
        <v>1</v>
      </c>
    </row>
    <row r="267">
      <c r="A267" t="inlineStr">
        <is>
          <t>A股</t>
        </is>
      </c>
      <c r="B267" t="inlineStr">
        <is>
          <t>920790</t>
        </is>
      </c>
      <c r="C267" t="inlineStr">
        <is>
          <t>联迪信息</t>
        </is>
      </c>
      <c r="D267" t="inlineStr">
        <is>
          <t>最新行情</t>
        </is>
      </c>
      <c r="E267" t="inlineStr">
        <is>
          <t>东方财富</t>
        </is>
      </c>
      <c r="F267" t="inlineStr">
        <is>
          <t>push2 ulist.np/get f2,f20（按指定证券分批）</t>
        </is>
      </c>
      <c r="G267" s="32" t="n">
        <v>46263.26140913873</v>
      </c>
      <c r="H267" t="inlineStr">
        <is>
          <t>CNY</t>
        </is>
      </c>
      <c r="I267" t="inlineStr">
        <is>
          <t>CNY</t>
        </is>
      </c>
      <c r="J267" t="inlineStr">
        <is>
          <t>ok</t>
        </is>
      </c>
      <c r="L267" t="b">
        <v>0</v>
      </c>
      <c r="M267" t="inlineStr">
        <is>
          <t>东方财富</t>
        </is>
      </c>
      <c r="N267" t="b">
        <v>1</v>
      </c>
    </row>
    <row r="268">
      <c r="A268" t="inlineStr">
        <is>
          <t>A股</t>
        </is>
      </c>
      <c r="B268" t="inlineStr">
        <is>
          <t>920790</t>
        </is>
      </c>
      <c r="C268" t="inlineStr">
        <is>
          <t>联迪信息</t>
        </is>
      </c>
      <c r="D268" t="inlineStr">
        <is>
          <t>大宗交易</t>
        </is>
      </c>
      <c r="E268" t="inlineStr">
        <is>
          <t>东方财富</t>
        </is>
      </c>
      <c r="F268" t="inlineStr">
        <is>
          <t>RPT_DATA_BLOCKTRADE 2026（全市场分页后本地聚合）</t>
        </is>
      </c>
      <c r="G268" s="32" t="n">
        <v>46263.26141482598</v>
      </c>
      <c r="H268" t="inlineStr">
        <is>
          <t>CNY</t>
        </is>
      </c>
      <c r="I268" t="inlineStr">
        <is>
          <t>CNY</t>
        </is>
      </c>
      <c r="J268" t="inlineStr">
        <is>
          <t>ok</t>
        </is>
      </c>
      <c r="L268" t="b">
        <v>0</v>
      </c>
      <c r="M268" t="inlineStr">
        <is>
          <t>东方财富</t>
        </is>
      </c>
      <c r="N268" t="b">
        <v>1</v>
      </c>
    </row>
    <row r="269">
      <c r="A269" t="inlineStr">
        <is>
          <t>A股</t>
        </is>
      </c>
      <c r="B269" t="inlineStr">
        <is>
          <t>920790</t>
        </is>
      </c>
      <c r="C269" t="inlineStr">
        <is>
          <t>联迪信息</t>
        </is>
      </c>
      <c r="D269" t="inlineStr">
        <is>
          <t>年度财务</t>
        </is>
      </c>
      <c r="E269" t="inlineStr">
        <is>
          <t>东方财富</t>
        </is>
      </c>
      <c r="F269" t="inlineStr">
        <is>
          <t>RPT_LICO_FN_CPD + RPT_DMSK_FN_CASHFLOW；巨潮回退原因：未配置巨潮官方 API 凭证/端点（CNINFO_ACCESS_TOKEN、CNINFO_INCOME_API_URL、CNINFO_CASHFLOW_API_URL）</t>
        </is>
      </c>
      <c r="G269" s="32" t="n">
        <v>46263.26148314405</v>
      </c>
      <c r="H269" t="inlineStr">
        <is>
          <t>CNY</t>
        </is>
      </c>
      <c r="I269" t="inlineStr">
        <is>
          <t>CNY</t>
        </is>
      </c>
      <c r="J269" t="inlineStr">
        <is>
          <t>ok</t>
        </is>
      </c>
      <c r="L269" t="b">
        <v>1</v>
      </c>
      <c r="M269" t="inlineStr">
        <is>
          <t>巨潮资讯（CNINFO Data Service）</t>
        </is>
      </c>
      <c r="N269" t="b">
        <v>1</v>
      </c>
    </row>
    <row r="270">
      <c r="A270" t="inlineStr">
        <is>
          <t>A股</t>
        </is>
      </c>
      <c r="B270" t="inlineStr">
        <is>
          <t>920790</t>
        </is>
      </c>
      <c r="C270" t="inlineStr">
        <is>
          <t>联迪信息</t>
        </is>
      </c>
      <c r="D270" t="inlineStr">
        <is>
          <t>上市与发行信息</t>
        </is>
      </c>
      <c r="E270" t="inlineStr">
        <is>
          <t>东方财富</t>
        </is>
      </c>
      <c r="F270" t="inlineStr">
        <is>
          <t>RPT_PCF10_ORG_ISSUEINFO</t>
        </is>
      </c>
      <c r="G270" s="32" t="n">
        <v>46263.26157046416</v>
      </c>
      <c r="H270" t="inlineStr">
        <is>
          <t>CNY</t>
        </is>
      </c>
      <c r="I270" t="inlineStr">
        <is>
          <t>CNY</t>
        </is>
      </c>
      <c r="J270" t="inlineStr">
        <is>
          <t>ok</t>
        </is>
      </c>
      <c r="L270" t="b">
        <v>0</v>
      </c>
      <c r="M270" t="inlineStr">
        <is>
          <t>东方财富</t>
        </is>
      </c>
      <c r="N270" t="b">
        <v>1</v>
      </c>
    </row>
    <row r="271">
      <c r="A271" t="inlineStr">
        <is>
          <t>A股</t>
        </is>
      </c>
      <c r="B271" t="inlineStr">
        <is>
          <t>920790</t>
        </is>
      </c>
      <c r="C271" t="inlineStr">
        <is>
          <t>联迪信息</t>
        </is>
      </c>
      <c r="D271" t="inlineStr">
        <is>
          <t>资金流</t>
        </is>
      </c>
      <c r="E271" t="inlineStr">
        <is>
          <t>东方财富</t>
        </is>
      </c>
      <c r="F271" t="inlineStr">
        <is>
          <t>fast-mode-no-reliable-batch-endpoint</t>
        </is>
      </c>
      <c r="G271" s="32" t="n">
        <v>46263.26159565565</v>
      </c>
      <c r="I271" t="inlineStr">
        <is>
          <t>CNY</t>
        </is>
      </c>
      <c r="J271" t="inlineStr">
        <is>
          <t>optional_missing</t>
        </is>
      </c>
      <c r="K271" t="inlineStr">
        <is>
          <t>快速模式未发现可靠的批量近五个交易日同口径字段，为避免逐股慢请求，本次留空</t>
        </is>
      </c>
      <c r="L271" t="b">
        <v>0</v>
      </c>
      <c r="M271" t="inlineStr">
        <is>
          <t>东方财富</t>
        </is>
      </c>
      <c r="N271" t="b">
        <v>1</v>
      </c>
    </row>
    <row r="272">
      <c r="A272" t="inlineStr">
        <is>
          <t>A股</t>
        </is>
      </c>
      <c r="B272" t="inlineStr">
        <is>
          <t>920786</t>
        </is>
      </c>
      <c r="C272" t="inlineStr">
        <is>
          <t>骑士乳业</t>
        </is>
      </c>
      <c r="D272" t="inlineStr">
        <is>
          <t>最新行情</t>
        </is>
      </c>
      <c r="E272" t="inlineStr">
        <is>
          <t>东方财富</t>
        </is>
      </c>
      <c r="F272" t="inlineStr">
        <is>
          <t>push2 ulist.np/get f2,f20（按指定证券分批）</t>
        </is>
      </c>
      <c r="G272" s="32" t="n">
        <v>46263.26140913873</v>
      </c>
      <c r="H272" t="inlineStr">
        <is>
          <t>CNY</t>
        </is>
      </c>
      <c r="I272" t="inlineStr">
        <is>
          <t>CNY</t>
        </is>
      </c>
      <c r="J272" t="inlineStr">
        <is>
          <t>ok</t>
        </is>
      </c>
      <c r="L272" t="b">
        <v>0</v>
      </c>
      <c r="M272" t="inlineStr">
        <is>
          <t>东方财富</t>
        </is>
      </c>
      <c r="N272" t="b">
        <v>1</v>
      </c>
    </row>
    <row r="273">
      <c r="A273" t="inlineStr">
        <is>
          <t>A股</t>
        </is>
      </c>
      <c r="B273" t="inlineStr">
        <is>
          <t>920786</t>
        </is>
      </c>
      <c r="C273" t="inlineStr">
        <is>
          <t>骑士乳业</t>
        </is>
      </c>
      <c r="D273" t="inlineStr">
        <is>
          <t>大宗交易</t>
        </is>
      </c>
      <c r="E273" t="inlineStr">
        <is>
          <t>东方财富</t>
        </is>
      </c>
      <c r="F273" t="inlineStr">
        <is>
          <t>RPT_DATA_BLOCKTRADE 2026（全市场分页后本地聚合）</t>
        </is>
      </c>
      <c r="G273" s="32" t="n">
        <v>46263.26141482598</v>
      </c>
      <c r="H273" t="inlineStr">
        <is>
          <t>CNY</t>
        </is>
      </c>
      <c r="I273" t="inlineStr">
        <is>
          <t>CNY</t>
        </is>
      </c>
      <c r="J273" t="inlineStr">
        <is>
          <t>ok</t>
        </is>
      </c>
      <c r="L273" t="b">
        <v>0</v>
      </c>
      <c r="M273" t="inlineStr">
        <is>
          <t>东方财富</t>
        </is>
      </c>
      <c r="N273" t="b">
        <v>1</v>
      </c>
    </row>
    <row r="274">
      <c r="A274" t="inlineStr">
        <is>
          <t>A股</t>
        </is>
      </c>
      <c r="B274" t="inlineStr">
        <is>
          <t>920786</t>
        </is>
      </c>
      <c r="C274" t="inlineStr">
        <is>
          <t>骑士乳业</t>
        </is>
      </c>
      <c r="D274" t="inlineStr">
        <is>
          <t>年度财务</t>
        </is>
      </c>
      <c r="E274" t="inlineStr">
        <is>
          <t>东方财富</t>
        </is>
      </c>
      <c r="F274" t="inlineStr">
        <is>
          <t>RPT_LICO_FN_CPD + RPT_DMSK_FN_CASHFLOW；巨潮回退原因：未配置巨潮官方 API 凭证/端点（CNINFO_ACCESS_TOKEN、CNINFO_INCOME_API_URL、CNINFO_CASHFLOW_API_URL）</t>
        </is>
      </c>
      <c r="G274" s="32" t="n">
        <v>46263.26148398354</v>
      </c>
      <c r="H274" t="inlineStr">
        <is>
          <t>CNY</t>
        </is>
      </c>
      <c r="I274" t="inlineStr">
        <is>
          <t>CNY</t>
        </is>
      </c>
      <c r="J274" t="inlineStr">
        <is>
          <t>ok</t>
        </is>
      </c>
      <c r="L274" t="b">
        <v>1</v>
      </c>
      <c r="M274" t="inlineStr">
        <is>
          <t>巨潮资讯（CNINFO Data Service）</t>
        </is>
      </c>
      <c r="N274" t="b">
        <v>1</v>
      </c>
    </row>
    <row r="275">
      <c r="A275" t="inlineStr">
        <is>
          <t>A股</t>
        </is>
      </c>
      <c r="B275" t="inlineStr">
        <is>
          <t>920786</t>
        </is>
      </c>
      <c r="C275" t="inlineStr">
        <is>
          <t>骑士乳业</t>
        </is>
      </c>
      <c r="D275" t="inlineStr">
        <is>
          <t>上市与发行信息</t>
        </is>
      </c>
      <c r="E275" t="inlineStr">
        <is>
          <t>东方财富</t>
        </is>
      </c>
      <c r="F275" t="inlineStr">
        <is>
          <t>RPT_PCF10_ORG_ISSUEINFO</t>
        </is>
      </c>
      <c r="G275" s="32" t="n">
        <v>46263.26156946569</v>
      </c>
      <c r="H275" t="inlineStr">
        <is>
          <t>CNY</t>
        </is>
      </c>
      <c r="I275" t="inlineStr">
        <is>
          <t>CNY</t>
        </is>
      </c>
      <c r="J275" t="inlineStr">
        <is>
          <t>ok</t>
        </is>
      </c>
      <c r="L275" t="b">
        <v>0</v>
      </c>
      <c r="M275" t="inlineStr">
        <is>
          <t>东方财富</t>
        </is>
      </c>
      <c r="N275" t="b">
        <v>1</v>
      </c>
    </row>
    <row r="276">
      <c r="A276" t="inlineStr">
        <is>
          <t>A股</t>
        </is>
      </c>
      <c r="B276" t="inlineStr">
        <is>
          <t>920786</t>
        </is>
      </c>
      <c r="C276" t="inlineStr">
        <is>
          <t>骑士乳业</t>
        </is>
      </c>
      <c r="D276" t="inlineStr">
        <is>
          <t>资金流</t>
        </is>
      </c>
      <c r="E276" t="inlineStr">
        <is>
          <t>东方财富</t>
        </is>
      </c>
      <c r="F276" t="inlineStr">
        <is>
          <t>fast-mode-no-reliable-batch-endpoint</t>
        </is>
      </c>
      <c r="G276" s="32" t="n">
        <v>46263.26159565565</v>
      </c>
      <c r="I276" t="inlineStr">
        <is>
          <t>CNY</t>
        </is>
      </c>
      <c r="J276" t="inlineStr">
        <is>
          <t>optional_missing</t>
        </is>
      </c>
      <c r="K276" t="inlineStr">
        <is>
          <t>快速模式未发现可靠的批量近五个交易日同口径字段，为避免逐股慢请求，本次留空</t>
        </is>
      </c>
      <c r="L276" t="b">
        <v>0</v>
      </c>
      <c r="M276" t="inlineStr">
        <is>
          <t>东方财富</t>
        </is>
      </c>
      <c r="N276" t="b">
        <v>1</v>
      </c>
    </row>
    <row r="277">
      <c r="A277" t="inlineStr">
        <is>
          <t>A股</t>
        </is>
      </c>
      <c r="B277" t="inlineStr">
        <is>
          <t>920781</t>
        </is>
      </c>
      <c r="C277" t="inlineStr">
        <is>
          <t>瑞奇智造</t>
        </is>
      </c>
      <c r="D277" t="inlineStr">
        <is>
          <t>最新行情</t>
        </is>
      </c>
      <c r="E277" t="inlineStr">
        <is>
          <t>东方财富</t>
        </is>
      </c>
      <c r="F277" t="inlineStr">
        <is>
          <t>push2 ulist.np/get f2,f20（按指定证券分批）</t>
        </is>
      </c>
      <c r="G277" s="32" t="n">
        <v>46263.26140913873</v>
      </c>
      <c r="H277" t="inlineStr">
        <is>
          <t>CNY</t>
        </is>
      </c>
      <c r="I277" t="inlineStr">
        <is>
          <t>CNY</t>
        </is>
      </c>
      <c r="J277" t="inlineStr">
        <is>
          <t>ok</t>
        </is>
      </c>
      <c r="L277" t="b">
        <v>0</v>
      </c>
      <c r="M277" t="inlineStr">
        <is>
          <t>东方财富</t>
        </is>
      </c>
      <c r="N277" t="b">
        <v>1</v>
      </c>
    </row>
    <row r="278">
      <c r="A278" t="inlineStr">
        <is>
          <t>A股</t>
        </is>
      </c>
      <c r="B278" t="inlineStr">
        <is>
          <t>920781</t>
        </is>
      </c>
      <c r="C278" t="inlineStr">
        <is>
          <t>瑞奇智造</t>
        </is>
      </c>
      <c r="D278" t="inlineStr">
        <is>
          <t>大宗交易</t>
        </is>
      </c>
      <c r="E278" t="inlineStr">
        <is>
          <t>东方财富</t>
        </is>
      </c>
      <c r="F278" t="inlineStr">
        <is>
          <t>RPT_DATA_BLOCKTRADE 2026（全市场分页后本地聚合）</t>
        </is>
      </c>
      <c r="G278" s="32" t="n">
        <v>46263.26141482598</v>
      </c>
      <c r="H278" t="inlineStr">
        <is>
          <t>CNY</t>
        </is>
      </c>
      <c r="I278" t="inlineStr">
        <is>
          <t>CNY</t>
        </is>
      </c>
      <c r="J278" t="inlineStr">
        <is>
          <t>ok</t>
        </is>
      </c>
      <c r="L278" t="b">
        <v>0</v>
      </c>
      <c r="M278" t="inlineStr">
        <is>
          <t>东方财富</t>
        </is>
      </c>
      <c r="N278" t="b">
        <v>1</v>
      </c>
    </row>
    <row r="279">
      <c r="A279" t="inlineStr">
        <is>
          <t>A股</t>
        </is>
      </c>
      <c r="B279" t="inlineStr">
        <is>
          <t>920781</t>
        </is>
      </c>
      <c r="C279" t="inlineStr">
        <is>
          <t>瑞奇智造</t>
        </is>
      </c>
      <c r="D279" t="inlineStr">
        <is>
          <t>年度财务</t>
        </is>
      </c>
      <c r="E279" t="inlineStr">
        <is>
          <t>东方财富</t>
        </is>
      </c>
      <c r="F279" t="inlineStr">
        <is>
          <t>RPT_LICO_FN_CPD + RPT_DMSK_FN_CASHFLOW；巨潮回退原因：未配置巨潮官方 API 凭证/端点（CNINFO_ACCESS_TOKEN、CNINFO_INCOME_API_URL、CNINFO_CASHFLOW_API_URL）</t>
        </is>
      </c>
      <c r="G279" s="32" t="n">
        <v>46263.26148618609</v>
      </c>
      <c r="H279" t="inlineStr">
        <is>
          <t>CNY</t>
        </is>
      </c>
      <c r="I279" t="inlineStr">
        <is>
          <t>CNY</t>
        </is>
      </c>
      <c r="J279" t="inlineStr">
        <is>
          <t>ok</t>
        </is>
      </c>
      <c r="L279" t="b">
        <v>1</v>
      </c>
      <c r="M279" t="inlineStr">
        <is>
          <t>巨潮资讯（CNINFO Data Service）</t>
        </is>
      </c>
      <c r="N279" t="b">
        <v>1</v>
      </c>
    </row>
    <row r="280">
      <c r="A280" t="inlineStr">
        <is>
          <t>A股</t>
        </is>
      </c>
      <c r="B280" t="inlineStr">
        <is>
          <t>920781</t>
        </is>
      </c>
      <c r="C280" t="inlineStr">
        <is>
          <t>瑞奇智造</t>
        </is>
      </c>
      <c r="D280" t="inlineStr">
        <is>
          <t>上市与发行信息</t>
        </is>
      </c>
      <c r="E280" t="inlineStr">
        <is>
          <t>东方财富</t>
        </is>
      </c>
      <c r="F280" t="inlineStr">
        <is>
          <t>RPT_PCF10_ORG_ISSUEINFO</t>
        </is>
      </c>
      <c r="G280" s="32" t="n">
        <v>46263.26157074618</v>
      </c>
      <c r="H280" t="inlineStr">
        <is>
          <t>CNY</t>
        </is>
      </c>
      <c r="I280" t="inlineStr">
        <is>
          <t>CNY</t>
        </is>
      </c>
      <c r="J280" t="inlineStr">
        <is>
          <t>ok</t>
        </is>
      </c>
      <c r="L280" t="b">
        <v>0</v>
      </c>
      <c r="M280" t="inlineStr">
        <is>
          <t>东方财富</t>
        </is>
      </c>
      <c r="N280" t="b">
        <v>1</v>
      </c>
    </row>
    <row r="281">
      <c r="A281" t="inlineStr">
        <is>
          <t>A股</t>
        </is>
      </c>
      <c r="B281" t="inlineStr">
        <is>
          <t>920781</t>
        </is>
      </c>
      <c r="C281" t="inlineStr">
        <is>
          <t>瑞奇智造</t>
        </is>
      </c>
      <c r="D281" t="inlineStr">
        <is>
          <t>资金流</t>
        </is>
      </c>
      <c r="E281" t="inlineStr">
        <is>
          <t>东方财富</t>
        </is>
      </c>
      <c r="F281" t="inlineStr">
        <is>
          <t>fast-mode-no-reliable-batch-endpoint</t>
        </is>
      </c>
      <c r="G281" s="32" t="n">
        <v>46263.26159565565</v>
      </c>
      <c r="I281" t="inlineStr">
        <is>
          <t>CNY</t>
        </is>
      </c>
      <c r="J281" t="inlineStr">
        <is>
          <t>optional_missing</t>
        </is>
      </c>
      <c r="K281" t="inlineStr">
        <is>
          <t>快速模式未发现可靠的批量近五个交易日同口径字段，为避免逐股慢请求，本次留空</t>
        </is>
      </c>
      <c r="L281" t="b">
        <v>0</v>
      </c>
      <c r="M281" t="inlineStr">
        <is>
          <t>东方财富</t>
        </is>
      </c>
      <c r="N281" t="b">
        <v>1</v>
      </c>
    </row>
    <row r="282">
      <c r="A282" t="inlineStr">
        <is>
          <t>A股</t>
        </is>
      </c>
      <c r="B282" t="inlineStr">
        <is>
          <t>920779</t>
        </is>
      </c>
      <c r="C282" t="inlineStr">
        <is>
          <t>武汉蓝电</t>
        </is>
      </c>
      <c r="D282" t="inlineStr">
        <is>
          <t>最新行情</t>
        </is>
      </c>
      <c r="E282" t="inlineStr">
        <is>
          <t>东方财富</t>
        </is>
      </c>
      <c r="F282" t="inlineStr">
        <is>
          <t>push2 ulist.np/get f2,f20（按指定证券分批）</t>
        </is>
      </c>
      <c r="G282" s="32" t="n">
        <v>46263.26140913873</v>
      </c>
      <c r="H282" t="inlineStr">
        <is>
          <t>CNY</t>
        </is>
      </c>
      <c r="I282" t="inlineStr">
        <is>
          <t>CNY</t>
        </is>
      </c>
      <c r="J282" t="inlineStr">
        <is>
          <t>ok</t>
        </is>
      </c>
      <c r="L282" t="b">
        <v>0</v>
      </c>
      <c r="M282" t="inlineStr">
        <is>
          <t>东方财富</t>
        </is>
      </c>
      <c r="N282" t="b">
        <v>1</v>
      </c>
    </row>
    <row r="283">
      <c r="A283" t="inlineStr">
        <is>
          <t>A股</t>
        </is>
      </c>
      <c r="B283" t="inlineStr">
        <is>
          <t>920779</t>
        </is>
      </c>
      <c r="C283" t="inlineStr">
        <is>
          <t>武汉蓝电</t>
        </is>
      </c>
      <c r="D283" t="inlineStr">
        <is>
          <t>大宗交易</t>
        </is>
      </c>
      <c r="E283" t="inlineStr">
        <is>
          <t>东方财富</t>
        </is>
      </c>
      <c r="F283" t="inlineStr">
        <is>
          <t>RPT_DATA_BLOCKTRADE 2026（全市场分页后本地聚合）</t>
        </is>
      </c>
      <c r="G283" s="32" t="n">
        <v>46263.26141482598</v>
      </c>
      <c r="H283" t="inlineStr">
        <is>
          <t>CNY</t>
        </is>
      </c>
      <c r="I283" t="inlineStr">
        <is>
          <t>CNY</t>
        </is>
      </c>
      <c r="J283" t="inlineStr">
        <is>
          <t>ok</t>
        </is>
      </c>
      <c r="L283" t="b">
        <v>0</v>
      </c>
      <c r="M283" t="inlineStr">
        <is>
          <t>东方财富</t>
        </is>
      </c>
      <c r="N283" t="b">
        <v>1</v>
      </c>
    </row>
    <row r="284">
      <c r="A284" t="inlineStr">
        <is>
          <t>A股</t>
        </is>
      </c>
      <c r="B284" t="inlineStr">
        <is>
          <t>920779</t>
        </is>
      </c>
      <c r="C284" t="inlineStr">
        <is>
          <t>武汉蓝电</t>
        </is>
      </c>
      <c r="D284" t="inlineStr">
        <is>
          <t>年度财务</t>
        </is>
      </c>
      <c r="E284" t="inlineStr">
        <is>
          <t>东方财富</t>
        </is>
      </c>
      <c r="F284" t="inlineStr">
        <is>
          <t>RPT_LICO_FN_CPD + RPT_DMSK_FN_CASHFLOW；巨潮回退原因：未配置巨潮官方 API 凭证/端点（CNINFO_ACCESS_TOKEN、CNINFO_INCOME_API_URL、CNINFO_CASHFLOW_API_URL）</t>
        </is>
      </c>
      <c r="G284" s="32" t="n">
        <v>46263.26148476791</v>
      </c>
      <c r="H284" t="inlineStr">
        <is>
          <t>CNY</t>
        </is>
      </c>
      <c r="I284" t="inlineStr">
        <is>
          <t>CNY</t>
        </is>
      </c>
      <c r="J284" t="inlineStr">
        <is>
          <t>ok</t>
        </is>
      </c>
      <c r="L284" t="b">
        <v>1</v>
      </c>
      <c r="M284" t="inlineStr">
        <is>
          <t>巨潮资讯（CNINFO Data Service）</t>
        </is>
      </c>
      <c r="N284" t="b">
        <v>1</v>
      </c>
    </row>
    <row r="285">
      <c r="A285" t="inlineStr">
        <is>
          <t>A股</t>
        </is>
      </c>
      <c r="B285" t="inlineStr">
        <is>
          <t>920779</t>
        </is>
      </c>
      <c r="C285" t="inlineStr">
        <is>
          <t>武汉蓝电</t>
        </is>
      </c>
      <c r="D285" t="inlineStr">
        <is>
          <t>上市与发行信息</t>
        </is>
      </c>
      <c r="E285" t="inlineStr">
        <is>
          <t>东方财富</t>
        </is>
      </c>
      <c r="F285" t="inlineStr">
        <is>
          <t>RPT_PCF10_ORG_ISSUEINFO</t>
        </is>
      </c>
      <c r="G285" s="32" t="n">
        <v>46263.26157060899</v>
      </c>
      <c r="H285" t="inlineStr">
        <is>
          <t>CNY</t>
        </is>
      </c>
      <c r="I285" t="inlineStr">
        <is>
          <t>CNY</t>
        </is>
      </c>
      <c r="J285" t="inlineStr">
        <is>
          <t>ok</t>
        </is>
      </c>
      <c r="L285" t="b">
        <v>0</v>
      </c>
      <c r="M285" t="inlineStr">
        <is>
          <t>东方财富</t>
        </is>
      </c>
      <c r="N285" t="b">
        <v>1</v>
      </c>
    </row>
    <row r="286">
      <c r="A286" t="inlineStr">
        <is>
          <t>A股</t>
        </is>
      </c>
      <c r="B286" t="inlineStr">
        <is>
          <t>920779</t>
        </is>
      </c>
      <c r="C286" t="inlineStr">
        <is>
          <t>武汉蓝电</t>
        </is>
      </c>
      <c r="D286" t="inlineStr">
        <is>
          <t>资金流</t>
        </is>
      </c>
      <c r="E286" t="inlineStr">
        <is>
          <t>东方财富</t>
        </is>
      </c>
      <c r="F286" t="inlineStr">
        <is>
          <t>fast-mode-no-reliable-batch-endpoint</t>
        </is>
      </c>
      <c r="G286" s="32" t="n">
        <v>46263.26159565565</v>
      </c>
      <c r="I286" t="inlineStr">
        <is>
          <t>CNY</t>
        </is>
      </c>
      <c r="J286" t="inlineStr">
        <is>
          <t>optional_missing</t>
        </is>
      </c>
      <c r="K286" t="inlineStr">
        <is>
          <t>快速模式未发现可靠的批量近五个交易日同口径字段，为避免逐股慢请求，本次留空</t>
        </is>
      </c>
      <c r="L286" t="b">
        <v>0</v>
      </c>
      <c r="M286" t="inlineStr">
        <is>
          <t>东方财富</t>
        </is>
      </c>
      <c r="N286" t="b">
        <v>1</v>
      </c>
    </row>
    <row r="287">
      <c r="A287" t="inlineStr">
        <is>
          <t>A股</t>
        </is>
      </c>
      <c r="B287" t="inlineStr">
        <is>
          <t>920770</t>
        </is>
      </c>
      <c r="C287" t="inlineStr">
        <is>
          <t>艾能聚</t>
        </is>
      </c>
      <c r="D287" t="inlineStr">
        <is>
          <t>最新行情</t>
        </is>
      </c>
      <c r="E287" t="inlineStr">
        <is>
          <t>东方财富</t>
        </is>
      </c>
      <c r="F287" t="inlineStr">
        <is>
          <t>push2 ulist.np/get f2,f20（按指定证券分批）</t>
        </is>
      </c>
      <c r="G287" s="32" t="n">
        <v>46263.26140913873</v>
      </c>
      <c r="H287" t="inlineStr">
        <is>
          <t>CNY</t>
        </is>
      </c>
      <c r="I287" t="inlineStr">
        <is>
          <t>CNY</t>
        </is>
      </c>
      <c r="J287" t="inlineStr">
        <is>
          <t>ok</t>
        </is>
      </c>
      <c r="L287" t="b">
        <v>0</v>
      </c>
      <c r="M287" t="inlineStr">
        <is>
          <t>东方财富</t>
        </is>
      </c>
      <c r="N287" t="b">
        <v>1</v>
      </c>
    </row>
    <row r="288">
      <c r="A288" t="inlineStr">
        <is>
          <t>A股</t>
        </is>
      </c>
      <c r="B288" t="inlineStr">
        <is>
          <t>920770</t>
        </is>
      </c>
      <c r="C288" t="inlineStr">
        <is>
          <t>艾能聚</t>
        </is>
      </c>
      <c r="D288" t="inlineStr">
        <is>
          <t>大宗交易</t>
        </is>
      </c>
      <c r="E288" t="inlineStr">
        <is>
          <t>东方财富</t>
        </is>
      </c>
      <c r="F288" t="inlineStr">
        <is>
          <t>RPT_DATA_BLOCKTRADE 2026（全市场分页后本地聚合）</t>
        </is>
      </c>
      <c r="G288" s="32" t="n">
        <v>46263.26141482598</v>
      </c>
      <c r="H288" t="inlineStr">
        <is>
          <t>CNY</t>
        </is>
      </c>
      <c r="I288" t="inlineStr">
        <is>
          <t>CNY</t>
        </is>
      </c>
      <c r="J288" t="inlineStr">
        <is>
          <t>ok</t>
        </is>
      </c>
      <c r="L288" t="b">
        <v>0</v>
      </c>
      <c r="M288" t="inlineStr">
        <is>
          <t>东方财富</t>
        </is>
      </c>
      <c r="N288" t="b">
        <v>1</v>
      </c>
    </row>
    <row r="289">
      <c r="A289" t="inlineStr">
        <is>
          <t>A股</t>
        </is>
      </c>
      <c r="B289" t="inlineStr">
        <is>
          <t>920770</t>
        </is>
      </c>
      <c r="C289" t="inlineStr">
        <is>
          <t>艾能聚</t>
        </is>
      </c>
      <c r="D289" t="inlineStr">
        <is>
          <t>年度财务</t>
        </is>
      </c>
      <c r="E289" t="inlineStr">
        <is>
          <t>东方财富</t>
        </is>
      </c>
      <c r="F289" t="inlineStr">
        <is>
          <t>RPT_LICO_FN_CPD + RPT_DMSK_FN_CASHFLOW；巨潮回退原因：未配置巨潮官方 API 凭证/端点（CNINFO_ACCESS_TOKEN、CNINFO_INCOME_API_URL、CNINFO_CASHFLOW_API_URL）</t>
        </is>
      </c>
      <c r="G289" s="32" t="n">
        <v>46263.26148845233</v>
      </c>
      <c r="H289" t="inlineStr">
        <is>
          <t>CNY</t>
        </is>
      </c>
      <c r="I289" t="inlineStr">
        <is>
          <t>CNY</t>
        </is>
      </c>
      <c r="J289" t="inlineStr">
        <is>
          <t>ok</t>
        </is>
      </c>
      <c r="L289" t="b">
        <v>1</v>
      </c>
      <c r="M289" t="inlineStr">
        <is>
          <t>巨潮资讯（CNINFO Data Service）</t>
        </is>
      </c>
      <c r="N289" t="b">
        <v>1</v>
      </c>
    </row>
    <row r="290">
      <c r="A290" t="inlineStr">
        <is>
          <t>A股</t>
        </is>
      </c>
      <c r="B290" t="inlineStr">
        <is>
          <t>920770</t>
        </is>
      </c>
      <c r="C290" t="inlineStr">
        <is>
          <t>艾能聚</t>
        </is>
      </c>
      <c r="D290" t="inlineStr">
        <is>
          <t>上市与发行信息</t>
        </is>
      </c>
      <c r="E290" t="inlineStr">
        <is>
          <t>东方财富</t>
        </is>
      </c>
      <c r="F290" t="inlineStr">
        <is>
          <t>RPT_PCF10_ORG_ISSUEINFO</t>
        </is>
      </c>
      <c r="G290" s="32" t="n">
        <v>46263.26157126047</v>
      </c>
      <c r="H290" t="inlineStr">
        <is>
          <t>CNY</t>
        </is>
      </c>
      <c r="I290" t="inlineStr">
        <is>
          <t>CNY</t>
        </is>
      </c>
      <c r="J290" t="inlineStr">
        <is>
          <t>ok</t>
        </is>
      </c>
      <c r="L290" t="b">
        <v>0</v>
      </c>
      <c r="M290" t="inlineStr">
        <is>
          <t>东方财富</t>
        </is>
      </c>
      <c r="N290" t="b">
        <v>1</v>
      </c>
    </row>
    <row r="291">
      <c r="A291" t="inlineStr">
        <is>
          <t>A股</t>
        </is>
      </c>
      <c r="B291" t="inlineStr">
        <is>
          <t>920770</t>
        </is>
      </c>
      <c r="C291" t="inlineStr">
        <is>
          <t>艾能聚</t>
        </is>
      </c>
      <c r="D291" t="inlineStr">
        <is>
          <t>资金流</t>
        </is>
      </c>
      <c r="E291" t="inlineStr">
        <is>
          <t>东方财富</t>
        </is>
      </c>
      <c r="F291" t="inlineStr">
        <is>
          <t>fast-mode-no-reliable-batch-endpoint</t>
        </is>
      </c>
      <c r="G291" s="32" t="n">
        <v>46263.26159565565</v>
      </c>
      <c r="I291" t="inlineStr">
        <is>
          <t>CNY</t>
        </is>
      </c>
      <c r="J291" t="inlineStr">
        <is>
          <t>optional_missing</t>
        </is>
      </c>
      <c r="K291" t="inlineStr">
        <is>
          <t>快速模式未发现可靠的批量近五个交易日同口径字段，为避免逐股慢请求，本次留空</t>
        </is>
      </c>
      <c r="L291" t="b">
        <v>0</v>
      </c>
      <c r="M291" t="inlineStr">
        <is>
          <t>东方财富</t>
        </is>
      </c>
      <c r="N291" t="b">
        <v>1</v>
      </c>
    </row>
    <row r="292">
      <c r="A292" t="inlineStr">
        <is>
          <t>A股</t>
        </is>
      </c>
      <c r="B292" t="inlineStr">
        <is>
          <t>920768</t>
        </is>
      </c>
      <c r="C292" t="inlineStr">
        <is>
          <t>拾比佰</t>
        </is>
      </c>
      <c r="D292" t="inlineStr">
        <is>
          <t>最新行情</t>
        </is>
      </c>
      <c r="E292" t="inlineStr">
        <is>
          <t>东方财富</t>
        </is>
      </c>
      <c r="F292" t="inlineStr">
        <is>
          <t>push2 ulist.np/get f2,f20（按指定证券分批）</t>
        </is>
      </c>
      <c r="G292" s="32" t="n">
        <v>46263.26140913873</v>
      </c>
      <c r="H292" t="inlineStr">
        <is>
          <t>CNY</t>
        </is>
      </c>
      <c r="I292" t="inlineStr">
        <is>
          <t>CNY</t>
        </is>
      </c>
      <c r="J292" t="inlineStr">
        <is>
          <t>ok</t>
        </is>
      </c>
      <c r="L292" t="b">
        <v>0</v>
      </c>
      <c r="M292" t="inlineStr">
        <is>
          <t>东方财富</t>
        </is>
      </c>
      <c r="N292" t="b">
        <v>1</v>
      </c>
    </row>
    <row r="293">
      <c r="A293" t="inlineStr">
        <is>
          <t>A股</t>
        </is>
      </c>
      <c r="B293" t="inlineStr">
        <is>
          <t>920768</t>
        </is>
      </c>
      <c r="C293" t="inlineStr">
        <is>
          <t>拾比佰</t>
        </is>
      </c>
      <c r="D293" t="inlineStr">
        <is>
          <t>大宗交易</t>
        </is>
      </c>
      <c r="E293" t="inlineStr">
        <is>
          <t>东方财富</t>
        </is>
      </c>
      <c r="F293" t="inlineStr">
        <is>
          <t>RPT_DATA_BLOCKTRADE 2026（全市场分页后本地聚合）</t>
        </is>
      </c>
      <c r="G293" s="32" t="n">
        <v>46263.26141482598</v>
      </c>
      <c r="H293" t="inlineStr">
        <is>
          <t>CNY</t>
        </is>
      </c>
      <c r="I293" t="inlineStr">
        <is>
          <t>CNY</t>
        </is>
      </c>
      <c r="J293" t="inlineStr">
        <is>
          <t>ok</t>
        </is>
      </c>
      <c r="L293" t="b">
        <v>0</v>
      </c>
      <c r="M293" t="inlineStr">
        <is>
          <t>东方财富</t>
        </is>
      </c>
      <c r="N293" t="b">
        <v>1</v>
      </c>
    </row>
    <row r="294">
      <c r="A294" t="inlineStr">
        <is>
          <t>A股</t>
        </is>
      </c>
      <c r="B294" t="inlineStr">
        <is>
          <t>920768</t>
        </is>
      </c>
      <c r="C294" t="inlineStr">
        <is>
          <t>拾比佰</t>
        </is>
      </c>
      <c r="D294" t="inlineStr">
        <is>
          <t>年度财务</t>
        </is>
      </c>
      <c r="E294" t="inlineStr">
        <is>
          <t>东方财富</t>
        </is>
      </c>
      <c r="F294" t="inlineStr">
        <is>
          <t>RPT_LICO_FN_CPD + RPT_DMSK_FN_CASHFLOW；巨潮回退原因：未配置巨潮官方 API 凭证/端点（CNINFO_ACCESS_TOKEN、CNINFO_INCOME_API_URL、CNINFO_CASHFLOW_API_URL）</t>
        </is>
      </c>
      <c r="G294" s="32" t="n">
        <v>46263.26148951644</v>
      </c>
      <c r="H294" t="inlineStr">
        <is>
          <t>CNY</t>
        </is>
      </c>
      <c r="I294" t="inlineStr">
        <is>
          <t>CNY</t>
        </is>
      </c>
      <c r="J294" t="inlineStr">
        <is>
          <t>ok</t>
        </is>
      </c>
      <c r="L294" t="b">
        <v>1</v>
      </c>
      <c r="M294" t="inlineStr">
        <is>
          <t>巨潮资讯（CNINFO Data Service）</t>
        </is>
      </c>
      <c r="N294" t="b">
        <v>1</v>
      </c>
    </row>
    <row r="295">
      <c r="A295" t="inlineStr">
        <is>
          <t>A股</t>
        </is>
      </c>
      <c r="B295" t="inlineStr">
        <is>
          <t>920768</t>
        </is>
      </c>
      <c r="C295" t="inlineStr">
        <is>
          <t>拾比佰</t>
        </is>
      </c>
      <c r="D295" t="inlineStr">
        <is>
          <t>上市与发行信息</t>
        </is>
      </c>
      <c r="E295" t="inlineStr">
        <is>
          <t>东方财富</t>
        </is>
      </c>
      <c r="F295" t="inlineStr">
        <is>
          <t>RPT_PCF10_ORG_ISSUEINFO</t>
        </is>
      </c>
      <c r="G295" s="32" t="n">
        <v>46263.26157183615</v>
      </c>
      <c r="H295" t="inlineStr">
        <is>
          <t>CNY</t>
        </is>
      </c>
      <c r="I295" t="inlineStr">
        <is>
          <t>CNY</t>
        </is>
      </c>
      <c r="J295" t="inlineStr">
        <is>
          <t>ok</t>
        </is>
      </c>
      <c r="L295" t="b">
        <v>0</v>
      </c>
      <c r="M295" t="inlineStr">
        <is>
          <t>东方财富</t>
        </is>
      </c>
      <c r="N295" t="b">
        <v>1</v>
      </c>
    </row>
    <row r="296">
      <c r="A296" t="inlineStr">
        <is>
          <t>A股</t>
        </is>
      </c>
      <c r="B296" t="inlineStr">
        <is>
          <t>920768</t>
        </is>
      </c>
      <c r="C296" t="inlineStr">
        <is>
          <t>拾比佰</t>
        </is>
      </c>
      <c r="D296" t="inlineStr">
        <is>
          <t>资金流</t>
        </is>
      </c>
      <c r="E296" t="inlineStr">
        <is>
          <t>东方财富</t>
        </is>
      </c>
      <c r="F296" t="inlineStr">
        <is>
          <t>fast-mode-no-reliable-batch-endpoint</t>
        </is>
      </c>
      <c r="G296" s="32" t="n">
        <v>46263.26159565565</v>
      </c>
      <c r="I296" t="inlineStr">
        <is>
          <t>CNY</t>
        </is>
      </c>
      <c r="J296" t="inlineStr">
        <is>
          <t>optional_missing</t>
        </is>
      </c>
      <c r="K296" t="inlineStr">
        <is>
          <t>快速模式未发现可靠的批量近五个交易日同口径字段，为避免逐股慢请求，本次留空</t>
        </is>
      </c>
      <c r="L296" t="b">
        <v>0</v>
      </c>
      <c r="M296" t="inlineStr">
        <is>
          <t>东方财富</t>
        </is>
      </c>
      <c r="N296" t="b">
        <v>1</v>
      </c>
    </row>
    <row r="297">
      <c r="A297" t="inlineStr">
        <is>
          <t>A股</t>
        </is>
      </c>
      <c r="B297" t="inlineStr">
        <is>
          <t>920765</t>
        </is>
      </c>
      <c r="C297" t="inlineStr">
        <is>
          <t>美之高</t>
        </is>
      </c>
      <c r="D297" t="inlineStr">
        <is>
          <t>最新行情</t>
        </is>
      </c>
      <c r="E297" t="inlineStr">
        <is>
          <t>东方财富</t>
        </is>
      </c>
      <c r="F297" t="inlineStr">
        <is>
          <t>push2 ulist.np/get f2,f20（按指定证券分批）</t>
        </is>
      </c>
      <c r="G297" s="32" t="n">
        <v>46263.26140913873</v>
      </c>
      <c r="H297" t="inlineStr">
        <is>
          <t>CNY</t>
        </is>
      </c>
      <c r="I297" t="inlineStr">
        <is>
          <t>CNY</t>
        </is>
      </c>
      <c r="J297" t="inlineStr">
        <is>
          <t>ok</t>
        </is>
      </c>
      <c r="L297" t="b">
        <v>0</v>
      </c>
      <c r="M297" t="inlineStr">
        <is>
          <t>东方财富</t>
        </is>
      </c>
      <c r="N297" t="b">
        <v>1</v>
      </c>
    </row>
    <row r="298">
      <c r="A298" t="inlineStr">
        <is>
          <t>A股</t>
        </is>
      </c>
      <c r="B298" t="inlineStr">
        <is>
          <t>920765</t>
        </is>
      </c>
      <c r="C298" t="inlineStr">
        <is>
          <t>美之高</t>
        </is>
      </c>
      <c r="D298" t="inlineStr">
        <is>
          <t>大宗交易</t>
        </is>
      </c>
      <c r="E298" t="inlineStr">
        <is>
          <t>东方财富</t>
        </is>
      </c>
      <c r="F298" t="inlineStr">
        <is>
          <t>RPT_DATA_BLOCKTRADE 2026（全市场分页后本地聚合）</t>
        </is>
      </c>
      <c r="G298" s="32" t="n">
        <v>46263.26141482598</v>
      </c>
      <c r="H298" t="inlineStr">
        <is>
          <t>CNY</t>
        </is>
      </c>
      <c r="I298" t="inlineStr">
        <is>
          <t>CNY</t>
        </is>
      </c>
      <c r="J298" t="inlineStr">
        <is>
          <t>ok</t>
        </is>
      </c>
      <c r="L298" t="b">
        <v>0</v>
      </c>
      <c r="M298" t="inlineStr">
        <is>
          <t>东方财富</t>
        </is>
      </c>
      <c r="N298" t="b">
        <v>1</v>
      </c>
    </row>
    <row r="299">
      <c r="A299" t="inlineStr">
        <is>
          <t>A股</t>
        </is>
      </c>
      <c r="B299" t="inlineStr">
        <is>
          <t>920765</t>
        </is>
      </c>
      <c r="C299" t="inlineStr">
        <is>
          <t>美之高</t>
        </is>
      </c>
      <c r="D299" t="inlineStr">
        <is>
          <t>年度财务</t>
        </is>
      </c>
      <c r="E299" t="inlineStr">
        <is>
          <t>东方财富</t>
        </is>
      </c>
      <c r="F299" t="inlineStr">
        <is>
          <t>RPT_LICO_FN_CPD + RPT_DMSK_FN_CASHFLOW；巨潮回退原因：未配置巨潮官方 API 凭证/端点（CNINFO_ACCESS_TOKEN、CNINFO_INCOME_API_URL、CNINFO_CASHFLOW_API_URL）</t>
        </is>
      </c>
      <c r="G299" s="32" t="n">
        <v>46263.26149010977</v>
      </c>
      <c r="H299" t="inlineStr">
        <is>
          <t>CNY</t>
        </is>
      </c>
      <c r="I299" t="inlineStr">
        <is>
          <t>CNY</t>
        </is>
      </c>
      <c r="J299" t="inlineStr">
        <is>
          <t>ok</t>
        </is>
      </c>
      <c r="L299" t="b">
        <v>1</v>
      </c>
      <c r="M299" t="inlineStr">
        <is>
          <t>巨潮资讯（CNINFO Data Service）</t>
        </is>
      </c>
      <c r="N299" t="b">
        <v>1</v>
      </c>
    </row>
    <row r="300">
      <c r="A300" t="inlineStr">
        <is>
          <t>A股</t>
        </is>
      </c>
      <c r="B300" t="inlineStr">
        <is>
          <t>920765</t>
        </is>
      </c>
      <c r="C300" t="inlineStr">
        <is>
          <t>美之高</t>
        </is>
      </c>
      <c r="D300" t="inlineStr">
        <is>
          <t>上市与发行信息</t>
        </is>
      </c>
      <c r="E300" t="inlineStr">
        <is>
          <t>东方财富</t>
        </is>
      </c>
      <c r="F300" t="inlineStr">
        <is>
          <t>RPT_PCF10_ORG_ISSUEINFO</t>
        </is>
      </c>
      <c r="G300" s="32" t="n">
        <v>46263.26157340288</v>
      </c>
      <c r="H300" t="inlineStr">
        <is>
          <t>CNY</t>
        </is>
      </c>
      <c r="I300" t="inlineStr">
        <is>
          <t>CNY</t>
        </is>
      </c>
      <c r="J300" t="inlineStr">
        <is>
          <t>ok</t>
        </is>
      </c>
      <c r="L300" t="b">
        <v>0</v>
      </c>
      <c r="M300" t="inlineStr">
        <is>
          <t>东方财富</t>
        </is>
      </c>
      <c r="N300" t="b">
        <v>1</v>
      </c>
    </row>
    <row r="301">
      <c r="A301" t="inlineStr">
        <is>
          <t>A股</t>
        </is>
      </c>
      <c r="B301" t="inlineStr">
        <is>
          <t>920765</t>
        </is>
      </c>
      <c r="C301" t="inlineStr">
        <is>
          <t>美之高</t>
        </is>
      </c>
      <c r="D301" t="inlineStr">
        <is>
          <t>资金流</t>
        </is>
      </c>
      <c r="E301" t="inlineStr">
        <is>
          <t>东方财富</t>
        </is>
      </c>
      <c r="F301" t="inlineStr">
        <is>
          <t>fast-mode-no-reliable-batch-endpoint</t>
        </is>
      </c>
      <c r="G301" s="32" t="n">
        <v>46263.26159565565</v>
      </c>
      <c r="I301" t="inlineStr">
        <is>
          <t>CNY</t>
        </is>
      </c>
      <c r="J301" t="inlineStr">
        <is>
          <t>optional_missing</t>
        </is>
      </c>
      <c r="K301" t="inlineStr">
        <is>
          <t>快速模式未发现可靠的批量近五个交易日同口径字段，为避免逐股慢请求，本次留空</t>
        </is>
      </c>
      <c r="L301" t="b">
        <v>0</v>
      </c>
      <c r="M301" t="inlineStr">
        <is>
          <t>东方财富</t>
        </is>
      </c>
      <c r="N301" t="b">
        <v>1</v>
      </c>
    </row>
    <row r="302">
      <c r="A302" t="inlineStr">
        <is>
          <t>A股</t>
        </is>
      </c>
      <c r="B302" t="inlineStr">
        <is>
          <t>920753</t>
        </is>
      </c>
      <c r="C302" t="inlineStr">
        <is>
          <t>天纺标</t>
        </is>
      </c>
      <c r="D302" t="inlineStr">
        <is>
          <t>最新行情</t>
        </is>
      </c>
      <c r="E302" t="inlineStr">
        <is>
          <t>东方财富</t>
        </is>
      </c>
      <c r="F302" t="inlineStr">
        <is>
          <t>push2 ulist.np/get f2,f20（按指定证券分批）</t>
        </is>
      </c>
      <c r="G302" s="32" t="n">
        <v>46263.26140913873</v>
      </c>
      <c r="H302" t="inlineStr">
        <is>
          <t>CNY</t>
        </is>
      </c>
      <c r="I302" t="inlineStr">
        <is>
          <t>CNY</t>
        </is>
      </c>
      <c r="J302" t="inlineStr">
        <is>
          <t>ok</t>
        </is>
      </c>
      <c r="L302" t="b">
        <v>0</v>
      </c>
      <c r="M302" t="inlineStr">
        <is>
          <t>东方财富</t>
        </is>
      </c>
      <c r="N302" t="b">
        <v>1</v>
      </c>
    </row>
    <row r="303">
      <c r="A303" t="inlineStr">
        <is>
          <t>A股</t>
        </is>
      </c>
      <c r="B303" t="inlineStr">
        <is>
          <t>920753</t>
        </is>
      </c>
      <c r="C303" t="inlineStr">
        <is>
          <t>天纺标</t>
        </is>
      </c>
      <c r="D303" t="inlineStr">
        <is>
          <t>大宗交易</t>
        </is>
      </c>
      <c r="E303" t="inlineStr">
        <is>
          <t>东方财富</t>
        </is>
      </c>
      <c r="F303" t="inlineStr">
        <is>
          <t>RPT_DATA_BLOCKTRADE 2026（全市场分页后本地聚合）</t>
        </is>
      </c>
      <c r="G303" s="32" t="n">
        <v>46263.26141482598</v>
      </c>
      <c r="H303" t="inlineStr">
        <is>
          <t>CNY</t>
        </is>
      </c>
      <c r="I303" t="inlineStr">
        <is>
          <t>CNY</t>
        </is>
      </c>
      <c r="J303" t="inlineStr">
        <is>
          <t>ok</t>
        </is>
      </c>
      <c r="L303" t="b">
        <v>0</v>
      </c>
      <c r="M303" t="inlineStr">
        <is>
          <t>东方财富</t>
        </is>
      </c>
      <c r="N303" t="b">
        <v>1</v>
      </c>
    </row>
    <row r="304">
      <c r="A304" t="inlineStr">
        <is>
          <t>A股</t>
        </is>
      </c>
      <c r="B304" t="inlineStr">
        <is>
          <t>920753</t>
        </is>
      </c>
      <c r="C304" t="inlineStr">
        <is>
          <t>天纺标</t>
        </is>
      </c>
      <c r="D304" t="inlineStr">
        <is>
          <t>年度财务</t>
        </is>
      </c>
      <c r="E304" t="inlineStr">
        <is>
          <t>东方财富</t>
        </is>
      </c>
      <c r="F304" t="inlineStr">
        <is>
          <t>RPT_LICO_FN_CPD + RPT_DMSK_FN_CASHFLOW；巨潮回退原因：未配置巨潮官方 API 凭证/端点（CNINFO_ACCESS_TOKEN、CNINFO_INCOME_API_URL、CNINFO_CASHFLOW_API_URL）</t>
        </is>
      </c>
      <c r="G304" s="32" t="n">
        <v>46263.26149227507</v>
      </c>
      <c r="H304" t="inlineStr">
        <is>
          <t>CNY</t>
        </is>
      </c>
      <c r="I304" t="inlineStr">
        <is>
          <t>CNY</t>
        </is>
      </c>
      <c r="J304" t="inlineStr">
        <is>
          <t>ok</t>
        </is>
      </c>
      <c r="L304" t="b">
        <v>1</v>
      </c>
      <c r="M304" t="inlineStr">
        <is>
          <t>巨潮资讯（CNINFO Data Service）</t>
        </is>
      </c>
      <c r="N304" t="b">
        <v>1</v>
      </c>
    </row>
    <row r="305">
      <c r="A305" t="inlineStr">
        <is>
          <t>A股</t>
        </is>
      </c>
      <c r="B305" t="inlineStr">
        <is>
          <t>920753</t>
        </is>
      </c>
      <c r="C305" t="inlineStr">
        <is>
          <t>天纺标</t>
        </is>
      </c>
      <c r="D305" t="inlineStr">
        <is>
          <t>上市与发行信息</t>
        </is>
      </c>
      <c r="E305" t="inlineStr">
        <is>
          <t>东方财富</t>
        </is>
      </c>
      <c r="F305" t="inlineStr">
        <is>
          <t>RPT_PCF10_ORG_ISSUEINFO</t>
        </is>
      </c>
      <c r="G305" s="32" t="n">
        <v>46263.26157289636</v>
      </c>
      <c r="H305" t="inlineStr">
        <is>
          <t>CNY</t>
        </is>
      </c>
      <c r="I305" t="inlineStr">
        <is>
          <t>CNY</t>
        </is>
      </c>
      <c r="J305" t="inlineStr">
        <is>
          <t>ok</t>
        </is>
      </c>
      <c r="L305" t="b">
        <v>0</v>
      </c>
      <c r="M305" t="inlineStr">
        <is>
          <t>东方财富</t>
        </is>
      </c>
      <c r="N305" t="b">
        <v>1</v>
      </c>
    </row>
    <row r="306">
      <c r="A306" t="inlineStr">
        <is>
          <t>A股</t>
        </is>
      </c>
      <c r="B306" t="inlineStr">
        <is>
          <t>920753</t>
        </is>
      </c>
      <c r="C306" t="inlineStr">
        <is>
          <t>天纺标</t>
        </is>
      </c>
      <c r="D306" t="inlineStr">
        <is>
          <t>资金流</t>
        </is>
      </c>
      <c r="E306" t="inlineStr">
        <is>
          <t>东方财富</t>
        </is>
      </c>
      <c r="F306" t="inlineStr">
        <is>
          <t>fast-mode-no-reliable-batch-endpoint</t>
        </is>
      </c>
      <c r="G306" s="32" t="n">
        <v>46263.26159565565</v>
      </c>
      <c r="I306" t="inlineStr">
        <is>
          <t>CNY</t>
        </is>
      </c>
      <c r="J306" t="inlineStr">
        <is>
          <t>optional_missing</t>
        </is>
      </c>
      <c r="K306" t="inlineStr">
        <is>
          <t>快速模式未发现可靠的批量近五个交易日同口径字段，为避免逐股慢请求，本次留空</t>
        </is>
      </c>
      <c r="L306" t="b">
        <v>0</v>
      </c>
      <c r="M306" t="inlineStr">
        <is>
          <t>东方财富</t>
        </is>
      </c>
      <c r="N306" t="b">
        <v>1</v>
      </c>
    </row>
    <row r="307">
      <c r="A307" t="inlineStr">
        <is>
          <t>A股</t>
        </is>
      </c>
      <c r="B307" t="inlineStr">
        <is>
          <t>920751</t>
        </is>
      </c>
      <c r="C307" t="inlineStr">
        <is>
          <t>惠同新材</t>
        </is>
      </c>
      <c r="D307" t="inlineStr">
        <is>
          <t>最新行情</t>
        </is>
      </c>
      <c r="E307" t="inlineStr">
        <is>
          <t>东方财富</t>
        </is>
      </c>
      <c r="F307" t="inlineStr">
        <is>
          <t>push2 ulist.np/get f2,f20（按指定证券分批）</t>
        </is>
      </c>
      <c r="G307" s="32" t="n">
        <v>46263.26140913873</v>
      </c>
      <c r="H307" t="inlineStr">
        <is>
          <t>CNY</t>
        </is>
      </c>
      <c r="I307" t="inlineStr">
        <is>
          <t>CNY</t>
        </is>
      </c>
      <c r="J307" t="inlineStr">
        <is>
          <t>ok</t>
        </is>
      </c>
      <c r="L307" t="b">
        <v>0</v>
      </c>
      <c r="M307" t="inlineStr">
        <is>
          <t>东方财富</t>
        </is>
      </c>
      <c r="N307" t="b">
        <v>1</v>
      </c>
    </row>
    <row r="308">
      <c r="A308" t="inlineStr">
        <is>
          <t>A股</t>
        </is>
      </c>
      <c r="B308" t="inlineStr">
        <is>
          <t>920751</t>
        </is>
      </c>
      <c r="C308" t="inlineStr">
        <is>
          <t>惠同新材</t>
        </is>
      </c>
      <c r="D308" t="inlineStr">
        <is>
          <t>大宗交易</t>
        </is>
      </c>
      <c r="E308" t="inlineStr">
        <is>
          <t>东方财富</t>
        </is>
      </c>
      <c r="F308" t="inlineStr">
        <is>
          <t>RPT_DATA_BLOCKTRADE 2026（全市场分页后本地聚合）</t>
        </is>
      </c>
      <c r="G308" s="32" t="n">
        <v>46263.26141482598</v>
      </c>
      <c r="H308" t="inlineStr">
        <is>
          <t>CNY</t>
        </is>
      </c>
      <c r="I308" t="inlineStr">
        <is>
          <t>CNY</t>
        </is>
      </c>
      <c r="J308" t="inlineStr">
        <is>
          <t>ok</t>
        </is>
      </c>
      <c r="L308" t="b">
        <v>0</v>
      </c>
      <c r="M308" t="inlineStr">
        <is>
          <t>东方财富</t>
        </is>
      </c>
      <c r="N308" t="b">
        <v>1</v>
      </c>
    </row>
    <row r="309">
      <c r="A309" t="inlineStr">
        <is>
          <t>A股</t>
        </is>
      </c>
      <c r="B309" t="inlineStr">
        <is>
          <t>920751</t>
        </is>
      </c>
      <c r="C309" t="inlineStr">
        <is>
          <t>惠同新材</t>
        </is>
      </c>
      <c r="D309" t="inlineStr">
        <is>
          <t>年度财务</t>
        </is>
      </c>
      <c r="E309" t="inlineStr">
        <is>
          <t>东方财富</t>
        </is>
      </c>
      <c r="F309" t="inlineStr">
        <is>
          <t>RPT_LICO_FN_CPD + RPT_DMSK_FN_CASHFLOW；巨潮回退原因：未配置巨潮官方 API 凭证/端点（CNINFO_ACCESS_TOKEN、CNINFO_INCOME_API_URL、CNINFO_CASHFLOW_API_URL）</t>
        </is>
      </c>
      <c r="G309" s="32" t="n">
        <v>46263.26149376974</v>
      </c>
      <c r="H309" t="inlineStr">
        <is>
          <t>CNY</t>
        </is>
      </c>
      <c r="I309" t="inlineStr">
        <is>
          <t>CNY</t>
        </is>
      </c>
      <c r="J309" t="inlineStr">
        <is>
          <t>ok</t>
        </is>
      </c>
      <c r="L309" t="b">
        <v>1</v>
      </c>
      <c r="M309" t="inlineStr">
        <is>
          <t>巨潮资讯（CNINFO Data Service）</t>
        </is>
      </c>
      <c r="N309" t="b">
        <v>1</v>
      </c>
    </row>
    <row r="310">
      <c r="A310" t="inlineStr">
        <is>
          <t>A股</t>
        </is>
      </c>
      <c r="B310" t="inlineStr">
        <is>
          <t>920751</t>
        </is>
      </c>
      <c r="C310" t="inlineStr">
        <is>
          <t>惠同新材</t>
        </is>
      </c>
      <c r="D310" t="inlineStr">
        <is>
          <t>上市与发行信息</t>
        </is>
      </c>
      <c r="E310" t="inlineStr">
        <is>
          <t>东方财富</t>
        </is>
      </c>
      <c r="F310" t="inlineStr">
        <is>
          <t>RPT_PCF10_ORG_ISSUEINFO</t>
        </is>
      </c>
      <c r="G310" s="32" t="n">
        <v>46263.26157357344</v>
      </c>
      <c r="H310" t="inlineStr">
        <is>
          <t>CNY</t>
        </is>
      </c>
      <c r="I310" t="inlineStr">
        <is>
          <t>CNY</t>
        </is>
      </c>
      <c r="J310" t="inlineStr">
        <is>
          <t>ok</t>
        </is>
      </c>
      <c r="L310" t="b">
        <v>0</v>
      </c>
      <c r="M310" t="inlineStr">
        <is>
          <t>东方财富</t>
        </is>
      </c>
      <c r="N310" t="b">
        <v>1</v>
      </c>
    </row>
    <row r="311">
      <c r="A311" t="inlineStr">
        <is>
          <t>A股</t>
        </is>
      </c>
      <c r="B311" t="inlineStr">
        <is>
          <t>920751</t>
        </is>
      </c>
      <c r="C311" t="inlineStr">
        <is>
          <t>惠同新材</t>
        </is>
      </c>
      <c r="D311" t="inlineStr">
        <is>
          <t>资金流</t>
        </is>
      </c>
      <c r="E311" t="inlineStr">
        <is>
          <t>东方财富</t>
        </is>
      </c>
      <c r="F311" t="inlineStr">
        <is>
          <t>fast-mode-no-reliable-batch-endpoint</t>
        </is>
      </c>
      <c r="G311" s="32" t="n">
        <v>46263.26159565565</v>
      </c>
      <c r="I311" t="inlineStr">
        <is>
          <t>CNY</t>
        </is>
      </c>
      <c r="J311" t="inlineStr">
        <is>
          <t>optional_missing</t>
        </is>
      </c>
      <c r="K311" t="inlineStr">
        <is>
          <t>快速模式未发现可靠的批量近五个交易日同口径字段，为避免逐股慢请求，本次留空</t>
        </is>
      </c>
      <c r="L311" t="b">
        <v>0</v>
      </c>
      <c r="M311" t="inlineStr">
        <is>
          <t>东方财富</t>
        </is>
      </c>
      <c r="N311" t="b">
        <v>1</v>
      </c>
    </row>
    <row r="312">
      <c r="A312" t="inlineStr">
        <is>
          <t>A股</t>
        </is>
      </c>
      <c r="B312" t="inlineStr">
        <is>
          <t>920748</t>
        </is>
      </c>
      <c r="C312" t="inlineStr">
        <is>
          <t>路桥信息</t>
        </is>
      </c>
      <c r="D312" t="inlineStr">
        <is>
          <t>最新行情</t>
        </is>
      </c>
      <c r="E312" t="inlineStr">
        <is>
          <t>东方财富</t>
        </is>
      </c>
      <c r="F312" t="inlineStr">
        <is>
          <t>push2 ulist.np/get f2,f20（按指定证券分批）</t>
        </is>
      </c>
      <c r="G312" s="32" t="n">
        <v>46263.26140913873</v>
      </c>
      <c r="H312" t="inlineStr">
        <is>
          <t>CNY</t>
        </is>
      </c>
      <c r="I312" t="inlineStr">
        <is>
          <t>CNY</t>
        </is>
      </c>
      <c r="J312" t="inlineStr">
        <is>
          <t>ok</t>
        </is>
      </c>
      <c r="L312" t="b">
        <v>0</v>
      </c>
      <c r="M312" t="inlineStr">
        <is>
          <t>东方财富</t>
        </is>
      </c>
      <c r="N312" t="b">
        <v>1</v>
      </c>
    </row>
    <row r="313">
      <c r="A313" t="inlineStr">
        <is>
          <t>A股</t>
        </is>
      </c>
      <c r="B313" t="inlineStr">
        <is>
          <t>920748</t>
        </is>
      </c>
      <c r="C313" t="inlineStr">
        <is>
          <t>路桥信息</t>
        </is>
      </c>
      <c r="D313" t="inlineStr">
        <is>
          <t>大宗交易</t>
        </is>
      </c>
      <c r="E313" t="inlineStr">
        <is>
          <t>东方财富</t>
        </is>
      </c>
      <c r="F313" t="inlineStr">
        <is>
          <t>RPT_DATA_BLOCKTRADE 2026（全市场分页后本地聚合）</t>
        </is>
      </c>
      <c r="G313" s="32" t="n">
        <v>46263.26141482598</v>
      </c>
      <c r="H313" t="inlineStr">
        <is>
          <t>CNY</t>
        </is>
      </c>
      <c r="I313" t="inlineStr">
        <is>
          <t>CNY</t>
        </is>
      </c>
      <c r="J313" t="inlineStr">
        <is>
          <t>ok</t>
        </is>
      </c>
      <c r="L313" t="b">
        <v>0</v>
      </c>
      <c r="M313" t="inlineStr">
        <is>
          <t>东方财富</t>
        </is>
      </c>
      <c r="N313" t="b">
        <v>1</v>
      </c>
    </row>
    <row r="314">
      <c r="A314" t="inlineStr">
        <is>
          <t>A股</t>
        </is>
      </c>
      <c r="B314" t="inlineStr">
        <is>
          <t>920748</t>
        </is>
      </c>
      <c r="C314" t="inlineStr">
        <is>
          <t>路桥信息</t>
        </is>
      </c>
      <c r="D314" t="inlineStr">
        <is>
          <t>年度财务</t>
        </is>
      </c>
      <c r="E314" t="inlineStr">
        <is>
          <t>东方财富</t>
        </is>
      </c>
      <c r="F314" t="inlineStr">
        <is>
          <t>RPT_LICO_FN_CPD + RPT_DMSK_FN_CASHFLOW；巨潮回退原因：未配置巨潮官方 API 凭证/端点（CNINFO_ACCESS_TOKEN、CNINFO_INCOME_API_URL、CNINFO_CASHFLOW_API_URL）</t>
        </is>
      </c>
      <c r="G314" s="32" t="n">
        <v>46263.26149268921</v>
      </c>
      <c r="H314" t="inlineStr">
        <is>
          <t>CNY</t>
        </is>
      </c>
      <c r="I314" t="inlineStr">
        <is>
          <t>CNY</t>
        </is>
      </c>
      <c r="J314" t="inlineStr">
        <is>
          <t>ok</t>
        </is>
      </c>
      <c r="L314" t="b">
        <v>1</v>
      </c>
      <c r="M314" t="inlineStr">
        <is>
          <t>巨潮资讯（CNINFO Data Service）</t>
        </is>
      </c>
      <c r="N314" t="b">
        <v>1</v>
      </c>
    </row>
    <row r="315">
      <c r="A315" t="inlineStr">
        <is>
          <t>A股</t>
        </is>
      </c>
      <c r="B315" t="inlineStr">
        <is>
          <t>920748</t>
        </is>
      </c>
      <c r="C315" t="inlineStr">
        <is>
          <t>路桥信息</t>
        </is>
      </c>
      <c r="D315" t="inlineStr">
        <is>
          <t>上市与发行信息</t>
        </is>
      </c>
      <c r="E315" t="inlineStr">
        <is>
          <t>东方财富</t>
        </is>
      </c>
      <c r="F315" t="inlineStr">
        <is>
          <t>RPT_PCF10_ORG_ISSUEINFO</t>
        </is>
      </c>
      <c r="G315" s="32" t="n">
        <v>46263.26157421246</v>
      </c>
      <c r="H315" t="inlineStr">
        <is>
          <t>CNY</t>
        </is>
      </c>
      <c r="I315" t="inlineStr">
        <is>
          <t>CNY</t>
        </is>
      </c>
      <c r="J315" t="inlineStr">
        <is>
          <t>ok</t>
        </is>
      </c>
      <c r="L315" t="b">
        <v>0</v>
      </c>
      <c r="M315" t="inlineStr">
        <is>
          <t>东方财富</t>
        </is>
      </c>
      <c r="N315" t="b">
        <v>1</v>
      </c>
    </row>
    <row r="316">
      <c r="A316" t="inlineStr">
        <is>
          <t>A股</t>
        </is>
      </c>
      <c r="B316" t="inlineStr">
        <is>
          <t>920748</t>
        </is>
      </c>
      <c r="C316" t="inlineStr">
        <is>
          <t>路桥信息</t>
        </is>
      </c>
      <c r="D316" t="inlineStr">
        <is>
          <t>资金流</t>
        </is>
      </c>
      <c r="E316" t="inlineStr">
        <is>
          <t>东方财富</t>
        </is>
      </c>
      <c r="F316" t="inlineStr">
        <is>
          <t>fast-mode-no-reliable-batch-endpoint</t>
        </is>
      </c>
      <c r="G316" s="32" t="n">
        <v>46263.26159565565</v>
      </c>
      <c r="I316" t="inlineStr">
        <is>
          <t>CNY</t>
        </is>
      </c>
      <c r="J316" t="inlineStr">
        <is>
          <t>optional_missing</t>
        </is>
      </c>
      <c r="K316" t="inlineStr">
        <is>
          <t>快速模式未发现可靠的批量近五个交易日同口径字段，为避免逐股慢请求，本次留空</t>
        </is>
      </c>
      <c r="L316" t="b">
        <v>0</v>
      </c>
      <c r="M316" t="inlineStr">
        <is>
          <t>东方财富</t>
        </is>
      </c>
      <c r="N316" t="b">
        <v>1</v>
      </c>
    </row>
    <row r="317">
      <c r="A317" t="inlineStr">
        <is>
          <t>A股</t>
        </is>
      </c>
      <c r="B317" t="inlineStr">
        <is>
          <t>920735</t>
        </is>
      </c>
      <c r="C317" t="inlineStr">
        <is>
          <t>德源药业</t>
        </is>
      </c>
      <c r="D317" t="inlineStr">
        <is>
          <t>最新行情</t>
        </is>
      </c>
      <c r="E317" t="inlineStr">
        <is>
          <t>东方财富</t>
        </is>
      </c>
      <c r="F317" t="inlineStr">
        <is>
          <t>push2 ulist.np/get f2,f20（按指定证券分批）</t>
        </is>
      </c>
      <c r="G317" s="32" t="n">
        <v>46263.26140913873</v>
      </c>
      <c r="H317" t="inlineStr">
        <is>
          <t>CNY</t>
        </is>
      </c>
      <c r="I317" t="inlineStr">
        <is>
          <t>CNY</t>
        </is>
      </c>
      <c r="J317" t="inlineStr">
        <is>
          <t>ok</t>
        </is>
      </c>
      <c r="L317" t="b">
        <v>0</v>
      </c>
      <c r="M317" t="inlineStr">
        <is>
          <t>东方财富</t>
        </is>
      </c>
      <c r="N317" t="b">
        <v>1</v>
      </c>
    </row>
    <row r="318">
      <c r="A318" t="inlineStr">
        <is>
          <t>A股</t>
        </is>
      </c>
      <c r="B318" t="inlineStr">
        <is>
          <t>920735</t>
        </is>
      </c>
      <c r="C318" t="inlineStr">
        <is>
          <t>德源药业</t>
        </is>
      </c>
      <c r="D318" t="inlineStr">
        <is>
          <t>大宗交易</t>
        </is>
      </c>
      <c r="E318" t="inlineStr">
        <is>
          <t>东方财富</t>
        </is>
      </c>
      <c r="F318" t="inlineStr">
        <is>
          <t>RPT_DATA_BLOCKTRADE 2026（全市场分页后本地聚合）</t>
        </is>
      </c>
      <c r="G318" s="32" t="n">
        <v>46263.26141482598</v>
      </c>
      <c r="H318" t="inlineStr">
        <is>
          <t>CNY</t>
        </is>
      </c>
      <c r="I318" t="inlineStr">
        <is>
          <t>CNY</t>
        </is>
      </c>
      <c r="J318" t="inlineStr">
        <is>
          <t>ok</t>
        </is>
      </c>
      <c r="L318" t="b">
        <v>0</v>
      </c>
      <c r="M318" t="inlineStr">
        <is>
          <t>东方财富</t>
        </is>
      </c>
      <c r="N318" t="b">
        <v>1</v>
      </c>
    </row>
    <row r="319">
      <c r="A319" t="inlineStr">
        <is>
          <t>A股</t>
        </is>
      </c>
      <c r="B319" t="inlineStr">
        <is>
          <t>920735</t>
        </is>
      </c>
      <c r="C319" t="inlineStr">
        <is>
          <t>德源药业</t>
        </is>
      </c>
      <c r="D319" t="inlineStr">
        <is>
          <t>年度财务</t>
        </is>
      </c>
      <c r="E319" t="inlineStr">
        <is>
          <t>东方财富</t>
        </is>
      </c>
      <c r="F319" t="inlineStr">
        <is>
          <t>RPT_LICO_FN_CPD + RPT_DMSK_FN_CASHFLOW；巨潮回退原因：未配置巨潮官方 API 凭证/端点（CNINFO_ACCESS_TOKEN、CNINFO_INCOME_API_URL、CNINFO_CASHFLOW_API_URL）</t>
        </is>
      </c>
      <c r="G319" s="32" t="n">
        <v>46263.26149550778</v>
      </c>
      <c r="H319" t="inlineStr">
        <is>
          <t>CNY</t>
        </is>
      </c>
      <c r="I319" t="inlineStr">
        <is>
          <t>CNY</t>
        </is>
      </c>
      <c r="J319" t="inlineStr">
        <is>
          <t>ok</t>
        </is>
      </c>
      <c r="L319" t="b">
        <v>1</v>
      </c>
      <c r="M319" t="inlineStr">
        <is>
          <t>巨潮资讯（CNINFO Data Service）</t>
        </is>
      </c>
      <c r="N319" t="b">
        <v>1</v>
      </c>
    </row>
    <row r="320">
      <c r="A320" t="inlineStr">
        <is>
          <t>A股</t>
        </is>
      </c>
      <c r="B320" t="inlineStr">
        <is>
          <t>920735</t>
        </is>
      </c>
      <c r="C320" t="inlineStr">
        <is>
          <t>德源药业</t>
        </is>
      </c>
      <c r="D320" t="inlineStr">
        <is>
          <t>上市与发行信息</t>
        </is>
      </c>
      <c r="E320" t="inlineStr">
        <is>
          <t>东方财富</t>
        </is>
      </c>
      <c r="F320" t="inlineStr">
        <is>
          <t>RPT_PCF10_ORG_ISSUEINFO</t>
        </is>
      </c>
      <c r="G320" s="32" t="n">
        <v>46263.26157492286</v>
      </c>
      <c r="H320" t="inlineStr">
        <is>
          <t>CNY</t>
        </is>
      </c>
      <c r="I320" t="inlineStr">
        <is>
          <t>CNY</t>
        </is>
      </c>
      <c r="J320" t="inlineStr">
        <is>
          <t>ok</t>
        </is>
      </c>
      <c r="L320" t="b">
        <v>0</v>
      </c>
      <c r="M320" t="inlineStr">
        <is>
          <t>东方财富</t>
        </is>
      </c>
      <c r="N320" t="b">
        <v>1</v>
      </c>
    </row>
    <row r="321">
      <c r="A321" t="inlineStr">
        <is>
          <t>A股</t>
        </is>
      </c>
      <c r="B321" t="inlineStr">
        <is>
          <t>920735</t>
        </is>
      </c>
      <c r="C321" t="inlineStr">
        <is>
          <t>德源药业</t>
        </is>
      </c>
      <c r="D321" t="inlineStr">
        <is>
          <t>资金流</t>
        </is>
      </c>
      <c r="E321" t="inlineStr">
        <is>
          <t>东方财富</t>
        </is>
      </c>
      <c r="F321" t="inlineStr">
        <is>
          <t>fast-mode-no-reliable-batch-endpoint</t>
        </is>
      </c>
      <c r="G321" s="32" t="n">
        <v>46263.26159565565</v>
      </c>
      <c r="I321" t="inlineStr">
        <is>
          <t>CNY</t>
        </is>
      </c>
      <c r="J321" t="inlineStr">
        <is>
          <t>optional_missing</t>
        </is>
      </c>
      <c r="K321" t="inlineStr">
        <is>
          <t>快速模式未发现可靠的批量近五个交易日同口径字段，为避免逐股慢请求，本次留空</t>
        </is>
      </c>
      <c r="L321" t="b">
        <v>0</v>
      </c>
      <c r="M321" t="inlineStr">
        <is>
          <t>东方财富</t>
        </is>
      </c>
      <c r="N321" t="b">
        <v>1</v>
      </c>
    </row>
    <row r="322">
      <c r="A322" t="inlineStr">
        <is>
          <t>A股</t>
        </is>
      </c>
      <c r="B322" t="inlineStr">
        <is>
          <t>920729</t>
        </is>
      </c>
      <c r="C322" t="inlineStr">
        <is>
          <t>永顺生物</t>
        </is>
      </c>
      <c r="D322" t="inlineStr">
        <is>
          <t>最新行情</t>
        </is>
      </c>
      <c r="E322" t="inlineStr">
        <is>
          <t>东方财富</t>
        </is>
      </c>
      <c r="F322" t="inlineStr">
        <is>
          <t>push2 ulist.np/get f2,f20（按指定证券分批）</t>
        </is>
      </c>
      <c r="G322" s="32" t="n">
        <v>46263.26140913873</v>
      </c>
      <c r="H322" t="inlineStr">
        <is>
          <t>CNY</t>
        </is>
      </c>
      <c r="I322" t="inlineStr">
        <is>
          <t>CNY</t>
        </is>
      </c>
      <c r="J322" t="inlineStr">
        <is>
          <t>ok</t>
        </is>
      </c>
      <c r="L322" t="b">
        <v>0</v>
      </c>
      <c r="M322" t="inlineStr">
        <is>
          <t>东方财富</t>
        </is>
      </c>
      <c r="N322" t="b">
        <v>1</v>
      </c>
    </row>
    <row r="323">
      <c r="A323" t="inlineStr">
        <is>
          <t>A股</t>
        </is>
      </c>
      <c r="B323" t="inlineStr">
        <is>
          <t>920729</t>
        </is>
      </c>
      <c r="C323" t="inlineStr">
        <is>
          <t>永顺生物</t>
        </is>
      </c>
      <c r="D323" t="inlineStr">
        <is>
          <t>大宗交易</t>
        </is>
      </c>
      <c r="E323" t="inlineStr">
        <is>
          <t>东方财富</t>
        </is>
      </c>
      <c r="F323" t="inlineStr">
        <is>
          <t>RPT_DATA_BLOCKTRADE 2026（全市场分页后本地聚合）</t>
        </is>
      </c>
      <c r="G323" s="32" t="n">
        <v>46263.26141482598</v>
      </c>
      <c r="H323" t="inlineStr">
        <is>
          <t>CNY</t>
        </is>
      </c>
      <c r="I323" t="inlineStr">
        <is>
          <t>CNY</t>
        </is>
      </c>
      <c r="J323" t="inlineStr">
        <is>
          <t>ok</t>
        </is>
      </c>
      <c r="L323" t="b">
        <v>0</v>
      </c>
      <c r="M323" t="inlineStr">
        <is>
          <t>东方财富</t>
        </is>
      </c>
      <c r="N323" t="b">
        <v>1</v>
      </c>
    </row>
    <row r="324">
      <c r="A324" t="inlineStr">
        <is>
          <t>A股</t>
        </is>
      </c>
      <c r="B324" t="inlineStr">
        <is>
          <t>920729</t>
        </is>
      </c>
      <c r="C324" t="inlineStr">
        <is>
          <t>永顺生物</t>
        </is>
      </c>
      <c r="D324" t="inlineStr">
        <is>
          <t>年度财务</t>
        </is>
      </c>
      <c r="E324" t="inlineStr">
        <is>
          <t>东方财富</t>
        </is>
      </c>
      <c r="F324" t="inlineStr">
        <is>
          <t>RPT_LICO_FN_CPD + RPT_DMSK_FN_CASHFLOW；巨潮回退原因：未配置巨潮官方 API 凭证/端点（CNINFO_ACCESS_TOKEN、CNINFO_INCOME_API_URL、CNINFO_CASHFLOW_API_URL）</t>
        </is>
      </c>
      <c r="G324" s="32" t="n">
        <v>46263.2614953925</v>
      </c>
      <c r="H324" t="inlineStr">
        <is>
          <t>CNY</t>
        </is>
      </c>
      <c r="I324" t="inlineStr">
        <is>
          <t>CNY</t>
        </is>
      </c>
      <c r="J324" t="inlineStr">
        <is>
          <t>ok</t>
        </is>
      </c>
      <c r="L324" t="b">
        <v>1</v>
      </c>
      <c r="M324" t="inlineStr">
        <is>
          <t>巨潮资讯（CNINFO Data Service）</t>
        </is>
      </c>
      <c r="N324" t="b">
        <v>1</v>
      </c>
    </row>
    <row r="325">
      <c r="A325" t="inlineStr">
        <is>
          <t>A股</t>
        </is>
      </c>
      <c r="B325" t="inlineStr">
        <is>
          <t>920729</t>
        </is>
      </c>
      <c r="C325" t="inlineStr">
        <is>
          <t>永顺生物</t>
        </is>
      </c>
      <c r="D325" t="inlineStr">
        <is>
          <t>上市与发行信息</t>
        </is>
      </c>
      <c r="E325" t="inlineStr">
        <is>
          <t>东方财富</t>
        </is>
      </c>
      <c r="F325" t="inlineStr">
        <is>
          <t>RPT_PCF10_ORG_ISSUEINFO</t>
        </is>
      </c>
      <c r="G325" s="32" t="n">
        <v>46263.26157528164</v>
      </c>
      <c r="H325" t="inlineStr">
        <is>
          <t>CNY</t>
        </is>
      </c>
      <c r="I325" t="inlineStr">
        <is>
          <t>CNY</t>
        </is>
      </c>
      <c r="J325" t="inlineStr">
        <is>
          <t>ok</t>
        </is>
      </c>
      <c r="L325" t="b">
        <v>0</v>
      </c>
      <c r="M325" t="inlineStr">
        <is>
          <t>东方财富</t>
        </is>
      </c>
      <c r="N325" t="b">
        <v>1</v>
      </c>
    </row>
    <row r="326">
      <c r="A326" t="inlineStr">
        <is>
          <t>A股</t>
        </is>
      </c>
      <c r="B326" t="inlineStr">
        <is>
          <t>920729</t>
        </is>
      </c>
      <c r="C326" t="inlineStr">
        <is>
          <t>永顺生物</t>
        </is>
      </c>
      <c r="D326" t="inlineStr">
        <is>
          <t>资金流</t>
        </is>
      </c>
      <c r="E326" t="inlineStr">
        <is>
          <t>东方财富</t>
        </is>
      </c>
      <c r="F326" t="inlineStr">
        <is>
          <t>fast-mode-no-reliable-batch-endpoint</t>
        </is>
      </c>
      <c r="G326" s="32" t="n">
        <v>46263.26159565565</v>
      </c>
      <c r="I326" t="inlineStr">
        <is>
          <t>CNY</t>
        </is>
      </c>
      <c r="J326" t="inlineStr">
        <is>
          <t>optional_missing</t>
        </is>
      </c>
      <c r="K326" t="inlineStr">
        <is>
          <t>快速模式未发现可靠的批量近五个交易日同口径字段，为避免逐股慢请求，本次留空</t>
        </is>
      </c>
      <c r="L326" t="b">
        <v>0</v>
      </c>
      <c r="M326" t="inlineStr">
        <is>
          <t>东方财富</t>
        </is>
      </c>
      <c r="N326" t="b">
        <v>1</v>
      </c>
    </row>
    <row r="327">
      <c r="A327" t="inlineStr">
        <is>
          <t>A股</t>
        </is>
      </c>
      <c r="B327" t="inlineStr">
        <is>
          <t>920726</t>
        </is>
      </c>
      <c r="C327" t="inlineStr">
        <is>
          <t>朱老六</t>
        </is>
      </c>
      <c r="D327" t="inlineStr">
        <is>
          <t>最新行情</t>
        </is>
      </c>
      <c r="E327" t="inlineStr">
        <is>
          <t>东方财富</t>
        </is>
      </c>
      <c r="F327" t="inlineStr">
        <is>
          <t>push2 ulist.np/get f2,f20（按指定证券分批）</t>
        </is>
      </c>
      <c r="G327" s="32" t="n">
        <v>46263.26140913873</v>
      </c>
      <c r="H327" t="inlineStr">
        <is>
          <t>CNY</t>
        </is>
      </c>
      <c r="I327" t="inlineStr">
        <is>
          <t>CNY</t>
        </is>
      </c>
      <c r="J327" t="inlineStr">
        <is>
          <t>ok</t>
        </is>
      </c>
      <c r="L327" t="b">
        <v>0</v>
      </c>
      <c r="M327" t="inlineStr">
        <is>
          <t>东方财富</t>
        </is>
      </c>
      <c r="N327" t="b">
        <v>1</v>
      </c>
    </row>
    <row r="328">
      <c r="A328" t="inlineStr">
        <is>
          <t>A股</t>
        </is>
      </c>
      <c r="B328" t="inlineStr">
        <is>
          <t>920726</t>
        </is>
      </c>
      <c r="C328" t="inlineStr">
        <is>
          <t>朱老六</t>
        </is>
      </c>
      <c r="D328" t="inlineStr">
        <is>
          <t>大宗交易</t>
        </is>
      </c>
      <c r="E328" t="inlineStr">
        <is>
          <t>东方财富</t>
        </is>
      </c>
      <c r="F328" t="inlineStr">
        <is>
          <t>RPT_DATA_BLOCKTRADE 2026（全市场分页后本地聚合）</t>
        </is>
      </c>
      <c r="G328" s="32" t="n">
        <v>46263.26141482598</v>
      </c>
      <c r="H328" t="inlineStr">
        <is>
          <t>CNY</t>
        </is>
      </c>
      <c r="I328" t="inlineStr">
        <is>
          <t>CNY</t>
        </is>
      </c>
      <c r="J328" t="inlineStr">
        <is>
          <t>ok</t>
        </is>
      </c>
      <c r="L328" t="b">
        <v>0</v>
      </c>
      <c r="M328" t="inlineStr">
        <is>
          <t>东方财富</t>
        </is>
      </c>
      <c r="N328" t="b">
        <v>1</v>
      </c>
    </row>
    <row r="329">
      <c r="A329" t="inlineStr">
        <is>
          <t>A股</t>
        </is>
      </c>
      <c r="B329" t="inlineStr">
        <is>
          <t>920726</t>
        </is>
      </c>
      <c r="C329" t="inlineStr">
        <is>
          <t>朱老六</t>
        </is>
      </c>
      <c r="D329" t="inlineStr">
        <is>
          <t>年度财务</t>
        </is>
      </c>
      <c r="E329" t="inlineStr">
        <is>
          <t>东方财富</t>
        </is>
      </c>
      <c r="F329" t="inlineStr">
        <is>
          <t>RPT_LICO_FN_CPD + RPT_DMSK_FN_CASHFLOW；巨潮回退原因：未配置巨潮官方 API 凭证/端点（CNINFO_ACCESS_TOKEN、CNINFO_INCOME_API_URL、CNINFO_CASHFLOW_API_URL）</t>
        </is>
      </c>
      <c r="G329" s="32" t="n">
        <v>46263.26149908327</v>
      </c>
      <c r="H329" t="inlineStr">
        <is>
          <t>CNY</t>
        </is>
      </c>
      <c r="I329" t="inlineStr">
        <is>
          <t>CNY</t>
        </is>
      </c>
      <c r="J329" t="inlineStr">
        <is>
          <t>ok</t>
        </is>
      </c>
      <c r="L329" t="b">
        <v>1</v>
      </c>
      <c r="M329" t="inlineStr">
        <is>
          <t>巨潮资讯（CNINFO Data Service）</t>
        </is>
      </c>
      <c r="N329" t="b">
        <v>1</v>
      </c>
    </row>
    <row r="330">
      <c r="A330" t="inlineStr">
        <is>
          <t>A股</t>
        </is>
      </c>
      <c r="B330" t="inlineStr">
        <is>
          <t>920726</t>
        </is>
      </c>
      <c r="C330" t="inlineStr">
        <is>
          <t>朱老六</t>
        </is>
      </c>
      <c r="D330" t="inlineStr">
        <is>
          <t>上市与发行信息</t>
        </is>
      </c>
      <c r="E330" t="inlineStr">
        <is>
          <t>东方财富</t>
        </is>
      </c>
      <c r="F330" t="inlineStr">
        <is>
          <t>RPT_PCF10_ORG_ISSUEINFO</t>
        </is>
      </c>
      <c r="G330" s="32" t="n">
        <v>46263.26157675816</v>
      </c>
      <c r="H330" t="inlineStr">
        <is>
          <t>CNY</t>
        </is>
      </c>
      <c r="I330" t="inlineStr">
        <is>
          <t>CNY</t>
        </is>
      </c>
      <c r="J330" t="inlineStr">
        <is>
          <t>ok</t>
        </is>
      </c>
      <c r="L330" t="b">
        <v>0</v>
      </c>
      <c r="M330" t="inlineStr">
        <is>
          <t>东方财富</t>
        </is>
      </c>
      <c r="N330" t="b">
        <v>1</v>
      </c>
    </row>
    <row r="331">
      <c r="A331" t="inlineStr">
        <is>
          <t>A股</t>
        </is>
      </c>
      <c r="B331" t="inlineStr">
        <is>
          <t>920726</t>
        </is>
      </c>
      <c r="C331" t="inlineStr">
        <is>
          <t>朱老六</t>
        </is>
      </c>
      <c r="D331" t="inlineStr">
        <is>
          <t>资金流</t>
        </is>
      </c>
      <c r="E331" t="inlineStr">
        <is>
          <t>东方财富</t>
        </is>
      </c>
      <c r="F331" t="inlineStr">
        <is>
          <t>fast-mode-no-reliable-batch-endpoint</t>
        </is>
      </c>
      <c r="G331" s="32" t="n">
        <v>46263.26159565565</v>
      </c>
      <c r="I331" t="inlineStr">
        <is>
          <t>CNY</t>
        </is>
      </c>
      <c r="J331" t="inlineStr">
        <is>
          <t>optional_missing</t>
        </is>
      </c>
      <c r="K331" t="inlineStr">
        <is>
          <t>快速模式未发现可靠的批量近五个交易日同口径字段，为避免逐股慢请求，本次留空</t>
        </is>
      </c>
      <c r="L331" t="b">
        <v>0</v>
      </c>
      <c r="M331" t="inlineStr">
        <is>
          <t>东方财富</t>
        </is>
      </c>
      <c r="N331" t="b">
        <v>1</v>
      </c>
    </row>
    <row r="332">
      <c r="A332" t="inlineStr">
        <is>
          <t>A股</t>
        </is>
      </c>
      <c r="B332" t="inlineStr">
        <is>
          <t>920725</t>
        </is>
      </c>
      <c r="C332" t="inlineStr">
        <is>
          <t>惠丰钻石</t>
        </is>
      </c>
      <c r="D332" t="inlineStr">
        <is>
          <t>最新行情</t>
        </is>
      </c>
      <c r="E332" t="inlineStr">
        <is>
          <t>东方财富</t>
        </is>
      </c>
      <c r="F332" t="inlineStr">
        <is>
          <t>push2 ulist.np/get f2,f20（按指定证券分批）</t>
        </is>
      </c>
      <c r="G332" s="32" t="n">
        <v>46263.26140913873</v>
      </c>
      <c r="H332" t="inlineStr">
        <is>
          <t>CNY</t>
        </is>
      </c>
      <c r="I332" t="inlineStr">
        <is>
          <t>CNY</t>
        </is>
      </c>
      <c r="J332" t="inlineStr">
        <is>
          <t>ok</t>
        </is>
      </c>
      <c r="L332" t="b">
        <v>0</v>
      </c>
      <c r="M332" t="inlineStr">
        <is>
          <t>东方财富</t>
        </is>
      </c>
      <c r="N332" t="b">
        <v>1</v>
      </c>
    </row>
    <row r="333">
      <c r="A333" t="inlineStr">
        <is>
          <t>A股</t>
        </is>
      </c>
      <c r="B333" t="inlineStr">
        <is>
          <t>920725</t>
        </is>
      </c>
      <c r="C333" t="inlineStr">
        <is>
          <t>惠丰钻石</t>
        </is>
      </c>
      <c r="D333" t="inlineStr">
        <is>
          <t>大宗交易</t>
        </is>
      </c>
      <c r="E333" t="inlineStr">
        <is>
          <t>东方财富</t>
        </is>
      </c>
      <c r="F333" t="inlineStr">
        <is>
          <t>RPT_DATA_BLOCKTRADE 2026（全市场分页后本地聚合）</t>
        </is>
      </c>
      <c r="G333" s="32" t="n">
        <v>46263.26141482598</v>
      </c>
      <c r="H333" t="inlineStr">
        <is>
          <t>CNY</t>
        </is>
      </c>
      <c r="I333" t="inlineStr">
        <is>
          <t>CNY</t>
        </is>
      </c>
      <c r="J333" t="inlineStr">
        <is>
          <t>ok</t>
        </is>
      </c>
      <c r="L333" t="b">
        <v>0</v>
      </c>
      <c r="M333" t="inlineStr">
        <is>
          <t>东方财富</t>
        </is>
      </c>
      <c r="N333" t="b">
        <v>1</v>
      </c>
    </row>
    <row r="334">
      <c r="A334" t="inlineStr">
        <is>
          <t>A股</t>
        </is>
      </c>
      <c r="B334" t="inlineStr">
        <is>
          <t>920725</t>
        </is>
      </c>
      <c r="C334" t="inlineStr">
        <is>
          <t>惠丰钻石</t>
        </is>
      </c>
      <c r="D334" t="inlineStr">
        <is>
          <t>年度财务</t>
        </is>
      </c>
      <c r="E334" t="inlineStr">
        <is>
          <t>东方财富</t>
        </is>
      </c>
      <c r="F334" t="inlineStr">
        <is>
          <t>RPT_LICO_FN_CPD + RPT_DMSK_FN_CASHFLOW；巨潮回退原因：未配置巨潮官方 API 凭证/端点（CNINFO_ACCESS_TOKEN、CNINFO_INCOME_API_URL、CNINFO_CASHFLOW_API_URL）</t>
        </is>
      </c>
      <c r="G334" s="32" t="n">
        <v>46263.26149878209</v>
      </c>
      <c r="H334" t="inlineStr">
        <is>
          <t>CNY</t>
        </is>
      </c>
      <c r="I334" t="inlineStr">
        <is>
          <t>CNY</t>
        </is>
      </c>
      <c r="J334" t="inlineStr">
        <is>
          <t>ok</t>
        </is>
      </c>
      <c r="L334" t="b">
        <v>1</v>
      </c>
      <c r="M334" t="inlineStr">
        <is>
          <t>巨潮资讯（CNINFO Data Service）</t>
        </is>
      </c>
      <c r="N334" t="b">
        <v>1</v>
      </c>
    </row>
    <row r="335">
      <c r="A335" t="inlineStr">
        <is>
          <t>A股</t>
        </is>
      </c>
      <c r="B335" t="inlineStr">
        <is>
          <t>920725</t>
        </is>
      </c>
      <c r="C335" t="inlineStr">
        <is>
          <t>惠丰钻石</t>
        </is>
      </c>
      <c r="D335" t="inlineStr">
        <is>
          <t>上市与发行信息</t>
        </is>
      </c>
      <c r="E335" t="inlineStr">
        <is>
          <t>东方财富</t>
        </is>
      </c>
      <c r="F335" t="inlineStr">
        <is>
          <t>RPT_PCF10_ORG_ISSUEINFO</t>
        </is>
      </c>
      <c r="G335" s="32" t="n">
        <v>46263.26157712304</v>
      </c>
      <c r="H335" t="inlineStr">
        <is>
          <t>CNY</t>
        </is>
      </c>
      <c r="I335" t="inlineStr">
        <is>
          <t>CNY</t>
        </is>
      </c>
      <c r="J335" t="inlineStr">
        <is>
          <t>ok</t>
        </is>
      </c>
      <c r="L335" t="b">
        <v>0</v>
      </c>
      <c r="M335" t="inlineStr">
        <is>
          <t>东方财富</t>
        </is>
      </c>
      <c r="N335" t="b">
        <v>1</v>
      </c>
    </row>
    <row r="336">
      <c r="A336" t="inlineStr">
        <is>
          <t>A股</t>
        </is>
      </c>
      <c r="B336" t="inlineStr">
        <is>
          <t>920725</t>
        </is>
      </c>
      <c r="C336" t="inlineStr">
        <is>
          <t>惠丰钻石</t>
        </is>
      </c>
      <c r="D336" t="inlineStr">
        <is>
          <t>资金流</t>
        </is>
      </c>
      <c r="E336" t="inlineStr">
        <is>
          <t>东方财富</t>
        </is>
      </c>
      <c r="F336" t="inlineStr">
        <is>
          <t>fast-mode-no-reliable-batch-endpoint</t>
        </is>
      </c>
      <c r="G336" s="32" t="n">
        <v>46263.26159565565</v>
      </c>
      <c r="I336" t="inlineStr">
        <is>
          <t>CNY</t>
        </is>
      </c>
      <c r="J336" t="inlineStr">
        <is>
          <t>optional_missing</t>
        </is>
      </c>
      <c r="K336" t="inlineStr">
        <is>
          <t>快速模式未发现可靠的批量近五个交易日同口径字段，为避免逐股慢请求，本次留空</t>
        </is>
      </c>
      <c r="L336" t="b">
        <v>0</v>
      </c>
      <c r="M336" t="inlineStr">
        <is>
          <t>东方财富</t>
        </is>
      </c>
      <c r="N336" t="b">
        <v>1</v>
      </c>
    </row>
    <row r="337">
      <c r="A337" t="inlineStr">
        <is>
          <t>A股</t>
        </is>
      </c>
      <c r="B337" t="inlineStr">
        <is>
          <t>920720</t>
        </is>
      </c>
      <c r="C337" t="inlineStr">
        <is>
          <t>吉冈精密</t>
        </is>
      </c>
      <c r="D337" t="inlineStr">
        <is>
          <t>最新行情</t>
        </is>
      </c>
      <c r="E337" t="inlineStr">
        <is>
          <t>东方财富</t>
        </is>
      </c>
      <c r="F337" t="inlineStr">
        <is>
          <t>push2 ulist.np/get f2,f20（按指定证券分批）</t>
        </is>
      </c>
      <c r="G337" s="32" t="n">
        <v>46263.26140913873</v>
      </c>
      <c r="H337" t="inlineStr">
        <is>
          <t>CNY</t>
        </is>
      </c>
      <c r="I337" t="inlineStr">
        <is>
          <t>CNY</t>
        </is>
      </c>
      <c r="J337" t="inlineStr">
        <is>
          <t>ok</t>
        </is>
      </c>
      <c r="L337" t="b">
        <v>0</v>
      </c>
      <c r="M337" t="inlineStr">
        <is>
          <t>东方财富</t>
        </is>
      </c>
      <c r="N337" t="b">
        <v>1</v>
      </c>
    </row>
    <row r="338">
      <c r="A338" t="inlineStr">
        <is>
          <t>A股</t>
        </is>
      </c>
      <c r="B338" t="inlineStr">
        <is>
          <t>920720</t>
        </is>
      </c>
      <c r="C338" t="inlineStr">
        <is>
          <t>吉冈精密</t>
        </is>
      </c>
      <c r="D338" t="inlineStr">
        <is>
          <t>大宗交易</t>
        </is>
      </c>
      <c r="E338" t="inlineStr">
        <is>
          <t>东方财富</t>
        </is>
      </c>
      <c r="F338" t="inlineStr">
        <is>
          <t>RPT_DATA_BLOCKTRADE 2026（全市场分页后本地聚合）</t>
        </is>
      </c>
      <c r="G338" s="32" t="n">
        <v>46263.26141482598</v>
      </c>
      <c r="H338" t="inlineStr">
        <is>
          <t>CNY</t>
        </is>
      </c>
      <c r="I338" t="inlineStr">
        <is>
          <t>CNY</t>
        </is>
      </c>
      <c r="J338" t="inlineStr">
        <is>
          <t>ok</t>
        </is>
      </c>
      <c r="L338" t="b">
        <v>0</v>
      </c>
      <c r="M338" t="inlineStr">
        <is>
          <t>东方财富</t>
        </is>
      </c>
      <c r="N338" t="b">
        <v>1</v>
      </c>
    </row>
    <row r="339">
      <c r="A339" t="inlineStr">
        <is>
          <t>A股</t>
        </is>
      </c>
      <c r="B339" t="inlineStr">
        <is>
          <t>920720</t>
        </is>
      </c>
      <c r="C339" t="inlineStr">
        <is>
          <t>吉冈精密</t>
        </is>
      </c>
      <c r="D339" t="inlineStr">
        <is>
          <t>年度财务</t>
        </is>
      </c>
      <c r="E339" t="inlineStr">
        <is>
          <t>东方财富</t>
        </is>
      </c>
      <c r="F339" t="inlineStr">
        <is>
          <t>RPT_LICO_FN_CPD + RPT_DMSK_FN_CASHFLOW；巨潮回退原因：未配置巨潮官方 API 凭证/端点（CNINFO_ACCESS_TOKEN、CNINFO_INCOME_API_URL、CNINFO_CASHFLOW_API_URL）</t>
        </is>
      </c>
      <c r="G339" s="32" t="n">
        <v>46263.26149745331</v>
      </c>
      <c r="H339" t="inlineStr">
        <is>
          <t>CNY</t>
        </is>
      </c>
      <c r="I339" t="inlineStr">
        <is>
          <t>CNY</t>
        </is>
      </c>
      <c r="J339" t="inlineStr">
        <is>
          <t>ok</t>
        </is>
      </c>
      <c r="L339" t="b">
        <v>1</v>
      </c>
      <c r="M339" t="inlineStr">
        <is>
          <t>巨潮资讯（CNINFO Data Service）</t>
        </is>
      </c>
      <c r="N339" t="b">
        <v>1</v>
      </c>
    </row>
    <row r="340">
      <c r="A340" t="inlineStr">
        <is>
          <t>A股</t>
        </is>
      </c>
      <c r="B340" t="inlineStr">
        <is>
          <t>920720</t>
        </is>
      </c>
      <c r="C340" t="inlineStr">
        <is>
          <t>吉冈精密</t>
        </is>
      </c>
      <c r="D340" t="inlineStr">
        <is>
          <t>上市与发行信息</t>
        </is>
      </c>
      <c r="E340" t="inlineStr">
        <is>
          <t>东方财富</t>
        </is>
      </c>
      <c r="F340" t="inlineStr">
        <is>
          <t>RPT_PCF10_ORG_ISSUEINFO</t>
        </is>
      </c>
      <c r="G340" s="32" t="n">
        <v>46263.26157695037</v>
      </c>
      <c r="H340" t="inlineStr">
        <is>
          <t>CNY</t>
        </is>
      </c>
      <c r="I340" t="inlineStr">
        <is>
          <t>CNY</t>
        </is>
      </c>
      <c r="J340" t="inlineStr">
        <is>
          <t>ok</t>
        </is>
      </c>
      <c r="L340" t="b">
        <v>0</v>
      </c>
      <c r="M340" t="inlineStr">
        <is>
          <t>东方财富</t>
        </is>
      </c>
      <c r="N340" t="b">
        <v>1</v>
      </c>
    </row>
    <row r="341">
      <c r="A341" t="inlineStr">
        <is>
          <t>A股</t>
        </is>
      </c>
      <c r="B341" t="inlineStr">
        <is>
          <t>920720</t>
        </is>
      </c>
      <c r="C341" t="inlineStr">
        <is>
          <t>吉冈精密</t>
        </is>
      </c>
      <c r="D341" t="inlineStr">
        <is>
          <t>资金流</t>
        </is>
      </c>
      <c r="E341" t="inlineStr">
        <is>
          <t>东方财富</t>
        </is>
      </c>
      <c r="F341" t="inlineStr">
        <is>
          <t>fast-mode-no-reliable-batch-endpoint</t>
        </is>
      </c>
      <c r="G341" s="32" t="n">
        <v>46263.26159565565</v>
      </c>
      <c r="I341" t="inlineStr">
        <is>
          <t>CNY</t>
        </is>
      </c>
      <c r="J341" t="inlineStr">
        <is>
          <t>optional_missing</t>
        </is>
      </c>
      <c r="K341" t="inlineStr">
        <is>
          <t>快速模式未发现可靠的批量近五个交易日同口径字段，为避免逐股慢请求，本次留空</t>
        </is>
      </c>
      <c r="L341" t="b">
        <v>0</v>
      </c>
      <c r="M341" t="inlineStr">
        <is>
          <t>东方财富</t>
        </is>
      </c>
      <c r="N341" t="b">
        <v>1</v>
      </c>
    </row>
    <row r="342">
      <c r="A342" t="inlineStr">
        <is>
          <t>A股</t>
        </is>
      </c>
      <c r="B342" t="inlineStr">
        <is>
          <t>920719</t>
        </is>
      </c>
      <c r="C342" t="inlineStr">
        <is>
          <t>宁新新材</t>
        </is>
      </c>
      <c r="D342" t="inlineStr">
        <is>
          <t>最新行情</t>
        </is>
      </c>
      <c r="E342" t="inlineStr">
        <is>
          <t>东方财富</t>
        </is>
      </c>
      <c r="F342" t="inlineStr">
        <is>
          <t>push2 ulist.np/get f2,f20（按指定证券分批）</t>
        </is>
      </c>
      <c r="G342" s="32" t="n">
        <v>46263.26140913873</v>
      </c>
      <c r="H342" t="inlineStr">
        <is>
          <t>CNY</t>
        </is>
      </c>
      <c r="I342" t="inlineStr">
        <is>
          <t>CNY</t>
        </is>
      </c>
      <c r="J342" t="inlineStr">
        <is>
          <t>ok</t>
        </is>
      </c>
      <c r="L342" t="b">
        <v>0</v>
      </c>
      <c r="M342" t="inlineStr">
        <is>
          <t>东方财富</t>
        </is>
      </c>
      <c r="N342" t="b">
        <v>1</v>
      </c>
    </row>
    <row r="343">
      <c r="A343" t="inlineStr">
        <is>
          <t>A股</t>
        </is>
      </c>
      <c r="B343" t="inlineStr">
        <is>
          <t>920719</t>
        </is>
      </c>
      <c r="C343" t="inlineStr">
        <is>
          <t>宁新新材</t>
        </is>
      </c>
      <c r="D343" t="inlineStr">
        <is>
          <t>大宗交易</t>
        </is>
      </c>
      <c r="E343" t="inlineStr">
        <is>
          <t>东方财富</t>
        </is>
      </c>
      <c r="F343" t="inlineStr">
        <is>
          <t>RPT_DATA_BLOCKTRADE 2026（全市场分页后本地聚合）</t>
        </is>
      </c>
      <c r="G343" s="32" t="n">
        <v>46263.26141482598</v>
      </c>
      <c r="H343" t="inlineStr">
        <is>
          <t>CNY</t>
        </is>
      </c>
      <c r="I343" t="inlineStr">
        <is>
          <t>CNY</t>
        </is>
      </c>
      <c r="J343" t="inlineStr">
        <is>
          <t>ok</t>
        </is>
      </c>
      <c r="L343" t="b">
        <v>0</v>
      </c>
      <c r="M343" t="inlineStr">
        <is>
          <t>东方财富</t>
        </is>
      </c>
      <c r="N343" t="b">
        <v>1</v>
      </c>
    </row>
    <row r="344">
      <c r="A344" t="inlineStr">
        <is>
          <t>A股</t>
        </is>
      </c>
      <c r="B344" t="inlineStr">
        <is>
          <t>920719</t>
        </is>
      </c>
      <c r="C344" t="inlineStr">
        <is>
          <t>宁新新材</t>
        </is>
      </c>
      <c r="D344" t="inlineStr">
        <is>
          <t>年度财务</t>
        </is>
      </c>
      <c r="E344" t="inlineStr">
        <is>
          <t>东方财富</t>
        </is>
      </c>
      <c r="F344" t="inlineStr">
        <is>
          <t>RPT_LICO_FN_CPD + RPT_DMSK_FN_CASHFLOW；巨潮回退原因：未配置巨潮官方 API 凭证/端点（CNINFO_ACCESS_TOKEN、CNINFO_INCOME_API_URL、CNINFO_CASHFLOW_API_URL）</t>
        </is>
      </c>
      <c r="G344" s="32" t="n">
        <v>46263.26149947199</v>
      </c>
      <c r="H344" t="inlineStr">
        <is>
          <t>CNY</t>
        </is>
      </c>
      <c r="I344" t="inlineStr">
        <is>
          <t>CNY</t>
        </is>
      </c>
      <c r="J344" t="inlineStr">
        <is>
          <t>ok</t>
        </is>
      </c>
      <c r="L344" t="b">
        <v>1</v>
      </c>
      <c r="M344" t="inlineStr">
        <is>
          <t>巨潮资讯（CNINFO Data Service）</t>
        </is>
      </c>
      <c r="N344" t="b">
        <v>1</v>
      </c>
    </row>
    <row r="345">
      <c r="A345" t="inlineStr">
        <is>
          <t>A股</t>
        </is>
      </c>
      <c r="B345" t="inlineStr">
        <is>
          <t>920719</t>
        </is>
      </c>
      <c r="C345" t="inlineStr">
        <is>
          <t>宁新新材</t>
        </is>
      </c>
      <c r="D345" t="inlineStr">
        <is>
          <t>上市与发行信息</t>
        </is>
      </c>
      <c r="E345" t="inlineStr">
        <is>
          <t>东方财富</t>
        </is>
      </c>
      <c r="F345" t="inlineStr">
        <is>
          <t>RPT_PCF10_ORG_ISSUEINFO</t>
        </is>
      </c>
      <c r="G345" s="32" t="n">
        <v>46263.26157765696</v>
      </c>
      <c r="H345" t="inlineStr">
        <is>
          <t>CNY</t>
        </is>
      </c>
      <c r="I345" t="inlineStr">
        <is>
          <t>CNY</t>
        </is>
      </c>
      <c r="J345" t="inlineStr">
        <is>
          <t>ok</t>
        </is>
      </c>
      <c r="L345" t="b">
        <v>0</v>
      </c>
      <c r="M345" t="inlineStr">
        <is>
          <t>东方财富</t>
        </is>
      </c>
      <c r="N345" t="b">
        <v>1</v>
      </c>
    </row>
    <row r="346">
      <c r="A346" t="inlineStr">
        <is>
          <t>A股</t>
        </is>
      </c>
      <c r="B346" t="inlineStr">
        <is>
          <t>920719</t>
        </is>
      </c>
      <c r="C346" t="inlineStr">
        <is>
          <t>宁新新材</t>
        </is>
      </c>
      <c r="D346" t="inlineStr">
        <is>
          <t>资金流</t>
        </is>
      </c>
      <c r="E346" t="inlineStr">
        <is>
          <t>东方财富</t>
        </is>
      </c>
      <c r="F346" t="inlineStr">
        <is>
          <t>fast-mode-no-reliable-batch-endpoint</t>
        </is>
      </c>
      <c r="G346" s="32" t="n">
        <v>46263.26159565565</v>
      </c>
      <c r="I346" t="inlineStr">
        <is>
          <t>CNY</t>
        </is>
      </c>
      <c r="J346" t="inlineStr">
        <is>
          <t>optional_missing</t>
        </is>
      </c>
      <c r="K346" t="inlineStr">
        <is>
          <t>快速模式未发现可靠的批量近五个交易日同口径字段，为避免逐股慢请求，本次留空</t>
        </is>
      </c>
      <c r="L346" t="b">
        <v>0</v>
      </c>
      <c r="M346" t="inlineStr">
        <is>
          <t>东方财富</t>
        </is>
      </c>
      <c r="N346" t="b">
        <v>1</v>
      </c>
    </row>
    <row r="347">
      <c r="A347" t="inlineStr">
        <is>
          <t>A股</t>
        </is>
      </c>
      <c r="B347" t="inlineStr">
        <is>
          <t>920718</t>
        </is>
      </c>
      <c r="C347" t="inlineStr">
        <is>
          <t>合肥高科</t>
        </is>
      </c>
      <c r="D347" t="inlineStr">
        <is>
          <t>最新行情</t>
        </is>
      </c>
      <c r="E347" t="inlineStr">
        <is>
          <t>东方财富</t>
        </is>
      </c>
      <c r="F347" t="inlineStr">
        <is>
          <t>push2 ulist.np/get f2,f20（按指定证券分批）</t>
        </is>
      </c>
      <c r="G347" s="32" t="n">
        <v>46263.26140913873</v>
      </c>
      <c r="H347" t="inlineStr">
        <is>
          <t>CNY</t>
        </is>
      </c>
      <c r="I347" t="inlineStr">
        <is>
          <t>CNY</t>
        </is>
      </c>
      <c r="J347" t="inlineStr">
        <is>
          <t>ok</t>
        </is>
      </c>
      <c r="L347" t="b">
        <v>0</v>
      </c>
      <c r="M347" t="inlineStr">
        <is>
          <t>东方财富</t>
        </is>
      </c>
      <c r="N347" t="b">
        <v>1</v>
      </c>
    </row>
    <row r="348">
      <c r="A348" t="inlineStr">
        <is>
          <t>A股</t>
        </is>
      </c>
      <c r="B348" t="inlineStr">
        <is>
          <t>920718</t>
        </is>
      </c>
      <c r="C348" t="inlineStr">
        <is>
          <t>合肥高科</t>
        </is>
      </c>
      <c r="D348" t="inlineStr">
        <is>
          <t>大宗交易</t>
        </is>
      </c>
      <c r="E348" t="inlineStr">
        <is>
          <t>东方财富</t>
        </is>
      </c>
      <c r="F348" t="inlineStr">
        <is>
          <t>RPT_DATA_BLOCKTRADE 2026（全市场分页后本地聚合）</t>
        </is>
      </c>
      <c r="G348" s="32" t="n">
        <v>46263.26141482598</v>
      </c>
      <c r="H348" t="inlineStr">
        <is>
          <t>CNY</t>
        </is>
      </c>
      <c r="I348" t="inlineStr">
        <is>
          <t>CNY</t>
        </is>
      </c>
      <c r="J348" t="inlineStr">
        <is>
          <t>ok</t>
        </is>
      </c>
      <c r="L348" t="b">
        <v>0</v>
      </c>
      <c r="M348" t="inlineStr">
        <is>
          <t>东方财富</t>
        </is>
      </c>
      <c r="N348" t="b">
        <v>1</v>
      </c>
    </row>
    <row r="349">
      <c r="A349" t="inlineStr">
        <is>
          <t>A股</t>
        </is>
      </c>
      <c r="B349" t="inlineStr">
        <is>
          <t>920718</t>
        </is>
      </c>
      <c r="C349" t="inlineStr">
        <is>
          <t>合肥高科</t>
        </is>
      </c>
      <c r="D349" t="inlineStr">
        <is>
          <t>年度财务</t>
        </is>
      </c>
      <c r="E349" t="inlineStr">
        <is>
          <t>东方财富</t>
        </is>
      </c>
      <c r="F349" t="inlineStr">
        <is>
          <t>RPT_LICO_FN_CPD + RPT_DMSK_FN_CASHFLOW；巨潮回退原因：未配置巨潮官方 API 凭证/端点（CNINFO_ACCESS_TOKEN、CNINFO_INCOME_API_URL、CNINFO_CASHFLOW_API_URL）</t>
        </is>
      </c>
      <c r="G349" s="32" t="n">
        <v>46263.2615020849</v>
      </c>
      <c r="H349" t="inlineStr">
        <is>
          <t>CNY</t>
        </is>
      </c>
      <c r="I349" t="inlineStr">
        <is>
          <t>CNY</t>
        </is>
      </c>
      <c r="J349" t="inlineStr">
        <is>
          <t>ok</t>
        </is>
      </c>
      <c r="L349" t="b">
        <v>1</v>
      </c>
      <c r="M349" t="inlineStr">
        <is>
          <t>巨潮资讯（CNINFO Data Service）</t>
        </is>
      </c>
      <c r="N349" t="b">
        <v>1</v>
      </c>
    </row>
    <row r="350">
      <c r="A350" t="inlineStr">
        <is>
          <t>A股</t>
        </is>
      </c>
      <c r="B350" t="inlineStr">
        <is>
          <t>920718</t>
        </is>
      </c>
      <c r="C350" t="inlineStr">
        <is>
          <t>合肥高科</t>
        </is>
      </c>
      <c r="D350" t="inlineStr">
        <is>
          <t>上市与发行信息</t>
        </is>
      </c>
      <c r="E350" t="inlineStr">
        <is>
          <t>东方财富</t>
        </is>
      </c>
      <c r="F350" t="inlineStr">
        <is>
          <t>RPT_PCF10_ORG_ISSUEINFO</t>
        </is>
      </c>
      <c r="G350" s="32" t="n">
        <v>46263.26157861333</v>
      </c>
      <c r="H350" t="inlineStr">
        <is>
          <t>CNY</t>
        </is>
      </c>
      <c r="I350" t="inlineStr">
        <is>
          <t>CNY</t>
        </is>
      </c>
      <c r="J350" t="inlineStr">
        <is>
          <t>ok</t>
        </is>
      </c>
      <c r="L350" t="b">
        <v>0</v>
      </c>
      <c r="M350" t="inlineStr">
        <is>
          <t>东方财富</t>
        </is>
      </c>
      <c r="N350" t="b">
        <v>1</v>
      </c>
    </row>
    <row r="351">
      <c r="A351" t="inlineStr">
        <is>
          <t>A股</t>
        </is>
      </c>
      <c r="B351" t="inlineStr">
        <is>
          <t>920718</t>
        </is>
      </c>
      <c r="C351" t="inlineStr">
        <is>
          <t>合肥高科</t>
        </is>
      </c>
      <c r="D351" t="inlineStr">
        <is>
          <t>资金流</t>
        </is>
      </c>
      <c r="E351" t="inlineStr">
        <is>
          <t>东方财富</t>
        </is>
      </c>
      <c r="F351" t="inlineStr">
        <is>
          <t>fast-mode-no-reliable-batch-endpoint</t>
        </is>
      </c>
      <c r="G351" s="32" t="n">
        <v>46263.26159565565</v>
      </c>
      <c r="I351" t="inlineStr">
        <is>
          <t>CNY</t>
        </is>
      </c>
      <c r="J351" t="inlineStr">
        <is>
          <t>optional_missing</t>
        </is>
      </c>
      <c r="K351" t="inlineStr">
        <is>
          <t>快速模式未发现可靠的批量近五个交易日同口径字段，为避免逐股慢请求，本次留空</t>
        </is>
      </c>
      <c r="L351" t="b">
        <v>0</v>
      </c>
      <c r="M351" t="inlineStr">
        <is>
          <t>东方财富</t>
        </is>
      </c>
      <c r="N351" t="b">
        <v>1</v>
      </c>
    </row>
    <row r="352">
      <c r="A352" t="inlineStr">
        <is>
          <t>A股</t>
        </is>
      </c>
      <c r="B352" t="inlineStr">
        <is>
          <t>920717</t>
        </is>
      </c>
      <c r="C352" t="inlineStr">
        <is>
          <t>瑞星股份</t>
        </is>
      </c>
      <c r="D352" t="inlineStr">
        <is>
          <t>最新行情</t>
        </is>
      </c>
      <c r="E352" t="inlineStr">
        <is>
          <t>东方财富</t>
        </is>
      </c>
      <c r="F352" t="inlineStr">
        <is>
          <t>push2 ulist.np/get f2,f20（按指定证券分批）</t>
        </is>
      </c>
      <c r="G352" s="32" t="n">
        <v>46263.26140913873</v>
      </c>
      <c r="H352" t="inlineStr">
        <is>
          <t>CNY</t>
        </is>
      </c>
      <c r="I352" t="inlineStr">
        <is>
          <t>CNY</t>
        </is>
      </c>
      <c r="J352" t="inlineStr">
        <is>
          <t>ok</t>
        </is>
      </c>
      <c r="L352" t="b">
        <v>0</v>
      </c>
      <c r="M352" t="inlineStr">
        <is>
          <t>东方财富</t>
        </is>
      </c>
      <c r="N352" t="b">
        <v>1</v>
      </c>
    </row>
    <row r="353">
      <c r="A353" t="inlineStr">
        <is>
          <t>A股</t>
        </is>
      </c>
      <c r="B353" t="inlineStr">
        <is>
          <t>920717</t>
        </is>
      </c>
      <c r="C353" t="inlineStr">
        <is>
          <t>瑞星股份</t>
        </is>
      </c>
      <c r="D353" t="inlineStr">
        <is>
          <t>大宗交易</t>
        </is>
      </c>
      <c r="E353" t="inlineStr">
        <is>
          <t>东方财富</t>
        </is>
      </c>
      <c r="F353" t="inlineStr">
        <is>
          <t>RPT_DATA_BLOCKTRADE 2026（全市场分页后本地聚合）</t>
        </is>
      </c>
      <c r="G353" s="32" t="n">
        <v>46263.26141483762</v>
      </c>
      <c r="H353" t="inlineStr">
        <is>
          <t>CNY</t>
        </is>
      </c>
      <c r="I353" t="inlineStr">
        <is>
          <t>CNY</t>
        </is>
      </c>
      <c r="J353" t="inlineStr">
        <is>
          <t>ok</t>
        </is>
      </c>
      <c r="L353" t="b">
        <v>0</v>
      </c>
      <c r="M353" t="inlineStr">
        <is>
          <t>东方财富</t>
        </is>
      </c>
      <c r="N353" t="b">
        <v>1</v>
      </c>
    </row>
    <row r="354">
      <c r="A354" t="inlineStr">
        <is>
          <t>A股</t>
        </is>
      </c>
      <c r="B354" t="inlineStr">
        <is>
          <t>920717</t>
        </is>
      </c>
      <c r="C354" t="inlineStr">
        <is>
          <t>瑞星股份</t>
        </is>
      </c>
      <c r="D354" t="inlineStr">
        <is>
          <t>年度财务</t>
        </is>
      </c>
      <c r="E354" t="inlineStr">
        <is>
          <t>东方财富</t>
        </is>
      </c>
      <c r="F354" t="inlineStr">
        <is>
          <t>RPT_LICO_FN_CPD + RPT_DMSK_FN_CASHFLOW；巨潮回退原因：未配置巨潮官方 API 凭证/端点（CNINFO_ACCESS_TOKEN、CNINFO_INCOME_API_URL、CNINFO_CASHFLOW_API_URL）</t>
        </is>
      </c>
      <c r="G354" s="32" t="n">
        <v>46263.26150201722</v>
      </c>
      <c r="H354" t="inlineStr">
        <is>
          <t>CNY</t>
        </is>
      </c>
      <c r="I354" t="inlineStr">
        <is>
          <t>CNY</t>
        </is>
      </c>
      <c r="J354" t="inlineStr">
        <is>
          <t>ok</t>
        </is>
      </c>
      <c r="L354" t="b">
        <v>1</v>
      </c>
      <c r="M354" t="inlineStr">
        <is>
          <t>巨潮资讯（CNINFO Data Service）</t>
        </is>
      </c>
      <c r="N354" t="b">
        <v>1</v>
      </c>
    </row>
    <row r="355">
      <c r="A355" t="inlineStr">
        <is>
          <t>A股</t>
        </is>
      </c>
      <c r="B355" t="inlineStr">
        <is>
          <t>920717</t>
        </is>
      </c>
      <c r="C355" t="inlineStr">
        <is>
          <t>瑞星股份</t>
        </is>
      </c>
      <c r="D355" t="inlineStr">
        <is>
          <t>上市与发行信息</t>
        </is>
      </c>
      <c r="E355" t="inlineStr">
        <is>
          <t>东方财富</t>
        </is>
      </c>
      <c r="F355" t="inlineStr">
        <is>
          <t>RPT_PCF10_ORG_ISSUEINFO</t>
        </is>
      </c>
      <c r="G355" s="32" t="n">
        <v>46263.26157875124</v>
      </c>
      <c r="H355" t="inlineStr">
        <is>
          <t>CNY</t>
        </is>
      </c>
      <c r="I355" t="inlineStr">
        <is>
          <t>CNY</t>
        </is>
      </c>
      <c r="J355" t="inlineStr">
        <is>
          <t>ok</t>
        </is>
      </c>
      <c r="L355" t="b">
        <v>0</v>
      </c>
      <c r="M355" t="inlineStr">
        <is>
          <t>东方财富</t>
        </is>
      </c>
      <c r="N355" t="b">
        <v>1</v>
      </c>
    </row>
    <row r="356">
      <c r="A356" t="inlineStr">
        <is>
          <t>A股</t>
        </is>
      </c>
      <c r="B356" t="inlineStr">
        <is>
          <t>920717</t>
        </is>
      </c>
      <c r="C356" t="inlineStr">
        <is>
          <t>瑞星股份</t>
        </is>
      </c>
      <c r="D356" t="inlineStr">
        <is>
          <t>资金流</t>
        </is>
      </c>
      <c r="E356" t="inlineStr">
        <is>
          <t>东方财富</t>
        </is>
      </c>
      <c r="F356" t="inlineStr">
        <is>
          <t>fast-mode-no-reliable-batch-endpoint</t>
        </is>
      </c>
      <c r="G356" s="32" t="n">
        <v>46263.26159565565</v>
      </c>
      <c r="I356" t="inlineStr">
        <is>
          <t>CNY</t>
        </is>
      </c>
      <c r="J356" t="inlineStr">
        <is>
          <t>optional_missing</t>
        </is>
      </c>
      <c r="K356" t="inlineStr">
        <is>
          <t>快速模式未发现可靠的批量近五个交易日同口径字段，为避免逐股慢请求，本次留空</t>
        </is>
      </c>
      <c r="L356" t="b">
        <v>0</v>
      </c>
      <c r="M356" t="inlineStr">
        <is>
          <t>东方财富</t>
        </is>
      </c>
      <c r="N356" t="b">
        <v>1</v>
      </c>
    </row>
    <row r="357">
      <c r="A357" t="inlineStr">
        <is>
          <t>A股</t>
        </is>
      </c>
      <c r="B357" t="inlineStr">
        <is>
          <t>920706</t>
        </is>
      </c>
      <c r="C357" t="inlineStr">
        <is>
          <t>铁拓机械</t>
        </is>
      </c>
      <c r="D357" t="inlineStr">
        <is>
          <t>最新行情</t>
        </is>
      </c>
      <c r="E357" t="inlineStr">
        <is>
          <t>东方财富</t>
        </is>
      </c>
      <c r="F357" t="inlineStr">
        <is>
          <t>push2 ulist.np/get f2,f20（按指定证券分批）</t>
        </is>
      </c>
      <c r="G357" s="32" t="n">
        <v>46263.26140913873</v>
      </c>
      <c r="H357" t="inlineStr">
        <is>
          <t>CNY</t>
        </is>
      </c>
      <c r="I357" t="inlineStr">
        <is>
          <t>CNY</t>
        </is>
      </c>
      <c r="J357" t="inlineStr">
        <is>
          <t>ok</t>
        </is>
      </c>
      <c r="L357" t="b">
        <v>0</v>
      </c>
      <c r="M357" t="inlineStr">
        <is>
          <t>东方财富</t>
        </is>
      </c>
      <c r="N357" t="b">
        <v>1</v>
      </c>
    </row>
    <row r="358">
      <c r="A358" t="inlineStr">
        <is>
          <t>A股</t>
        </is>
      </c>
      <c r="B358" t="inlineStr">
        <is>
          <t>920706</t>
        </is>
      </c>
      <c r="C358" t="inlineStr">
        <is>
          <t>铁拓机械</t>
        </is>
      </c>
      <c r="D358" t="inlineStr">
        <is>
          <t>大宗交易</t>
        </is>
      </c>
      <c r="E358" t="inlineStr">
        <is>
          <t>东方财富</t>
        </is>
      </c>
      <c r="F358" t="inlineStr">
        <is>
          <t>RPT_DATA_BLOCKTRADE 2026（全市场分页后本地聚合）</t>
        </is>
      </c>
      <c r="G358" s="32" t="n">
        <v>46263.26141483762</v>
      </c>
      <c r="H358" t="inlineStr">
        <is>
          <t>CNY</t>
        </is>
      </c>
      <c r="I358" t="inlineStr">
        <is>
          <t>CNY</t>
        </is>
      </c>
      <c r="J358" t="inlineStr">
        <is>
          <t>ok</t>
        </is>
      </c>
      <c r="L358" t="b">
        <v>0</v>
      </c>
      <c r="M358" t="inlineStr">
        <is>
          <t>东方财富</t>
        </is>
      </c>
      <c r="N358" t="b">
        <v>1</v>
      </c>
    </row>
    <row r="359">
      <c r="A359" t="inlineStr">
        <is>
          <t>A股</t>
        </is>
      </c>
      <c r="B359" t="inlineStr">
        <is>
          <t>920706</t>
        </is>
      </c>
      <c r="C359" t="inlineStr">
        <is>
          <t>铁拓机械</t>
        </is>
      </c>
      <c r="D359" t="inlineStr">
        <is>
          <t>年度财务</t>
        </is>
      </c>
      <c r="E359" t="inlineStr">
        <is>
          <t>东方财富</t>
        </is>
      </c>
      <c r="F359" t="inlineStr">
        <is>
          <t>RPT_LICO_FN_CPD + RPT_DMSK_FN_CASHFLOW；巨潮回退原因：未配置巨潮官方 API 凭证/端点（CNINFO_ACCESS_TOKEN、CNINFO_INCOME_API_URL、CNINFO_CASHFLOW_API_URL）</t>
        </is>
      </c>
      <c r="G359" s="32" t="n">
        <v>46263.2615045881</v>
      </c>
      <c r="H359" t="inlineStr">
        <is>
          <t>CNY</t>
        </is>
      </c>
      <c r="I359" t="inlineStr">
        <is>
          <t>CNY</t>
        </is>
      </c>
      <c r="J359" t="inlineStr">
        <is>
          <t>ok</t>
        </is>
      </c>
      <c r="L359" t="b">
        <v>1</v>
      </c>
      <c r="M359" t="inlineStr">
        <is>
          <t>巨潮资讯（CNINFO Data Service）</t>
        </is>
      </c>
      <c r="N359" t="b">
        <v>1</v>
      </c>
    </row>
    <row r="360">
      <c r="A360" t="inlineStr">
        <is>
          <t>A股</t>
        </is>
      </c>
      <c r="B360" t="inlineStr">
        <is>
          <t>920706</t>
        </is>
      </c>
      <c r="C360" t="inlineStr">
        <is>
          <t>铁拓机械</t>
        </is>
      </c>
      <c r="D360" t="inlineStr">
        <is>
          <t>上市与发行信息</t>
        </is>
      </c>
      <c r="E360" t="inlineStr">
        <is>
          <t>东方财富</t>
        </is>
      </c>
      <c r="F360" t="inlineStr">
        <is>
          <t>RPT_PCF10_ORG_ISSUEINFO</t>
        </is>
      </c>
      <c r="G360" s="32" t="n">
        <v>46263.26157938263</v>
      </c>
      <c r="H360" t="inlineStr">
        <is>
          <t>CNY</t>
        </is>
      </c>
      <c r="I360" t="inlineStr">
        <is>
          <t>CNY</t>
        </is>
      </c>
      <c r="J360" t="inlineStr">
        <is>
          <t>ok</t>
        </is>
      </c>
      <c r="L360" t="b">
        <v>0</v>
      </c>
      <c r="M360" t="inlineStr">
        <is>
          <t>东方财富</t>
        </is>
      </c>
      <c r="N360" t="b">
        <v>1</v>
      </c>
    </row>
    <row r="361">
      <c r="A361" t="inlineStr">
        <is>
          <t>A股</t>
        </is>
      </c>
      <c r="B361" t="inlineStr">
        <is>
          <t>920706</t>
        </is>
      </c>
      <c r="C361" t="inlineStr">
        <is>
          <t>铁拓机械</t>
        </is>
      </c>
      <c r="D361" t="inlineStr">
        <is>
          <t>资金流</t>
        </is>
      </c>
      <c r="E361" t="inlineStr">
        <is>
          <t>东方财富</t>
        </is>
      </c>
      <c r="F361" t="inlineStr">
        <is>
          <t>fast-mode-no-reliable-batch-endpoint</t>
        </is>
      </c>
      <c r="G361" s="32" t="n">
        <v>46263.26159565565</v>
      </c>
      <c r="I361" t="inlineStr">
        <is>
          <t>CNY</t>
        </is>
      </c>
      <c r="J361" t="inlineStr">
        <is>
          <t>optional_missing</t>
        </is>
      </c>
      <c r="K361" t="inlineStr">
        <is>
          <t>快速模式未发现可靠的批量近五个交易日同口径字段，为避免逐股慢请求，本次留空</t>
        </is>
      </c>
      <c r="L361" t="b">
        <v>0</v>
      </c>
      <c r="M361" t="inlineStr">
        <is>
          <t>东方财富</t>
        </is>
      </c>
      <c r="N361" t="b">
        <v>1</v>
      </c>
    </row>
    <row r="362">
      <c r="A362" t="inlineStr">
        <is>
          <t>A股</t>
        </is>
      </c>
      <c r="B362" t="inlineStr">
        <is>
          <t>920703</t>
        </is>
      </c>
      <c r="C362" t="inlineStr">
        <is>
          <t>广厦环能</t>
        </is>
      </c>
      <c r="D362" t="inlineStr">
        <is>
          <t>最新行情</t>
        </is>
      </c>
      <c r="E362" t="inlineStr">
        <is>
          <t>东方财富</t>
        </is>
      </c>
      <c r="F362" t="inlineStr">
        <is>
          <t>push2 ulist.np/get f2,f20（按指定证券分批）</t>
        </is>
      </c>
      <c r="G362" s="32" t="n">
        <v>46263.26140913873</v>
      </c>
      <c r="H362" t="inlineStr">
        <is>
          <t>CNY</t>
        </is>
      </c>
      <c r="I362" t="inlineStr">
        <is>
          <t>CNY</t>
        </is>
      </c>
      <c r="J362" t="inlineStr">
        <is>
          <t>ok</t>
        </is>
      </c>
      <c r="L362" t="b">
        <v>0</v>
      </c>
      <c r="M362" t="inlineStr">
        <is>
          <t>东方财富</t>
        </is>
      </c>
      <c r="N362" t="b">
        <v>1</v>
      </c>
    </row>
    <row r="363">
      <c r="A363" t="inlineStr">
        <is>
          <t>A股</t>
        </is>
      </c>
      <c r="B363" t="inlineStr">
        <is>
          <t>920703</t>
        </is>
      </c>
      <c r="C363" t="inlineStr">
        <is>
          <t>广厦环能</t>
        </is>
      </c>
      <c r="D363" t="inlineStr">
        <is>
          <t>大宗交易</t>
        </is>
      </c>
      <c r="E363" t="inlineStr">
        <is>
          <t>东方财富</t>
        </is>
      </c>
      <c r="F363" t="inlineStr">
        <is>
          <t>RPT_DATA_BLOCKTRADE 2026（全市场分页后本地聚合）</t>
        </is>
      </c>
      <c r="G363" s="32" t="n">
        <v>46263.26141483762</v>
      </c>
      <c r="H363" t="inlineStr">
        <is>
          <t>CNY</t>
        </is>
      </c>
      <c r="I363" t="inlineStr">
        <is>
          <t>CNY</t>
        </is>
      </c>
      <c r="J363" t="inlineStr">
        <is>
          <t>ok</t>
        </is>
      </c>
      <c r="L363" t="b">
        <v>0</v>
      </c>
      <c r="M363" t="inlineStr">
        <is>
          <t>东方财富</t>
        </is>
      </c>
      <c r="N363" t="b">
        <v>1</v>
      </c>
    </row>
    <row r="364">
      <c r="A364" t="inlineStr">
        <is>
          <t>A股</t>
        </is>
      </c>
      <c r="B364" t="inlineStr">
        <is>
          <t>920703</t>
        </is>
      </c>
      <c r="C364" t="inlineStr">
        <is>
          <t>广厦环能</t>
        </is>
      </c>
      <c r="D364" t="inlineStr">
        <is>
          <t>年度财务</t>
        </is>
      </c>
      <c r="E364" t="inlineStr">
        <is>
          <t>东方财富</t>
        </is>
      </c>
      <c r="F364" t="inlineStr">
        <is>
          <t>RPT_LICO_FN_CPD + RPT_DMSK_FN_CASHFLOW；巨潮回退原因：未配置巨潮官方 API 凭证/端点（CNINFO_ACCESS_TOKEN、CNINFO_INCOME_API_URL、CNINFO_CASHFLOW_API_URL）</t>
        </is>
      </c>
      <c r="G364" s="32" t="n">
        <v>46263.26150427038</v>
      </c>
      <c r="H364" t="inlineStr">
        <is>
          <t>CNY</t>
        </is>
      </c>
      <c r="I364" t="inlineStr">
        <is>
          <t>CNY</t>
        </is>
      </c>
      <c r="J364" t="inlineStr">
        <is>
          <t>ok</t>
        </is>
      </c>
      <c r="L364" t="b">
        <v>1</v>
      </c>
      <c r="M364" t="inlineStr">
        <is>
          <t>巨潮资讯（CNINFO Data Service）</t>
        </is>
      </c>
      <c r="N364" t="b">
        <v>1</v>
      </c>
    </row>
    <row r="365">
      <c r="A365" t="inlineStr">
        <is>
          <t>A股</t>
        </is>
      </c>
      <c r="B365" t="inlineStr">
        <is>
          <t>920703</t>
        </is>
      </c>
      <c r="C365" t="inlineStr">
        <is>
          <t>广厦环能</t>
        </is>
      </c>
      <c r="D365" t="inlineStr">
        <is>
          <t>上市与发行信息</t>
        </is>
      </c>
      <c r="E365" t="inlineStr">
        <is>
          <t>东方财富</t>
        </is>
      </c>
      <c r="F365" t="inlineStr">
        <is>
          <t>RPT_PCF10_ORG_ISSUEINFO</t>
        </is>
      </c>
      <c r="G365" s="32" t="n">
        <v>46263.26158100231</v>
      </c>
      <c r="H365" t="inlineStr">
        <is>
          <t>CNY</t>
        </is>
      </c>
      <c r="I365" t="inlineStr">
        <is>
          <t>CNY</t>
        </is>
      </c>
      <c r="J365" t="inlineStr">
        <is>
          <t>ok</t>
        </is>
      </c>
      <c r="L365" t="b">
        <v>0</v>
      </c>
      <c r="M365" t="inlineStr">
        <is>
          <t>东方财富</t>
        </is>
      </c>
      <c r="N365" t="b">
        <v>1</v>
      </c>
    </row>
    <row r="366">
      <c r="A366" t="inlineStr">
        <is>
          <t>A股</t>
        </is>
      </c>
      <c r="B366" t="inlineStr">
        <is>
          <t>920703</t>
        </is>
      </c>
      <c r="C366" t="inlineStr">
        <is>
          <t>广厦环能</t>
        </is>
      </c>
      <c r="D366" t="inlineStr">
        <is>
          <t>资金流</t>
        </is>
      </c>
      <c r="E366" t="inlineStr">
        <is>
          <t>东方财富</t>
        </is>
      </c>
      <c r="F366" t="inlineStr">
        <is>
          <t>fast-mode-no-reliable-batch-endpoint</t>
        </is>
      </c>
      <c r="G366" s="32" t="n">
        <v>46263.26159565565</v>
      </c>
      <c r="I366" t="inlineStr">
        <is>
          <t>CNY</t>
        </is>
      </c>
      <c r="J366" t="inlineStr">
        <is>
          <t>optional_missing</t>
        </is>
      </c>
      <c r="K366" t="inlineStr">
        <is>
          <t>快速模式未发现可靠的批量近五个交易日同口径字段，为避免逐股慢请求，本次留空</t>
        </is>
      </c>
      <c r="L366" t="b">
        <v>0</v>
      </c>
      <c r="M366" t="inlineStr">
        <is>
          <t>东方财富</t>
        </is>
      </c>
      <c r="N366" t="b">
        <v>1</v>
      </c>
    </row>
    <row r="367">
      <c r="A367" t="inlineStr">
        <is>
          <t>A股</t>
        </is>
      </c>
      <c r="B367" t="inlineStr">
        <is>
          <t>920701</t>
        </is>
      </c>
      <c r="C367" t="inlineStr">
        <is>
          <t>豪声电子</t>
        </is>
      </c>
      <c r="D367" t="inlineStr">
        <is>
          <t>最新行情</t>
        </is>
      </c>
      <c r="E367" t="inlineStr">
        <is>
          <t>东方财富</t>
        </is>
      </c>
      <c r="F367" t="inlineStr">
        <is>
          <t>push2 ulist.np/get f2,f20（按指定证券分批）</t>
        </is>
      </c>
      <c r="G367" s="32" t="n">
        <v>46263.26140913873</v>
      </c>
      <c r="H367" t="inlineStr">
        <is>
          <t>CNY</t>
        </is>
      </c>
      <c r="I367" t="inlineStr">
        <is>
          <t>CNY</t>
        </is>
      </c>
      <c r="J367" t="inlineStr">
        <is>
          <t>ok</t>
        </is>
      </c>
      <c r="L367" t="b">
        <v>0</v>
      </c>
      <c r="M367" t="inlineStr">
        <is>
          <t>东方财富</t>
        </is>
      </c>
      <c r="N367" t="b">
        <v>1</v>
      </c>
    </row>
    <row r="368">
      <c r="A368" t="inlineStr">
        <is>
          <t>A股</t>
        </is>
      </c>
      <c r="B368" t="inlineStr">
        <is>
          <t>920701</t>
        </is>
      </c>
      <c r="C368" t="inlineStr">
        <is>
          <t>豪声电子</t>
        </is>
      </c>
      <c r="D368" t="inlineStr">
        <is>
          <t>大宗交易</t>
        </is>
      </c>
      <c r="E368" t="inlineStr">
        <is>
          <t>东方财富</t>
        </is>
      </c>
      <c r="F368" t="inlineStr">
        <is>
          <t>RPT_DATA_BLOCKTRADE 2026（全市场分页后本地聚合）</t>
        </is>
      </c>
      <c r="G368" s="32" t="n">
        <v>46263.26141483762</v>
      </c>
      <c r="H368" t="inlineStr">
        <is>
          <t>CNY</t>
        </is>
      </c>
      <c r="I368" t="inlineStr">
        <is>
          <t>CNY</t>
        </is>
      </c>
      <c r="J368" t="inlineStr">
        <is>
          <t>ok</t>
        </is>
      </c>
      <c r="L368" t="b">
        <v>0</v>
      </c>
      <c r="M368" t="inlineStr">
        <is>
          <t>东方财富</t>
        </is>
      </c>
      <c r="N368" t="b">
        <v>1</v>
      </c>
    </row>
    <row r="369">
      <c r="A369" t="inlineStr">
        <is>
          <t>A股</t>
        </is>
      </c>
      <c r="B369" t="inlineStr">
        <is>
          <t>920701</t>
        </is>
      </c>
      <c r="C369" t="inlineStr">
        <is>
          <t>豪声电子</t>
        </is>
      </c>
      <c r="D369" t="inlineStr">
        <is>
          <t>年度财务</t>
        </is>
      </c>
      <c r="E369" t="inlineStr">
        <is>
          <t>东方财富</t>
        </is>
      </c>
      <c r="F369" t="inlineStr">
        <is>
          <t>RPT_LICO_FN_CPD + RPT_DMSK_FN_CASHFLOW；巨潮回退原因：未配置巨潮官方 API 凭证/端点（CNINFO_ACCESS_TOKEN、CNINFO_INCOME_API_URL、CNINFO_CASHFLOW_API_URL）</t>
        </is>
      </c>
      <c r="G369" s="32" t="n">
        <v>46263.26150626339</v>
      </c>
      <c r="H369" t="inlineStr">
        <is>
          <t>CNY</t>
        </is>
      </c>
      <c r="I369" t="inlineStr">
        <is>
          <t>CNY</t>
        </is>
      </c>
      <c r="J369" t="inlineStr">
        <is>
          <t>ok</t>
        </is>
      </c>
      <c r="L369" t="b">
        <v>1</v>
      </c>
      <c r="M369" t="inlineStr">
        <is>
          <t>巨潮资讯（CNINFO Data Service）</t>
        </is>
      </c>
      <c r="N369" t="b">
        <v>1</v>
      </c>
    </row>
    <row r="370">
      <c r="A370" t="inlineStr">
        <is>
          <t>A股</t>
        </is>
      </c>
      <c r="B370" t="inlineStr">
        <is>
          <t>920701</t>
        </is>
      </c>
      <c r="C370" t="inlineStr">
        <is>
          <t>豪声电子</t>
        </is>
      </c>
      <c r="D370" t="inlineStr">
        <is>
          <t>上市与发行信息</t>
        </is>
      </c>
      <c r="E370" t="inlineStr">
        <is>
          <t>东方财富</t>
        </is>
      </c>
      <c r="F370" t="inlineStr">
        <is>
          <t>RPT_PCF10_ORG_ISSUEINFO</t>
        </is>
      </c>
      <c r="G370" s="32" t="n">
        <v>46263.26158050071</v>
      </c>
      <c r="H370" t="inlineStr">
        <is>
          <t>CNY</t>
        </is>
      </c>
      <c r="I370" t="inlineStr">
        <is>
          <t>CNY</t>
        </is>
      </c>
      <c r="J370" t="inlineStr">
        <is>
          <t>ok</t>
        </is>
      </c>
      <c r="L370" t="b">
        <v>0</v>
      </c>
      <c r="M370" t="inlineStr">
        <is>
          <t>东方财富</t>
        </is>
      </c>
      <c r="N370" t="b">
        <v>1</v>
      </c>
    </row>
    <row r="371">
      <c r="A371" t="inlineStr">
        <is>
          <t>A股</t>
        </is>
      </c>
      <c r="B371" t="inlineStr">
        <is>
          <t>920701</t>
        </is>
      </c>
      <c r="C371" t="inlineStr">
        <is>
          <t>豪声电子</t>
        </is>
      </c>
      <c r="D371" t="inlineStr">
        <is>
          <t>资金流</t>
        </is>
      </c>
      <c r="E371" t="inlineStr">
        <is>
          <t>东方财富</t>
        </is>
      </c>
      <c r="F371" t="inlineStr">
        <is>
          <t>fast-mode-no-reliable-batch-endpoint</t>
        </is>
      </c>
      <c r="G371" s="32" t="n">
        <v>46263.26159565565</v>
      </c>
      <c r="I371" t="inlineStr">
        <is>
          <t>CNY</t>
        </is>
      </c>
      <c r="J371" t="inlineStr">
        <is>
          <t>optional_missing</t>
        </is>
      </c>
      <c r="K371" t="inlineStr">
        <is>
          <t>快速模式未发现可靠的批量近五个交易日同口径字段，为避免逐股慢请求，本次留空</t>
        </is>
      </c>
      <c r="L371" t="b">
        <v>0</v>
      </c>
      <c r="M371" t="inlineStr">
        <is>
          <t>东方财富</t>
        </is>
      </c>
      <c r="N371" t="b">
        <v>1</v>
      </c>
    </row>
    <row r="372">
      <c r="A372" t="inlineStr">
        <is>
          <t>A股</t>
        </is>
      </c>
      <c r="B372" t="inlineStr">
        <is>
          <t>920699</t>
        </is>
      </c>
      <c r="C372" t="inlineStr">
        <is>
          <t>海达尔</t>
        </is>
      </c>
      <c r="D372" t="inlineStr">
        <is>
          <t>最新行情</t>
        </is>
      </c>
      <c r="E372" t="inlineStr">
        <is>
          <t>东方财富</t>
        </is>
      </c>
      <c r="F372" t="inlineStr">
        <is>
          <t>push2 ulist.np/get f2,f20（按指定证券分批）</t>
        </is>
      </c>
      <c r="G372" s="32" t="n">
        <v>46263.26140913873</v>
      </c>
      <c r="H372" t="inlineStr">
        <is>
          <t>CNY</t>
        </is>
      </c>
      <c r="I372" t="inlineStr">
        <is>
          <t>CNY</t>
        </is>
      </c>
      <c r="J372" t="inlineStr">
        <is>
          <t>ok</t>
        </is>
      </c>
      <c r="L372" t="b">
        <v>0</v>
      </c>
      <c r="M372" t="inlineStr">
        <is>
          <t>东方财富</t>
        </is>
      </c>
      <c r="N372" t="b">
        <v>1</v>
      </c>
    </row>
    <row r="373">
      <c r="A373" t="inlineStr">
        <is>
          <t>A股</t>
        </is>
      </c>
      <c r="B373" t="inlineStr">
        <is>
          <t>920699</t>
        </is>
      </c>
      <c r="C373" t="inlineStr">
        <is>
          <t>海达尔</t>
        </is>
      </c>
      <c r="D373" t="inlineStr">
        <is>
          <t>大宗交易</t>
        </is>
      </c>
      <c r="E373" t="inlineStr">
        <is>
          <t>东方财富</t>
        </is>
      </c>
      <c r="F373" t="inlineStr">
        <is>
          <t>RPT_DATA_BLOCKTRADE 2026（全市场分页后本地聚合）</t>
        </is>
      </c>
      <c r="G373" s="32" t="n">
        <v>46263.26141483762</v>
      </c>
      <c r="H373" t="inlineStr">
        <is>
          <t>CNY</t>
        </is>
      </c>
      <c r="I373" t="inlineStr">
        <is>
          <t>CNY</t>
        </is>
      </c>
      <c r="J373" t="inlineStr">
        <is>
          <t>ok</t>
        </is>
      </c>
      <c r="L373" t="b">
        <v>0</v>
      </c>
      <c r="M373" t="inlineStr">
        <is>
          <t>东方财富</t>
        </is>
      </c>
      <c r="N373" t="b">
        <v>1</v>
      </c>
    </row>
    <row r="374">
      <c r="A374" t="inlineStr">
        <is>
          <t>A股</t>
        </is>
      </c>
      <c r="B374" t="inlineStr">
        <is>
          <t>920699</t>
        </is>
      </c>
      <c r="C374" t="inlineStr">
        <is>
          <t>海达尔</t>
        </is>
      </c>
      <c r="D374" t="inlineStr">
        <is>
          <t>年度财务</t>
        </is>
      </c>
      <c r="E374" t="inlineStr">
        <is>
          <t>东方财富</t>
        </is>
      </c>
      <c r="F374" t="inlineStr">
        <is>
          <t>RPT_LICO_FN_CPD + RPT_DMSK_FN_CASHFLOW；巨潮回退原因：未配置巨潮官方 API 凭证/端点（CNINFO_ACCESS_TOKEN、CNINFO_INCOME_API_URL、CNINFO_CASHFLOW_API_URL）</t>
        </is>
      </c>
      <c r="G374" s="32" t="n">
        <v>46263.26150777883</v>
      </c>
      <c r="H374" t="inlineStr">
        <is>
          <t>CNY</t>
        </is>
      </c>
      <c r="I374" t="inlineStr">
        <is>
          <t>CNY</t>
        </is>
      </c>
      <c r="J374" t="inlineStr">
        <is>
          <t>ok</t>
        </is>
      </c>
      <c r="L374" t="b">
        <v>1</v>
      </c>
      <c r="M374" t="inlineStr">
        <is>
          <t>巨潮资讯（CNINFO Data Service）</t>
        </is>
      </c>
      <c r="N374" t="b">
        <v>1</v>
      </c>
    </row>
    <row r="375">
      <c r="A375" t="inlineStr">
        <is>
          <t>A股</t>
        </is>
      </c>
      <c r="B375" t="inlineStr">
        <is>
          <t>920699</t>
        </is>
      </c>
      <c r="C375" t="inlineStr">
        <is>
          <t>海达尔</t>
        </is>
      </c>
      <c r="D375" t="inlineStr">
        <is>
          <t>上市与发行信息</t>
        </is>
      </c>
      <c r="E375" t="inlineStr">
        <is>
          <t>东方财富</t>
        </is>
      </c>
      <c r="F375" t="inlineStr">
        <is>
          <t>RPT_PCF10_ORG_ISSUEINFO</t>
        </is>
      </c>
      <c r="G375" s="32" t="n">
        <v>46263.26158112073</v>
      </c>
      <c r="H375" t="inlineStr">
        <is>
          <t>CNY</t>
        </is>
      </c>
      <c r="I375" t="inlineStr">
        <is>
          <t>CNY</t>
        </is>
      </c>
      <c r="J375" t="inlineStr">
        <is>
          <t>ok</t>
        </is>
      </c>
      <c r="L375" t="b">
        <v>0</v>
      </c>
      <c r="M375" t="inlineStr">
        <is>
          <t>东方财富</t>
        </is>
      </c>
      <c r="N375" t="b">
        <v>1</v>
      </c>
    </row>
    <row r="376">
      <c r="A376" t="inlineStr">
        <is>
          <t>A股</t>
        </is>
      </c>
      <c r="B376" t="inlineStr">
        <is>
          <t>920699</t>
        </is>
      </c>
      <c r="C376" t="inlineStr">
        <is>
          <t>海达尔</t>
        </is>
      </c>
      <c r="D376" t="inlineStr">
        <is>
          <t>资金流</t>
        </is>
      </c>
      <c r="E376" t="inlineStr">
        <is>
          <t>东方财富</t>
        </is>
      </c>
      <c r="F376" t="inlineStr">
        <is>
          <t>fast-mode-no-reliable-batch-endpoint</t>
        </is>
      </c>
      <c r="G376" s="32" t="n">
        <v>46263.26159565565</v>
      </c>
      <c r="I376" t="inlineStr">
        <is>
          <t>CNY</t>
        </is>
      </c>
      <c r="J376" t="inlineStr">
        <is>
          <t>optional_missing</t>
        </is>
      </c>
      <c r="K376" t="inlineStr">
        <is>
          <t>快速模式未发现可靠的批量近五个交易日同口径字段，为避免逐股慢请求，本次留空</t>
        </is>
      </c>
      <c r="L376" t="b">
        <v>0</v>
      </c>
      <c r="M376" t="inlineStr">
        <is>
          <t>东方财富</t>
        </is>
      </c>
      <c r="N376" t="b">
        <v>1</v>
      </c>
    </row>
    <row r="377">
      <c r="A377" t="inlineStr">
        <is>
          <t>A股</t>
        </is>
      </c>
      <c r="B377" t="inlineStr">
        <is>
          <t>920694</t>
        </is>
      </c>
      <c r="C377" t="inlineStr">
        <is>
          <t>中裕科技</t>
        </is>
      </c>
      <c r="D377" t="inlineStr">
        <is>
          <t>最新行情</t>
        </is>
      </c>
      <c r="E377" t="inlineStr">
        <is>
          <t>东方财富</t>
        </is>
      </c>
      <c r="F377" t="inlineStr">
        <is>
          <t>push2 ulist.np/get f2,f20（按指定证券分批）</t>
        </is>
      </c>
      <c r="G377" s="32" t="n">
        <v>46263.26140913873</v>
      </c>
      <c r="H377" t="inlineStr">
        <is>
          <t>CNY</t>
        </is>
      </c>
      <c r="I377" t="inlineStr">
        <is>
          <t>CNY</t>
        </is>
      </c>
      <c r="J377" t="inlineStr">
        <is>
          <t>ok</t>
        </is>
      </c>
      <c r="L377" t="b">
        <v>0</v>
      </c>
      <c r="M377" t="inlineStr">
        <is>
          <t>东方财富</t>
        </is>
      </c>
      <c r="N377" t="b">
        <v>1</v>
      </c>
    </row>
    <row r="378">
      <c r="A378" t="inlineStr">
        <is>
          <t>A股</t>
        </is>
      </c>
      <c r="B378" t="inlineStr">
        <is>
          <t>920694</t>
        </is>
      </c>
      <c r="C378" t="inlineStr">
        <is>
          <t>中裕科技</t>
        </is>
      </c>
      <c r="D378" t="inlineStr">
        <is>
          <t>大宗交易</t>
        </is>
      </c>
      <c r="E378" t="inlineStr">
        <is>
          <t>东方财富</t>
        </is>
      </c>
      <c r="F378" t="inlineStr">
        <is>
          <t>RPT_DATA_BLOCKTRADE 2026（全市场分页后本地聚合）</t>
        </is>
      </c>
      <c r="G378" s="32" t="n">
        <v>46263.26141483762</v>
      </c>
      <c r="H378" t="inlineStr">
        <is>
          <t>CNY</t>
        </is>
      </c>
      <c r="I378" t="inlineStr">
        <is>
          <t>CNY</t>
        </is>
      </c>
      <c r="J378" t="inlineStr">
        <is>
          <t>ok</t>
        </is>
      </c>
      <c r="L378" t="b">
        <v>0</v>
      </c>
      <c r="M378" t="inlineStr">
        <is>
          <t>东方财富</t>
        </is>
      </c>
      <c r="N378" t="b">
        <v>1</v>
      </c>
    </row>
    <row r="379">
      <c r="A379" t="inlineStr">
        <is>
          <t>A股</t>
        </is>
      </c>
      <c r="B379" t="inlineStr">
        <is>
          <t>920694</t>
        </is>
      </c>
      <c r="C379" t="inlineStr">
        <is>
          <t>中裕科技</t>
        </is>
      </c>
      <c r="D379" t="inlineStr">
        <is>
          <t>年度财务</t>
        </is>
      </c>
      <c r="E379" t="inlineStr">
        <is>
          <t>东方财富</t>
        </is>
      </c>
      <c r="F379" t="inlineStr">
        <is>
          <t>RPT_LICO_FN_CPD + RPT_DMSK_FN_CASHFLOW；巨潮回退原因：未配置巨潮官方 API 凭证/端点（CNINFO_ACCESS_TOKEN、CNINFO_INCOME_API_URL、CNINFO_CASHFLOW_API_URL）</t>
        </is>
      </c>
      <c r="G379" s="32" t="n">
        <v>46263.2615078625</v>
      </c>
      <c r="H379" t="inlineStr">
        <is>
          <t>CNY</t>
        </is>
      </c>
      <c r="I379" t="inlineStr">
        <is>
          <t>CNY</t>
        </is>
      </c>
      <c r="J379" t="inlineStr">
        <is>
          <t>ok</t>
        </is>
      </c>
      <c r="L379" t="b">
        <v>1</v>
      </c>
      <c r="M379" t="inlineStr">
        <is>
          <t>巨潮资讯（CNINFO Data Service）</t>
        </is>
      </c>
      <c r="N379" t="b">
        <v>1</v>
      </c>
    </row>
    <row r="380">
      <c r="A380" t="inlineStr">
        <is>
          <t>A股</t>
        </is>
      </c>
      <c r="B380" t="inlineStr">
        <is>
          <t>920694</t>
        </is>
      </c>
      <c r="C380" t="inlineStr">
        <is>
          <t>中裕科技</t>
        </is>
      </c>
      <c r="D380" t="inlineStr">
        <is>
          <t>上市与发行信息</t>
        </is>
      </c>
      <c r="E380" t="inlineStr">
        <is>
          <t>东方财富</t>
        </is>
      </c>
      <c r="F380" t="inlineStr">
        <is>
          <t>RPT_PCF10_ORG_ISSUEINFO</t>
        </is>
      </c>
      <c r="G380" s="32" t="n">
        <v>46263.26158167813</v>
      </c>
      <c r="H380" t="inlineStr">
        <is>
          <t>CNY</t>
        </is>
      </c>
      <c r="I380" t="inlineStr">
        <is>
          <t>CNY</t>
        </is>
      </c>
      <c r="J380" t="inlineStr">
        <is>
          <t>ok</t>
        </is>
      </c>
      <c r="L380" t="b">
        <v>0</v>
      </c>
      <c r="M380" t="inlineStr">
        <is>
          <t>东方财富</t>
        </is>
      </c>
      <c r="N380" t="b">
        <v>1</v>
      </c>
    </row>
    <row r="381">
      <c r="A381" t="inlineStr">
        <is>
          <t>A股</t>
        </is>
      </c>
      <c r="B381" t="inlineStr">
        <is>
          <t>920694</t>
        </is>
      </c>
      <c r="C381" t="inlineStr">
        <is>
          <t>中裕科技</t>
        </is>
      </c>
      <c r="D381" t="inlineStr">
        <is>
          <t>资金流</t>
        </is>
      </c>
      <c r="E381" t="inlineStr">
        <is>
          <t>东方财富</t>
        </is>
      </c>
      <c r="F381" t="inlineStr">
        <is>
          <t>fast-mode-no-reliable-batch-endpoint</t>
        </is>
      </c>
      <c r="G381" s="32" t="n">
        <v>46263.26159565565</v>
      </c>
      <c r="I381" t="inlineStr">
        <is>
          <t>CNY</t>
        </is>
      </c>
      <c r="J381" t="inlineStr">
        <is>
          <t>optional_missing</t>
        </is>
      </c>
      <c r="K381" t="inlineStr">
        <is>
          <t>快速模式未发现可靠的批量近五个交易日同口径字段，为避免逐股慢请求，本次留空</t>
        </is>
      </c>
      <c r="L381" t="b">
        <v>0</v>
      </c>
      <c r="M381" t="inlineStr">
        <is>
          <t>东方财富</t>
        </is>
      </c>
      <c r="N381" t="b">
        <v>1</v>
      </c>
    </row>
    <row r="382">
      <c r="A382" t="inlineStr">
        <is>
          <t>A股</t>
        </is>
      </c>
      <c r="B382" t="inlineStr">
        <is>
          <t>920693</t>
        </is>
      </c>
      <c r="C382" t="inlineStr">
        <is>
          <t>阿为特</t>
        </is>
      </c>
      <c r="D382" t="inlineStr">
        <is>
          <t>最新行情</t>
        </is>
      </c>
      <c r="E382" t="inlineStr">
        <is>
          <t>东方财富</t>
        </is>
      </c>
      <c r="F382" t="inlineStr">
        <is>
          <t>push2 ulist.np/get f2,f20（按指定证券分批）</t>
        </is>
      </c>
      <c r="G382" s="32" t="n">
        <v>46263.26140913873</v>
      </c>
      <c r="H382" t="inlineStr">
        <is>
          <t>CNY</t>
        </is>
      </c>
      <c r="I382" t="inlineStr">
        <is>
          <t>CNY</t>
        </is>
      </c>
      <c r="J382" t="inlineStr">
        <is>
          <t>ok</t>
        </is>
      </c>
      <c r="L382" t="b">
        <v>0</v>
      </c>
      <c r="M382" t="inlineStr">
        <is>
          <t>东方财富</t>
        </is>
      </c>
      <c r="N382" t="b">
        <v>1</v>
      </c>
    </row>
    <row r="383">
      <c r="A383" t="inlineStr">
        <is>
          <t>A股</t>
        </is>
      </c>
      <c r="B383" t="inlineStr">
        <is>
          <t>920693</t>
        </is>
      </c>
      <c r="C383" t="inlineStr">
        <is>
          <t>阿为特</t>
        </is>
      </c>
      <c r="D383" t="inlineStr">
        <is>
          <t>大宗交易</t>
        </is>
      </c>
      <c r="E383" t="inlineStr">
        <is>
          <t>东方财富</t>
        </is>
      </c>
      <c r="F383" t="inlineStr">
        <is>
          <t>RPT_DATA_BLOCKTRADE 2026（全市场分页后本地聚合）</t>
        </is>
      </c>
      <c r="G383" s="32" t="n">
        <v>46263.26141483762</v>
      </c>
      <c r="H383" t="inlineStr">
        <is>
          <t>CNY</t>
        </is>
      </c>
      <c r="I383" t="inlineStr">
        <is>
          <t>CNY</t>
        </is>
      </c>
      <c r="J383" t="inlineStr">
        <is>
          <t>ok</t>
        </is>
      </c>
      <c r="L383" t="b">
        <v>0</v>
      </c>
      <c r="M383" t="inlineStr">
        <is>
          <t>东方财富</t>
        </is>
      </c>
      <c r="N383" t="b">
        <v>1</v>
      </c>
    </row>
    <row r="384">
      <c r="A384" t="inlineStr">
        <is>
          <t>A股</t>
        </is>
      </c>
      <c r="B384" t="inlineStr">
        <is>
          <t>920693</t>
        </is>
      </c>
      <c r="C384" t="inlineStr">
        <is>
          <t>阿为特</t>
        </is>
      </c>
      <c r="D384" t="inlineStr">
        <is>
          <t>年度财务</t>
        </is>
      </c>
      <c r="E384" t="inlineStr">
        <is>
          <t>东方财富</t>
        </is>
      </c>
      <c r="F384" t="inlineStr">
        <is>
          <t>RPT_LICO_FN_CPD + RPT_DMSK_FN_CASHFLOW；巨潮回退原因：未配置巨潮官方 API 凭证/端点（CNINFO_ACCESS_TOKEN、CNINFO_INCOME_API_URL、CNINFO_CASHFLOW_API_URL）</t>
        </is>
      </c>
      <c r="G384" s="32" t="n">
        <v>46263.26150949781</v>
      </c>
      <c r="H384" t="inlineStr">
        <is>
          <t>CNY</t>
        </is>
      </c>
      <c r="I384" t="inlineStr">
        <is>
          <t>CNY</t>
        </is>
      </c>
      <c r="J384" t="inlineStr">
        <is>
          <t>ok</t>
        </is>
      </c>
      <c r="L384" t="b">
        <v>1</v>
      </c>
      <c r="M384" t="inlineStr">
        <is>
          <t>巨潮资讯（CNINFO Data Service）</t>
        </is>
      </c>
      <c r="N384" t="b">
        <v>1</v>
      </c>
    </row>
    <row r="385">
      <c r="A385" t="inlineStr">
        <is>
          <t>A股</t>
        </is>
      </c>
      <c r="B385" t="inlineStr">
        <is>
          <t>920693</t>
        </is>
      </c>
      <c r="C385" t="inlineStr">
        <is>
          <t>阿为特</t>
        </is>
      </c>
      <c r="D385" t="inlineStr">
        <is>
          <t>上市与发行信息</t>
        </is>
      </c>
      <c r="E385" t="inlineStr">
        <is>
          <t>东方财富</t>
        </is>
      </c>
      <c r="F385" t="inlineStr">
        <is>
          <t>RPT_PCF10_ORG_ISSUEINFO</t>
        </is>
      </c>
      <c r="G385" s="32" t="n">
        <v>46263.26158226901</v>
      </c>
      <c r="H385" t="inlineStr">
        <is>
          <t>CNY</t>
        </is>
      </c>
      <c r="I385" t="inlineStr">
        <is>
          <t>CNY</t>
        </is>
      </c>
      <c r="J385" t="inlineStr">
        <is>
          <t>ok</t>
        </is>
      </c>
      <c r="L385" t="b">
        <v>0</v>
      </c>
      <c r="M385" t="inlineStr">
        <is>
          <t>东方财富</t>
        </is>
      </c>
      <c r="N385" t="b">
        <v>1</v>
      </c>
    </row>
    <row r="386">
      <c r="A386" t="inlineStr">
        <is>
          <t>A股</t>
        </is>
      </c>
      <c r="B386" t="inlineStr">
        <is>
          <t>920693</t>
        </is>
      </c>
      <c r="C386" t="inlineStr">
        <is>
          <t>阿为特</t>
        </is>
      </c>
      <c r="D386" t="inlineStr">
        <is>
          <t>资金流</t>
        </is>
      </c>
      <c r="E386" t="inlineStr">
        <is>
          <t>东方财富</t>
        </is>
      </c>
      <c r="F386" t="inlineStr">
        <is>
          <t>fast-mode-no-reliable-batch-endpoint</t>
        </is>
      </c>
      <c r="G386" s="32" t="n">
        <v>46263.26159565565</v>
      </c>
      <c r="I386" t="inlineStr">
        <is>
          <t>CNY</t>
        </is>
      </c>
      <c r="J386" t="inlineStr">
        <is>
          <t>optional_missing</t>
        </is>
      </c>
      <c r="K386" t="inlineStr">
        <is>
          <t>快速模式未发现可靠的批量近五个交易日同口径字段，为避免逐股慢请求，本次留空</t>
        </is>
      </c>
      <c r="L386" t="b">
        <v>0</v>
      </c>
      <c r="M386" t="inlineStr">
        <is>
          <t>东方财富</t>
        </is>
      </c>
      <c r="N386" t="b">
        <v>1</v>
      </c>
    </row>
    <row r="387">
      <c r="A387" t="inlineStr">
        <is>
          <t>A股</t>
        </is>
      </c>
      <c r="B387" t="inlineStr">
        <is>
          <t>920690</t>
        </is>
      </c>
      <c r="C387" t="inlineStr">
        <is>
          <t>捷众科技</t>
        </is>
      </c>
      <c r="D387" t="inlineStr">
        <is>
          <t>最新行情</t>
        </is>
      </c>
      <c r="E387" t="inlineStr">
        <is>
          <t>东方财富</t>
        </is>
      </c>
      <c r="F387" t="inlineStr">
        <is>
          <t>push2 ulist.np/get f2,f20（按指定证券分批）</t>
        </is>
      </c>
      <c r="G387" s="32" t="n">
        <v>46263.26140913873</v>
      </c>
      <c r="H387" t="inlineStr">
        <is>
          <t>CNY</t>
        </is>
      </c>
      <c r="I387" t="inlineStr">
        <is>
          <t>CNY</t>
        </is>
      </c>
      <c r="J387" t="inlineStr">
        <is>
          <t>ok</t>
        </is>
      </c>
      <c r="L387" t="b">
        <v>0</v>
      </c>
      <c r="M387" t="inlineStr">
        <is>
          <t>东方财富</t>
        </is>
      </c>
      <c r="N387" t="b">
        <v>1</v>
      </c>
    </row>
    <row r="388">
      <c r="A388" t="inlineStr">
        <is>
          <t>A股</t>
        </is>
      </c>
      <c r="B388" t="inlineStr">
        <is>
          <t>920690</t>
        </is>
      </c>
      <c r="C388" t="inlineStr">
        <is>
          <t>捷众科技</t>
        </is>
      </c>
      <c r="D388" t="inlineStr">
        <is>
          <t>大宗交易</t>
        </is>
      </c>
      <c r="E388" t="inlineStr">
        <is>
          <t>东方财富</t>
        </is>
      </c>
      <c r="F388" t="inlineStr">
        <is>
          <t>RPT_DATA_BLOCKTRADE 2026（全市场分页后本地聚合）</t>
        </is>
      </c>
      <c r="G388" s="32" t="n">
        <v>46263.26141483762</v>
      </c>
      <c r="H388" t="inlineStr">
        <is>
          <t>CNY</t>
        </is>
      </c>
      <c r="I388" t="inlineStr">
        <is>
          <t>CNY</t>
        </is>
      </c>
      <c r="J388" t="inlineStr">
        <is>
          <t>ok</t>
        </is>
      </c>
      <c r="L388" t="b">
        <v>0</v>
      </c>
      <c r="M388" t="inlineStr">
        <is>
          <t>东方财富</t>
        </is>
      </c>
      <c r="N388" t="b">
        <v>1</v>
      </c>
    </row>
    <row r="389">
      <c r="A389" t="inlineStr">
        <is>
          <t>A股</t>
        </is>
      </c>
      <c r="B389" t="inlineStr">
        <is>
          <t>920690</t>
        </is>
      </c>
      <c r="C389" t="inlineStr">
        <is>
          <t>捷众科技</t>
        </is>
      </c>
      <c r="D389" t="inlineStr">
        <is>
          <t>年度财务</t>
        </is>
      </c>
      <c r="E389" t="inlineStr">
        <is>
          <t>东方财富</t>
        </is>
      </c>
      <c r="F389" t="inlineStr">
        <is>
          <t>RPT_LICO_FN_CPD + RPT_DMSK_FN_CASHFLOW；巨潮回退原因：未配置巨潮官方 API 凭证/端点（CNINFO_ACCESS_TOKEN、CNINFO_INCOME_API_URL、CNINFO_CASHFLOW_API_URL）</t>
        </is>
      </c>
      <c r="G389" s="32" t="n">
        <v>46263.26151090772</v>
      </c>
      <c r="H389" t="inlineStr">
        <is>
          <t>CNY</t>
        </is>
      </c>
      <c r="I389" t="inlineStr">
        <is>
          <t>CNY</t>
        </is>
      </c>
      <c r="J389" t="inlineStr">
        <is>
          <t>ok</t>
        </is>
      </c>
      <c r="L389" t="b">
        <v>1</v>
      </c>
      <c r="M389" t="inlineStr">
        <is>
          <t>巨潮资讯（CNINFO Data Service）</t>
        </is>
      </c>
      <c r="N389" t="b">
        <v>1</v>
      </c>
    </row>
    <row r="390">
      <c r="A390" t="inlineStr">
        <is>
          <t>A股</t>
        </is>
      </c>
      <c r="B390" t="inlineStr">
        <is>
          <t>920690</t>
        </is>
      </c>
      <c r="C390" t="inlineStr">
        <is>
          <t>捷众科技</t>
        </is>
      </c>
      <c r="D390" t="inlineStr">
        <is>
          <t>上市与发行信息</t>
        </is>
      </c>
      <c r="E390" t="inlineStr">
        <is>
          <t>东方财富</t>
        </is>
      </c>
      <c r="F390" t="inlineStr">
        <is>
          <t>RPT_PCF10_ORG_ISSUEINFO</t>
        </is>
      </c>
      <c r="G390" s="32" t="n">
        <v>46263.2615829298</v>
      </c>
      <c r="H390" t="inlineStr">
        <is>
          <t>CNY</t>
        </is>
      </c>
      <c r="I390" t="inlineStr">
        <is>
          <t>CNY</t>
        </is>
      </c>
      <c r="J390" t="inlineStr">
        <is>
          <t>ok</t>
        </is>
      </c>
      <c r="L390" t="b">
        <v>0</v>
      </c>
      <c r="M390" t="inlineStr">
        <is>
          <t>东方财富</t>
        </is>
      </c>
      <c r="N390" t="b">
        <v>1</v>
      </c>
    </row>
    <row r="391">
      <c r="A391" t="inlineStr">
        <is>
          <t>A股</t>
        </is>
      </c>
      <c r="B391" t="inlineStr">
        <is>
          <t>920690</t>
        </is>
      </c>
      <c r="C391" t="inlineStr">
        <is>
          <t>捷众科技</t>
        </is>
      </c>
      <c r="D391" t="inlineStr">
        <is>
          <t>资金流</t>
        </is>
      </c>
      <c r="E391" t="inlineStr">
        <is>
          <t>东方财富</t>
        </is>
      </c>
      <c r="F391" t="inlineStr">
        <is>
          <t>fast-mode-no-reliable-batch-endpoint</t>
        </is>
      </c>
      <c r="G391" s="32" t="n">
        <v>46263.26159565565</v>
      </c>
      <c r="I391" t="inlineStr">
        <is>
          <t>CNY</t>
        </is>
      </c>
      <c r="J391" t="inlineStr">
        <is>
          <t>optional_missing</t>
        </is>
      </c>
      <c r="K391" t="inlineStr">
        <is>
          <t>快速模式未发现可靠的批量近五个交易日同口径字段，为避免逐股慢请求，本次留空</t>
        </is>
      </c>
      <c r="L391" t="b">
        <v>0</v>
      </c>
      <c r="M391" t="inlineStr">
        <is>
          <t>东方财富</t>
        </is>
      </c>
      <c r="N391" t="b">
        <v>1</v>
      </c>
    </row>
    <row r="392">
      <c r="A392" t="inlineStr">
        <is>
          <t>A股</t>
        </is>
      </c>
      <c r="B392" t="inlineStr">
        <is>
          <t>920689</t>
        </is>
      </c>
      <c r="C392" t="inlineStr">
        <is>
          <t>克莱特</t>
        </is>
      </c>
      <c r="D392" t="inlineStr">
        <is>
          <t>最新行情</t>
        </is>
      </c>
      <c r="E392" t="inlineStr">
        <is>
          <t>东方财富</t>
        </is>
      </c>
      <c r="F392" t="inlineStr">
        <is>
          <t>push2 ulist.np/get f2,f20（按指定证券分批）</t>
        </is>
      </c>
      <c r="G392" s="32" t="n">
        <v>46263.26140913873</v>
      </c>
      <c r="H392" t="inlineStr">
        <is>
          <t>CNY</t>
        </is>
      </c>
      <c r="I392" t="inlineStr">
        <is>
          <t>CNY</t>
        </is>
      </c>
      <c r="J392" t="inlineStr">
        <is>
          <t>ok</t>
        </is>
      </c>
      <c r="L392" t="b">
        <v>0</v>
      </c>
      <c r="M392" t="inlineStr">
        <is>
          <t>东方财富</t>
        </is>
      </c>
      <c r="N392" t="b">
        <v>1</v>
      </c>
    </row>
    <row r="393">
      <c r="A393" t="inlineStr">
        <is>
          <t>A股</t>
        </is>
      </c>
      <c r="B393" t="inlineStr">
        <is>
          <t>920689</t>
        </is>
      </c>
      <c r="C393" t="inlineStr">
        <is>
          <t>克莱特</t>
        </is>
      </c>
      <c r="D393" t="inlineStr">
        <is>
          <t>大宗交易</t>
        </is>
      </c>
      <c r="E393" t="inlineStr">
        <is>
          <t>东方财富</t>
        </is>
      </c>
      <c r="F393" t="inlineStr">
        <is>
          <t>RPT_DATA_BLOCKTRADE 2026（全市场分页后本地聚合）</t>
        </is>
      </c>
      <c r="G393" s="32" t="n">
        <v>46263.26141483762</v>
      </c>
      <c r="H393" t="inlineStr">
        <is>
          <t>CNY</t>
        </is>
      </c>
      <c r="I393" t="inlineStr">
        <is>
          <t>CNY</t>
        </is>
      </c>
      <c r="J393" t="inlineStr">
        <is>
          <t>ok</t>
        </is>
      </c>
      <c r="L393" t="b">
        <v>0</v>
      </c>
      <c r="M393" t="inlineStr">
        <is>
          <t>东方财富</t>
        </is>
      </c>
      <c r="N393" t="b">
        <v>1</v>
      </c>
    </row>
    <row r="394">
      <c r="A394" t="inlineStr">
        <is>
          <t>A股</t>
        </is>
      </c>
      <c r="B394" t="inlineStr">
        <is>
          <t>920689</t>
        </is>
      </c>
      <c r="C394" t="inlineStr">
        <is>
          <t>克莱特</t>
        </is>
      </c>
      <c r="D394" t="inlineStr">
        <is>
          <t>年度财务</t>
        </is>
      </c>
      <c r="E394" t="inlineStr">
        <is>
          <t>东方财富</t>
        </is>
      </c>
      <c r="F394" t="inlineStr">
        <is>
          <t>RPT_LICO_FN_CPD + RPT_DMSK_FN_CASHFLOW；巨潮回退原因：未配置巨潮官方 API 凭证/端点（CNINFO_ACCESS_TOKEN、CNINFO_INCOME_API_URL、CNINFO_CASHFLOW_API_URL）</t>
        </is>
      </c>
      <c r="G394" s="32" t="n">
        <v>46263.26151132103</v>
      </c>
      <c r="H394" t="inlineStr">
        <is>
          <t>CNY</t>
        </is>
      </c>
      <c r="I394" t="inlineStr">
        <is>
          <t>CNY</t>
        </is>
      </c>
      <c r="J394" t="inlineStr">
        <is>
          <t>ok</t>
        </is>
      </c>
      <c r="L394" t="b">
        <v>1</v>
      </c>
      <c r="M394" t="inlineStr">
        <is>
          <t>巨潮资讯（CNINFO Data Service）</t>
        </is>
      </c>
      <c r="N394" t="b">
        <v>1</v>
      </c>
    </row>
    <row r="395">
      <c r="A395" t="inlineStr">
        <is>
          <t>A股</t>
        </is>
      </c>
      <c r="B395" t="inlineStr">
        <is>
          <t>920689</t>
        </is>
      </c>
      <c r="C395" t="inlineStr">
        <is>
          <t>克莱特</t>
        </is>
      </c>
      <c r="D395" t="inlineStr">
        <is>
          <t>上市与发行信息</t>
        </is>
      </c>
      <c r="E395" t="inlineStr">
        <is>
          <t>东方财富</t>
        </is>
      </c>
      <c r="F395" t="inlineStr">
        <is>
          <t>RPT_PCF10_ORG_ISSUEINFO</t>
        </is>
      </c>
      <c r="G395" s="32" t="n">
        <v>46263.26158342064</v>
      </c>
      <c r="H395" t="inlineStr">
        <is>
          <t>CNY</t>
        </is>
      </c>
      <c r="I395" t="inlineStr">
        <is>
          <t>CNY</t>
        </is>
      </c>
      <c r="J395" t="inlineStr">
        <is>
          <t>ok</t>
        </is>
      </c>
      <c r="L395" t="b">
        <v>0</v>
      </c>
      <c r="M395" t="inlineStr">
        <is>
          <t>东方财富</t>
        </is>
      </c>
      <c r="N395" t="b">
        <v>1</v>
      </c>
    </row>
    <row r="396">
      <c r="A396" t="inlineStr">
        <is>
          <t>A股</t>
        </is>
      </c>
      <c r="B396" t="inlineStr">
        <is>
          <t>920689</t>
        </is>
      </c>
      <c r="C396" t="inlineStr">
        <is>
          <t>克莱特</t>
        </is>
      </c>
      <c r="D396" t="inlineStr">
        <is>
          <t>资金流</t>
        </is>
      </c>
      <c r="E396" t="inlineStr">
        <is>
          <t>东方财富</t>
        </is>
      </c>
      <c r="F396" t="inlineStr">
        <is>
          <t>fast-mode-no-reliable-batch-endpoint</t>
        </is>
      </c>
      <c r="G396" s="32" t="n">
        <v>46263.26159565565</v>
      </c>
      <c r="I396" t="inlineStr">
        <is>
          <t>CNY</t>
        </is>
      </c>
      <c r="J396" t="inlineStr">
        <is>
          <t>optional_missing</t>
        </is>
      </c>
      <c r="K396" t="inlineStr">
        <is>
          <t>快速模式未发现可靠的批量近五个交易日同口径字段，为避免逐股慢请求，本次留空</t>
        </is>
      </c>
      <c r="L396" t="b">
        <v>0</v>
      </c>
      <c r="M396" t="inlineStr">
        <is>
          <t>东方财富</t>
        </is>
      </c>
      <c r="N396" t="b">
        <v>1</v>
      </c>
    </row>
    <row r="397">
      <c r="A397" t="inlineStr">
        <is>
          <t>A股</t>
        </is>
      </c>
      <c r="B397" t="inlineStr">
        <is>
          <t>920685</t>
        </is>
      </c>
      <c r="C397" t="inlineStr">
        <is>
          <t>新芝生物</t>
        </is>
      </c>
      <c r="D397" t="inlineStr">
        <is>
          <t>最新行情</t>
        </is>
      </c>
      <c r="E397" t="inlineStr">
        <is>
          <t>东方财富</t>
        </is>
      </c>
      <c r="F397" t="inlineStr">
        <is>
          <t>push2 ulist.np/get f2,f20（按指定证券分批）</t>
        </is>
      </c>
      <c r="G397" s="32" t="n">
        <v>46263.26140913873</v>
      </c>
      <c r="H397" t="inlineStr">
        <is>
          <t>CNY</t>
        </is>
      </c>
      <c r="I397" t="inlineStr">
        <is>
          <t>CNY</t>
        </is>
      </c>
      <c r="J397" t="inlineStr">
        <is>
          <t>ok</t>
        </is>
      </c>
      <c r="L397" t="b">
        <v>0</v>
      </c>
      <c r="M397" t="inlineStr">
        <is>
          <t>东方财富</t>
        </is>
      </c>
      <c r="N397" t="b">
        <v>1</v>
      </c>
    </row>
    <row r="398">
      <c r="A398" t="inlineStr">
        <is>
          <t>A股</t>
        </is>
      </c>
      <c r="B398" t="inlineStr">
        <is>
          <t>920685</t>
        </is>
      </c>
      <c r="C398" t="inlineStr">
        <is>
          <t>新芝生物</t>
        </is>
      </c>
      <c r="D398" t="inlineStr">
        <is>
          <t>大宗交易</t>
        </is>
      </c>
      <c r="E398" t="inlineStr">
        <is>
          <t>东方财富</t>
        </is>
      </c>
      <c r="F398" t="inlineStr">
        <is>
          <t>RPT_DATA_BLOCKTRADE 2026（全市场分页后本地聚合）</t>
        </is>
      </c>
      <c r="G398" s="32" t="n">
        <v>46263.26141483762</v>
      </c>
      <c r="H398" t="inlineStr">
        <is>
          <t>CNY</t>
        </is>
      </c>
      <c r="I398" t="inlineStr">
        <is>
          <t>CNY</t>
        </is>
      </c>
      <c r="J398" t="inlineStr">
        <is>
          <t>ok</t>
        </is>
      </c>
      <c r="L398" t="b">
        <v>0</v>
      </c>
      <c r="M398" t="inlineStr">
        <is>
          <t>东方财富</t>
        </is>
      </c>
      <c r="N398" t="b">
        <v>1</v>
      </c>
    </row>
    <row r="399">
      <c r="A399" t="inlineStr">
        <is>
          <t>A股</t>
        </is>
      </c>
      <c r="B399" t="inlineStr">
        <is>
          <t>920685</t>
        </is>
      </c>
      <c r="C399" t="inlineStr">
        <is>
          <t>新芝生物</t>
        </is>
      </c>
      <c r="D399" t="inlineStr">
        <is>
          <t>年度财务</t>
        </is>
      </c>
      <c r="E399" t="inlineStr">
        <is>
          <t>东方财富</t>
        </is>
      </c>
      <c r="F399" t="inlineStr">
        <is>
          <t>RPT_LICO_FN_CPD + RPT_DMSK_FN_CASHFLOW；巨潮回退原因：未配置巨潮官方 API 凭证/端点（CNINFO_ACCESS_TOKEN、CNINFO_INCOME_API_URL、CNINFO_CASHFLOW_API_URL）</t>
        </is>
      </c>
      <c r="G399" s="32" t="n">
        <v>46263.26151482576</v>
      </c>
      <c r="H399" t="inlineStr">
        <is>
          <t>CNY</t>
        </is>
      </c>
      <c r="I399" t="inlineStr">
        <is>
          <t>CNY</t>
        </is>
      </c>
      <c r="J399" t="inlineStr">
        <is>
          <t>ok</t>
        </is>
      </c>
      <c r="L399" t="b">
        <v>1</v>
      </c>
      <c r="M399" t="inlineStr">
        <is>
          <t>巨潮资讯（CNINFO Data Service）</t>
        </is>
      </c>
      <c r="N399" t="b">
        <v>1</v>
      </c>
    </row>
    <row r="400">
      <c r="A400" t="inlineStr">
        <is>
          <t>A股</t>
        </is>
      </c>
      <c r="B400" t="inlineStr">
        <is>
          <t>920685</t>
        </is>
      </c>
      <c r="C400" t="inlineStr">
        <is>
          <t>新芝生物</t>
        </is>
      </c>
      <c r="D400" t="inlineStr">
        <is>
          <t>上市与发行信息</t>
        </is>
      </c>
      <c r="E400" t="inlineStr">
        <is>
          <t>东方财富</t>
        </is>
      </c>
      <c r="F400" t="inlineStr">
        <is>
          <t>RPT_PCF10_ORG_ISSUEINFO</t>
        </is>
      </c>
      <c r="G400" s="32" t="n">
        <v>46263.26158402837</v>
      </c>
      <c r="H400" t="inlineStr">
        <is>
          <t>CNY</t>
        </is>
      </c>
      <c r="I400" t="inlineStr">
        <is>
          <t>CNY</t>
        </is>
      </c>
      <c r="J400" t="inlineStr">
        <is>
          <t>ok</t>
        </is>
      </c>
      <c r="L400" t="b">
        <v>0</v>
      </c>
      <c r="M400" t="inlineStr">
        <is>
          <t>东方财富</t>
        </is>
      </c>
      <c r="N400" t="b">
        <v>1</v>
      </c>
    </row>
    <row r="401">
      <c r="A401" t="inlineStr">
        <is>
          <t>A股</t>
        </is>
      </c>
      <c r="B401" t="inlineStr">
        <is>
          <t>920685</t>
        </is>
      </c>
      <c r="C401" t="inlineStr">
        <is>
          <t>新芝生物</t>
        </is>
      </c>
      <c r="D401" t="inlineStr">
        <is>
          <t>资金流</t>
        </is>
      </c>
      <c r="E401" t="inlineStr">
        <is>
          <t>东方财富</t>
        </is>
      </c>
      <c r="F401" t="inlineStr">
        <is>
          <t>fast-mode-no-reliable-batch-endpoint</t>
        </is>
      </c>
      <c r="G401" s="32" t="n">
        <v>46263.26159565565</v>
      </c>
      <c r="I401" t="inlineStr">
        <is>
          <t>CNY</t>
        </is>
      </c>
      <c r="J401" t="inlineStr">
        <is>
          <t>optional_missing</t>
        </is>
      </c>
      <c r="K401" t="inlineStr">
        <is>
          <t>快速模式未发现可靠的批量近五个交易日同口径字段，为避免逐股慢请求，本次留空</t>
        </is>
      </c>
      <c r="L401" t="b">
        <v>0</v>
      </c>
      <c r="M401" t="inlineStr">
        <is>
          <t>东方财富</t>
        </is>
      </c>
      <c r="N401" t="b">
        <v>1</v>
      </c>
    </row>
    <row r="402">
      <c r="A402" t="inlineStr">
        <is>
          <t>A股</t>
        </is>
      </c>
      <c r="B402" t="inlineStr">
        <is>
          <t>920682</t>
        </is>
      </c>
      <c r="C402" t="inlineStr">
        <is>
          <t>球冠电缆</t>
        </is>
      </c>
      <c r="D402" t="inlineStr">
        <is>
          <t>最新行情</t>
        </is>
      </c>
      <c r="E402" t="inlineStr">
        <is>
          <t>东方财富</t>
        </is>
      </c>
      <c r="F402" t="inlineStr">
        <is>
          <t>push2 ulist.np/get f2,f20（按指定证券分批）</t>
        </is>
      </c>
      <c r="G402" s="32" t="n">
        <v>46263.26140913873</v>
      </c>
      <c r="H402" t="inlineStr">
        <is>
          <t>CNY</t>
        </is>
      </c>
      <c r="I402" t="inlineStr">
        <is>
          <t>CNY</t>
        </is>
      </c>
      <c r="J402" t="inlineStr">
        <is>
          <t>ok</t>
        </is>
      </c>
      <c r="L402" t="b">
        <v>0</v>
      </c>
      <c r="M402" t="inlineStr">
        <is>
          <t>东方财富</t>
        </is>
      </c>
      <c r="N402" t="b">
        <v>1</v>
      </c>
    </row>
    <row r="403">
      <c r="A403" t="inlineStr">
        <is>
          <t>A股</t>
        </is>
      </c>
      <c r="B403" t="inlineStr">
        <is>
          <t>920682</t>
        </is>
      </c>
      <c r="C403" t="inlineStr">
        <is>
          <t>球冠电缆</t>
        </is>
      </c>
      <c r="D403" t="inlineStr">
        <is>
          <t>大宗交易</t>
        </is>
      </c>
      <c r="E403" t="inlineStr">
        <is>
          <t>东方财富</t>
        </is>
      </c>
      <c r="F403" t="inlineStr">
        <is>
          <t>RPT_DATA_BLOCKTRADE 2026（全市场分页后本地聚合）</t>
        </is>
      </c>
      <c r="G403" s="32" t="n">
        <v>46263.26141483762</v>
      </c>
      <c r="H403" t="inlineStr">
        <is>
          <t>CNY</t>
        </is>
      </c>
      <c r="I403" t="inlineStr">
        <is>
          <t>CNY</t>
        </is>
      </c>
      <c r="J403" t="inlineStr">
        <is>
          <t>ok</t>
        </is>
      </c>
      <c r="L403" t="b">
        <v>0</v>
      </c>
      <c r="M403" t="inlineStr">
        <is>
          <t>东方财富</t>
        </is>
      </c>
      <c r="N403" t="b">
        <v>1</v>
      </c>
    </row>
    <row r="404">
      <c r="A404" t="inlineStr">
        <is>
          <t>A股</t>
        </is>
      </c>
      <c r="B404" t="inlineStr">
        <is>
          <t>920682</t>
        </is>
      </c>
      <c r="C404" t="inlineStr">
        <is>
          <t>球冠电缆</t>
        </is>
      </c>
      <c r="D404" t="inlineStr">
        <is>
          <t>年度财务</t>
        </is>
      </c>
      <c r="E404" t="inlineStr">
        <is>
          <t>东方财富</t>
        </is>
      </c>
      <c r="F404" t="inlineStr">
        <is>
          <t>RPT_LICO_FN_CPD + RPT_DMSK_FN_CASHFLOW；巨潮回退原因：未配置巨潮官方 API 凭证/端点（CNINFO_ACCESS_TOKEN、CNINFO_INCOME_API_URL、CNINFO_CASHFLOW_API_URL）</t>
        </is>
      </c>
      <c r="G404" s="32" t="n">
        <v>46263.2615138578</v>
      </c>
      <c r="H404" t="inlineStr">
        <is>
          <t>CNY</t>
        </is>
      </c>
      <c r="I404" t="inlineStr">
        <is>
          <t>CNY</t>
        </is>
      </c>
      <c r="J404" t="inlineStr">
        <is>
          <t>ok</t>
        </is>
      </c>
      <c r="L404" t="b">
        <v>1</v>
      </c>
      <c r="M404" t="inlineStr">
        <is>
          <t>巨潮资讯（CNINFO Data Service）</t>
        </is>
      </c>
      <c r="N404" t="b">
        <v>1</v>
      </c>
    </row>
    <row r="405">
      <c r="A405" t="inlineStr">
        <is>
          <t>A股</t>
        </is>
      </c>
      <c r="B405" t="inlineStr">
        <is>
          <t>920682</t>
        </is>
      </c>
      <c r="C405" t="inlineStr">
        <is>
          <t>球冠电缆</t>
        </is>
      </c>
      <c r="D405" t="inlineStr">
        <is>
          <t>上市与发行信息</t>
        </is>
      </c>
      <c r="E405" t="inlineStr">
        <is>
          <t>东方财富</t>
        </is>
      </c>
      <c r="F405" t="inlineStr">
        <is>
          <t>RPT_PCF10_ORG_ISSUEINFO</t>
        </is>
      </c>
      <c r="G405" s="32" t="n">
        <v>46263.26158451635</v>
      </c>
      <c r="H405" t="inlineStr">
        <is>
          <t>CNY</t>
        </is>
      </c>
      <c r="I405" t="inlineStr">
        <is>
          <t>CNY</t>
        </is>
      </c>
      <c r="J405" t="inlineStr">
        <is>
          <t>ok</t>
        </is>
      </c>
      <c r="L405" t="b">
        <v>0</v>
      </c>
      <c r="M405" t="inlineStr">
        <is>
          <t>东方财富</t>
        </is>
      </c>
      <c r="N405" t="b">
        <v>1</v>
      </c>
    </row>
    <row r="406">
      <c r="A406" t="inlineStr">
        <is>
          <t>A股</t>
        </is>
      </c>
      <c r="B406" t="inlineStr">
        <is>
          <t>920682</t>
        </is>
      </c>
      <c r="C406" t="inlineStr">
        <is>
          <t>球冠电缆</t>
        </is>
      </c>
      <c r="D406" t="inlineStr">
        <is>
          <t>资金流</t>
        </is>
      </c>
      <c r="E406" t="inlineStr">
        <is>
          <t>东方财富</t>
        </is>
      </c>
      <c r="F406" t="inlineStr">
        <is>
          <t>fast-mode-no-reliable-batch-endpoint</t>
        </is>
      </c>
      <c r="G406" s="32" t="n">
        <v>46263.26159565565</v>
      </c>
      <c r="I406" t="inlineStr">
        <is>
          <t>CNY</t>
        </is>
      </c>
      <c r="J406" t="inlineStr">
        <is>
          <t>optional_missing</t>
        </is>
      </c>
      <c r="K406" t="inlineStr">
        <is>
          <t>快速模式未发现可靠的批量近五个交易日同口径字段，为避免逐股慢请求，本次留空</t>
        </is>
      </c>
      <c r="L406" t="b">
        <v>0</v>
      </c>
      <c r="M406" t="inlineStr">
        <is>
          <t>东方财富</t>
        </is>
      </c>
      <c r="N406" t="b">
        <v>1</v>
      </c>
    </row>
    <row r="407">
      <c r="A407" t="inlineStr">
        <is>
          <t>A股</t>
        </is>
      </c>
      <c r="B407" t="inlineStr">
        <is>
          <t>920680</t>
        </is>
      </c>
      <c r="C407" t="inlineStr">
        <is>
          <t>广道退</t>
        </is>
      </c>
      <c r="D407" t="inlineStr">
        <is>
          <t>最新行情</t>
        </is>
      </c>
      <c r="E407" t="inlineStr">
        <is>
          <t>东方财富</t>
        </is>
      </c>
      <c r="F407" t="inlineStr">
        <is>
          <t>push2 ulist.np/get f2,f20（按指定证券分批）</t>
        </is>
      </c>
      <c r="G407" s="32" t="n">
        <v>46263.26140913873</v>
      </c>
      <c r="H407" t="inlineStr">
        <is>
          <t>CNY</t>
        </is>
      </c>
      <c r="I407" t="inlineStr">
        <is>
          <t>CNY</t>
        </is>
      </c>
      <c r="J407" t="inlineStr">
        <is>
          <t>missing</t>
        </is>
      </c>
      <c r="K407" t="inlineStr">
        <is>
          <t>指定证券批量行情中的最新价和总市值均缺失</t>
        </is>
      </c>
      <c r="L407" t="b">
        <v>0</v>
      </c>
      <c r="M407" t="inlineStr">
        <is>
          <t>东方财富</t>
        </is>
      </c>
      <c r="N407" t="b">
        <v>1</v>
      </c>
    </row>
    <row r="408">
      <c r="A408" t="inlineStr">
        <is>
          <t>A股</t>
        </is>
      </c>
      <c r="B408" t="inlineStr">
        <is>
          <t>920680</t>
        </is>
      </c>
      <c r="C408" t="inlineStr">
        <is>
          <t>广道退</t>
        </is>
      </c>
      <c r="D408" t="inlineStr">
        <is>
          <t>大宗交易</t>
        </is>
      </c>
      <c r="E408" t="inlineStr">
        <is>
          <t>东方财富</t>
        </is>
      </c>
      <c r="F408" t="inlineStr">
        <is>
          <t>RPT_DATA_BLOCKTRADE 2026（全市场分页后本地聚合）</t>
        </is>
      </c>
      <c r="G408" s="32" t="n">
        <v>46263.26141483762</v>
      </c>
      <c r="H408" t="inlineStr">
        <is>
          <t>CNY</t>
        </is>
      </c>
      <c r="I408" t="inlineStr">
        <is>
          <t>CNY</t>
        </is>
      </c>
      <c r="J408" t="inlineStr">
        <is>
          <t>ok</t>
        </is>
      </c>
      <c r="L408" t="b">
        <v>0</v>
      </c>
      <c r="M408" t="inlineStr">
        <is>
          <t>东方财富</t>
        </is>
      </c>
      <c r="N408" t="b">
        <v>1</v>
      </c>
    </row>
    <row r="409">
      <c r="A409" t="inlineStr">
        <is>
          <t>A股</t>
        </is>
      </c>
      <c r="B409" t="inlineStr">
        <is>
          <t>920680</t>
        </is>
      </c>
      <c r="C409" t="inlineStr">
        <is>
          <t>广道退</t>
        </is>
      </c>
      <c r="D409" t="inlineStr">
        <is>
          <t>年度财务</t>
        </is>
      </c>
      <c r="E409" t="inlineStr">
        <is>
          <t>东方财富</t>
        </is>
      </c>
      <c r="F409" t="inlineStr">
        <is>
          <t>RPT_LICO_FN_CPD + RPT_DMSK_FN_CASHFLOW；巨潮回退原因：未配置巨潮官方 API 凭证/端点（CNINFO_ACCESS_TOKEN、CNINFO_INCOME_API_URL、CNINFO_CASHFLOW_API_URL）</t>
        </is>
      </c>
      <c r="G409" s="32" t="n">
        <v>46263.26151360759</v>
      </c>
      <c r="H409" t="inlineStr">
        <is>
          <t>CNY</t>
        </is>
      </c>
      <c r="I409" t="inlineStr">
        <is>
          <t>CNY</t>
        </is>
      </c>
      <c r="J409" t="inlineStr">
        <is>
          <t>missing</t>
        </is>
      </c>
      <c r="K409" t="inlineStr">
        <is>
          <t>没有找到所选完整年度的结构化 A 股财务数据</t>
        </is>
      </c>
      <c r="L409" t="b">
        <v>0</v>
      </c>
      <c r="M409" t="inlineStr">
        <is>
          <t>巨潮资讯（CNINFO Data Service）</t>
        </is>
      </c>
      <c r="N409" t="b">
        <v>1</v>
      </c>
    </row>
    <row r="410">
      <c r="A410" t="inlineStr">
        <is>
          <t>A股</t>
        </is>
      </c>
      <c r="B410" t="inlineStr">
        <is>
          <t>920680</t>
        </is>
      </c>
      <c r="C410" t="inlineStr">
        <is>
          <t>广道退</t>
        </is>
      </c>
      <c r="D410" t="inlineStr">
        <is>
          <t>上市与发行信息</t>
        </is>
      </c>
      <c r="E410" t="inlineStr">
        <is>
          <t>东方财富</t>
        </is>
      </c>
      <c r="F410" t="inlineStr">
        <is>
          <t>RPT_PCF10_ORG_ISSUEINFO</t>
        </is>
      </c>
      <c r="G410" s="32" t="n">
        <v>46263.2615851907</v>
      </c>
      <c r="H410" t="inlineStr">
        <is>
          <t>CNY</t>
        </is>
      </c>
      <c r="I410" t="inlineStr">
        <is>
          <t>CNY</t>
        </is>
      </c>
      <c r="J410" t="inlineStr">
        <is>
          <t>ok</t>
        </is>
      </c>
      <c r="L410" t="b">
        <v>0</v>
      </c>
      <c r="M410" t="inlineStr">
        <is>
          <t>东方财富</t>
        </is>
      </c>
      <c r="N410" t="b">
        <v>1</v>
      </c>
    </row>
    <row r="411">
      <c r="A411" t="inlineStr">
        <is>
          <t>A股</t>
        </is>
      </c>
      <c r="B411" t="inlineStr">
        <is>
          <t>920680</t>
        </is>
      </c>
      <c r="C411" t="inlineStr">
        <is>
          <t>广道退</t>
        </is>
      </c>
      <c r="D411" t="inlineStr">
        <is>
          <t>资金流</t>
        </is>
      </c>
      <c r="E411" t="inlineStr">
        <is>
          <t>东方财富</t>
        </is>
      </c>
      <c r="F411" t="inlineStr">
        <is>
          <t>fast-mode-no-reliable-batch-endpoint</t>
        </is>
      </c>
      <c r="G411" s="32" t="n">
        <v>46263.26159565565</v>
      </c>
      <c r="I411" t="inlineStr">
        <is>
          <t>CNY</t>
        </is>
      </c>
      <c r="J411" t="inlineStr">
        <is>
          <t>optional_missing</t>
        </is>
      </c>
      <c r="K411" t="inlineStr">
        <is>
          <t>快速模式未发现可靠的批量近五个交易日同口径字段，为避免逐股慢请求，本次留空</t>
        </is>
      </c>
      <c r="L411" t="b">
        <v>0</v>
      </c>
      <c r="M411" t="inlineStr">
        <is>
          <t>东方财富</t>
        </is>
      </c>
      <c r="N411" t="b">
        <v>1</v>
      </c>
    </row>
    <row r="412">
      <c r="A412" t="inlineStr">
        <is>
          <t>A股</t>
        </is>
      </c>
      <c r="B412" t="inlineStr">
        <is>
          <t>920679</t>
        </is>
      </c>
      <c r="C412" t="inlineStr">
        <is>
          <t>前进科技</t>
        </is>
      </c>
      <c r="D412" t="inlineStr">
        <is>
          <t>最新行情</t>
        </is>
      </c>
      <c r="E412" t="inlineStr">
        <is>
          <t>东方财富</t>
        </is>
      </c>
      <c r="F412" t="inlineStr">
        <is>
          <t>push2 ulist.np/get f2,f20（按指定证券分批）</t>
        </is>
      </c>
      <c r="G412" s="32" t="n">
        <v>46263.26140913873</v>
      </c>
      <c r="H412" t="inlineStr">
        <is>
          <t>CNY</t>
        </is>
      </c>
      <c r="I412" t="inlineStr">
        <is>
          <t>CNY</t>
        </is>
      </c>
      <c r="J412" t="inlineStr">
        <is>
          <t>ok</t>
        </is>
      </c>
      <c r="L412" t="b">
        <v>0</v>
      </c>
      <c r="M412" t="inlineStr">
        <is>
          <t>东方财富</t>
        </is>
      </c>
      <c r="N412" t="b">
        <v>1</v>
      </c>
    </row>
    <row r="413">
      <c r="A413" t="inlineStr">
        <is>
          <t>A股</t>
        </is>
      </c>
      <c r="B413" t="inlineStr">
        <is>
          <t>920679</t>
        </is>
      </c>
      <c r="C413" t="inlineStr">
        <is>
          <t>前进科技</t>
        </is>
      </c>
      <c r="D413" t="inlineStr">
        <is>
          <t>大宗交易</t>
        </is>
      </c>
      <c r="E413" t="inlineStr">
        <is>
          <t>东方财富</t>
        </is>
      </c>
      <c r="F413" t="inlineStr">
        <is>
          <t>RPT_DATA_BLOCKTRADE 2026（全市场分页后本地聚合）</t>
        </is>
      </c>
      <c r="G413" s="32" t="n">
        <v>46263.26141483762</v>
      </c>
      <c r="H413" t="inlineStr">
        <is>
          <t>CNY</t>
        </is>
      </c>
      <c r="I413" t="inlineStr">
        <is>
          <t>CNY</t>
        </is>
      </c>
      <c r="J413" t="inlineStr">
        <is>
          <t>ok</t>
        </is>
      </c>
      <c r="L413" t="b">
        <v>0</v>
      </c>
      <c r="M413" t="inlineStr">
        <is>
          <t>东方财富</t>
        </is>
      </c>
      <c r="N413" t="b">
        <v>1</v>
      </c>
    </row>
    <row r="414">
      <c r="A414" t="inlineStr">
        <is>
          <t>A股</t>
        </is>
      </c>
      <c r="B414" t="inlineStr">
        <is>
          <t>920679</t>
        </is>
      </c>
      <c r="C414" t="inlineStr">
        <is>
          <t>前进科技</t>
        </is>
      </c>
      <c r="D414" t="inlineStr">
        <is>
          <t>年度财务</t>
        </is>
      </c>
      <c r="E414" t="inlineStr">
        <is>
          <t>东方财富</t>
        </is>
      </c>
      <c r="F414" t="inlineStr">
        <is>
          <t>RPT_LICO_FN_CPD + RPT_DMSK_FN_CASHFLOW；巨潮回退原因：未配置巨潮官方 API 凭证/端点（CNINFO_ACCESS_TOKEN、CNINFO_INCOME_API_URL、CNINFO_CASHFLOW_API_URL）</t>
        </is>
      </c>
      <c r="G414" s="32" t="n">
        <v>46263.26151634617</v>
      </c>
      <c r="H414" t="inlineStr">
        <is>
          <t>CNY</t>
        </is>
      </c>
      <c r="I414" t="inlineStr">
        <is>
          <t>CNY</t>
        </is>
      </c>
      <c r="J414" t="inlineStr">
        <is>
          <t>ok</t>
        </is>
      </c>
      <c r="L414" t="b">
        <v>1</v>
      </c>
      <c r="M414" t="inlineStr">
        <is>
          <t>巨潮资讯（CNINFO Data Service）</t>
        </is>
      </c>
      <c r="N414" t="b">
        <v>1</v>
      </c>
    </row>
    <row r="415">
      <c r="A415" t="inlineStr">
        <is>
          <t>A股</t>
        </is>
      </c>
      <c r="B415" t="inlineStr">
        <is>
          <t>920679</t>
        </is>
      </c>
      <c r="C415" t="inlineStr">
        <is>
          <t>前进科技</t>
        </is>
      </c>
      <c r="D415" t="inlineStr">
        <is>
          <t>上市与发行信息</t>
        </is>
      </c>
      <c r="E415" t="inlineStr">
        <is>
          <t>东方财富</t>
        </is>
      </c>
      <c r="F415" t="inlineStr">
        <is>
          <t>RPT_PCF10_ORG_ISSUEINFO</t>
        </is>
      </c>
      <c r="G415" s="32" t="n">
        <v>46263.26158571389</v>
      </c>
      <c r="H415" t="inlineStr">
        <is>
          <t>CNY</t>
        </is>
      </c>
      <c r="I415" t="inlineStr">
        <is>
          <t>CNY</t>
        </is>
      </c>
      <c r="J415" t="inlineStr">
        <is>
          <t>ok</t>
        </is>
      </c>
      <c r="L415" t="b">
        <v>0</v>
      </c>
      <c r="M415" t="inlineStr">
        <is>
          <t>东方财富</t>
        </is>
      </c>
      <c r="N415" t="b">
        <v>1</v>
      </c>
    </row>
    <row r="416">
      <c r="A416" t="inlineStr">
        <is>
          <t>A股</t>
        </is>
      </c>
      <c r="B416" t="inlineStr">
        <is>
          <t>920679</t>
        </is>
      </c>
      <c r="C416" t="inlineStr">
        <is>
          <t>前进科技</t>
        </is>
      </c>
      <c r="D416" t="inlineStr">
        <is>
          <t>资金流</t>
        </is>
      </c>
      <c r="E416" t="inlineStr">
        <is>
          <t>东方财富</t>
        </is>
      </c>
      <c r="F416" t="inlineStr">
        <is>
          <t>fast-mode-no-reliable-batch-endpoint</t>
        </is>
      </c>
      <c r="G416" s="32" t="n">
        <v>46263.26159565565</v>
      </c>
      <c r="I416" t="inlineStr">
        <is>
          <t>CNY</t>
        </is>
      </c>
      <c r="J416" t="inlineStr">
        <is>
          <t>optional_missing</t>
        </is>
      </c>
      <c r="K416" t="inlineStr">
        <is>
          <t>快速模式未发现可靠的批量近五个交易日同口径字段，为避免逐股慢请求，本次留空</t>
        </is>
      </c>
      <c r="L416" t="b">
        <v>0</v>
      </c>
      <c r="M416" t="inlineStr">
        <is>
          <t>东方财富</t>
        </is>
      </c>
      <c r="N416" t="b">
        <v>1</v>
      </c>
    </row>
    <row r="417">
      <c r="A417" t="inlineStr">
        <is>
          <t>A股</t>
        </is>
      </c>
      <c r="B417" t="inlineStr">
        <is>
          <t>920675</t>
        </is>
      </c>
      <c r="C417" t="inlineStr">
        <is>
          <t>秉扬科技</t>
        </is>
      </c>
      <c r="D417" t="inlineStr">
        <is>
          <t>最新行情</t>
        </is>
      </c>
      <c r="E417" t="inlineStr">
        <is>
          <t>东方财富</t>
        </is>
      </c>
      <c r="F417" t="inlineStr">
        <is>
          <t>push2 ulist.np/get f2,f20（按指定证券分批）</t>
        </is>
      </c>
      <c r="G417" s="32" t="n">
        <v>46263.26140913873</v>
      </c>
      <c r="H417" t="inlineStr">
        <is>
          <t>CNY</t>
        </is>
      </c>
      <c r="I417" t="inlineStr">
        <is>
          <t>CNY</t>
        </is>
      </c>
      <c r="J417" t="inlineStr">
        <is>
          <t>ok</t>
        </is>
      </c>
      <c r="L417" t="b">
        <v>0</v>
      </c>
      <c r="M417" t="inlineStr">
        <is>
          <t>东方财富</t>
        </is>
      </c>
      <c r="N417" t="b">
        <v>1</v>
      </c>
    </row>
    <row r="418">
      <c r="A418" t="inlineStr">
        <is>
          <t>A股</t>
        </is>
      </c>
      <c r="B418" t="inlineStr">
        <is>
          <t>920675</t>
        </is>
      </c>
      <c r="C418" t="inlineStr">
        <is>
          <t>秉扬科技</t>
        </is>
      </c>
      <c r="D418" t="inlineStr">
        <is>
          <t>大宗交易</t>
        </is>
      </c>
      <c r="E418" t="inlineStr">
        <is>
          <t>东方财富</t>
        </is>
      </c>
      <c r="F418" t="inlineStr">
        <is>
          <t>RPT_DATA_BLOCKTRADE 2026（全市场分页后本地聚合）</t>
        </is>
      </c>
      <c r="G418" s="32" t="n">
        <v>46263.26141483762</v>
      </c>
      <c r="H418" t="inlineStr">
        <is>
          <t>CNY</t>
        </is>
      </c>
      <c r="I418" t="inlineStr">
        <is>
          <t>CNY</t>
        </is>
      </c>
      <c r="J418" t="inlineStr">
        <is>
          <t>ok</t>
        </is>
      </c>
      <c r="L418" t="b">
        <v>0</v>
      </c>
      <c r="M418" t="inlineStr">
        <is>
          <t>东方财富</t>
        </is>
      </c>
      <c r="N418" t="b">
        <v>1</v>
      </c>
    </row>
    <row r="419">
      <c r="A419" t="inlineStr">
        <is>
          <t>A股</t>
        </is>
      </c>
      <c r="B419" t="inlineStr">
        <is>
          <t>920675</t>
        </is>
      </c>
      <c r="C419" t="inlineStr">
        <is>
          <t>秉扬科技</t>
        </is>
      </c>
      <c r="D419" t="inlineStr">
        <is>
          <t>年度财务</t>
        </is>
      </c>
      <c r="E419" t="inlineStr">
        <is>
          <t>东方财富</t>
        </is>
      </c>
      <c r="F419" t="inlineStr">
        <is>
          <t>RPT_LICO_FN_CPD + RPT_DMSK_FN_CASHFLOW；巨潮回退原因：未配置巨潮官方 API 凭证/端点（CNINFO_ACCESS_TOKEN、CNINFO_INCOME_API_URL、CNINFO_CASHFLOW_API_URL）</t>
        </is>
      </c>
      <c r="G419" s="32" t="n">
        <v>46263.2615193719</v>
      </c>
      <c r="H419" t="inlineStr">
        <is>
          <t>CNY</t>
        </is>
      </c>
      <c r="I419" t="inlineStr">
        <is>
          <t>CNY</t>
        </is>
      </c>
      <c r="J419" t="inlineStr">
        <is>
          <t>ok</t>
        </is>
      </c>
      <c r="L419" t="b">
        <v>1</v>
      </c>
      <c r="M419" t="inlineStr">
        <is>
          <t>巨潮资讯（CNINFO Data Service）</t>
        </is>
      </c>
      <c r="N419" t="b">
        <v>1</v>
      </c>
    </row>
    <row r="420">
      <c r="A420" t="inlineStr">
        <is>
          <t>A股</t>
        </is>
      </c>
      <c r="B420" t="inlineStr">
        <is>
          <t>920675</t>
        </is>
      </c>
      <c r="C420" t="inlineStr">
        <is>
          <t>秉扬科技</t>
        </is>
      </c>
      <c r="D420" t="inlineStr">
        <is>
          <t>上市与发行信息</t>
        </is>
      </c>
      <c r="E420" t="inlineStr">
        <is>
          <t>东方财富</t>
        </is>
      </c>
      <c r="F420" t="inlineStr">
        <is>
          <t>RPT_PCF10_ORG_ISSUEINFO</t>
        </is>
      </c>
      <c r="G420" s="32" t="n">
        <v>46263.26158634989</v>
      </c>
      <c r="H420" t="inlineStr">
        <is>
          <t>CNY</t>
        </is>
      </c>
      <c r="I420" t="inlineStr">
        <is>
          <t>CNY</t>
        </is>
      </c>
      <c r="J420" t="inlineStr">
        <is>
          <t>ok</t>
        </is>
      </c>
      <c r="L420" t="b">
        <v>0</v>
      </c>
      <c r="M420" t="inlineStr">
        <is>
          <t>东方财富</t>
        </is>
      </c>
      <c r="N420" t="b">
        <v>1</v>
      </c>
    </row>
    <row r="421">
      <c r="A421" t="inlineStr">
        <is>
          <t>A股</t>
        </is>
      </c>
      <c r="B421" t="inlineStr">
        <is>
          <t>920675</t>
        </is>
      </c>
      <c r="C421" t="inlineStr">
        <is>
          <t>秉扬科技</t>
        </is>
      </c>
      <c r="D421" t="inlineStr">
        <is>
          <t>资金流</t>
        </is>
      </c>
      <c r="E421" t="inlineStr">
        <is>
          <t>东方财富</t>
        </is>
      </c>
      <c r="F421" t="inlineStr">
        <is>
          <t>fast-mode-no-reliable-batch-endpoint</t>
        </is>
      </c>
      <c r="G421" s="32" t="n">
        <v>46263.26159565565</v>
      </c>
      <c r="I421" t="inlineStr">
        <is>
          <t>CNY</t>
        </is>
      </c>
      <c r="J421" t="inlineStr">
        <is>
          <t>optional_missing</t>
        </is>
      </c>
      <c r="K421" t="inlineStr">
        <is>
          <t>快速模式未发现可靠的批量近五个交易日同口径字段，为避免逐股慢请求，本次留空</t>
        </is>
      </c>
      <c r="L421" t="b">
        <v>0</v>
      </c>
      <c r="M421" t="inlineStr">
        <is>
          <t>东方财富</t>
        </is>
      </c>
      <c r="N421" t="b">
        <v>1</v>
      </c>
    </row>
    <row r="422">
      <c r="A422" t="inlineStr">
        <is>
          <t>A股</t>
        </is>
      </c>
      <c r="B422" t="inlineStr">
        <is>
          <t>920670</t>
        </is>
      </c>
      <c r="C422" t="inlineStr">
        <is>
          <t>数字人</t>
        </is>
      </c>
      <c r="D422" t="inlineStr">
        <is>
          <t>最新行情</t>
        </is>
      </c>
      <c r="E422" t="inlineStr">
        <is>
          <t>东方财富</t>
        </is>
      </c>
      <c r="F422" t="inlineStr">
        <is>
          <t>push2 ulist.np/get f2,f20（按指定证券分批）</t>
        </is>
      </c>
      <c r="G422" s="32" t="n">
        <v>46263.26140913873</v>
      </c>
      <c r="H422" t="inlineStr">
        <is>
          <t>CNY</t>
        </is>
      </c>
      <c r="I422" t="inlineStr">
        <is>
          <t>CNY</t>
        </is>
      </c>
      <c r="J422" t="inlineStr">
        <is>
          <t>ok</t>
        </is>
      </c>
      <c r="L422" t="b">
        <v>0</v>
      </c>
      <c r="M422" t="inlineStr">
        <is>
          <t>东方财富</t>
        </is>
      </c>
      <c r="N422" t="b">
        <v>1</v>
      </c>
    </row>
    <row r="423">
      <c r="A423" t="inlineStr">
        <is>
          <t>A股</t>
        </is>
      </c>
      <c r="B423" t="inlineStr">
        <is>
          <t>920670</t>
        </is>
      </c>
      <c r="C423" t="inlineStr">
        <is>
          <t>数字人</t>
        </is>
      </c>
      <c r="D423" t="inlineStr">
        <is>
          <t>大宗交易</t>
        </is>
      </c>
      <c r="E423" t="inlineStr">
        <is>
          <t>东方财富</t>
        </is>
      </c>
      <c r="F423" t="inlineStr">
        <is>
          <t>RPT_DATA_BLOCKTRADE 2026（全市场分页后本地聚合）</t>
        </is>
      </c>
      <c r="G423" s="32" t="n">
        <v>46263.26141483762</v>
      </c>
      <c r="H423" t="inlineStr">
        <is>
          <t>CNY</t>
        </is>
      </c>
      <c r="I423" t="inlineStr">
        <is>
          <t>CNY</t>
        </is>
      </c>
      <c r="J423" t="inlineStr">
        <is>
          <t>ok</t>
        </is>
      </c>
      <c r="L423" t="b">
        <v>0</v>
      </c>
      <c r="M423" t="inlineStr">
        <is>
          <t>东方财富</t>
        </is>
      </c>
      <c r="N423" t="b">
        <v>1</v>
      </c>
    </row>
    <row r="424">
      <c r="A424" t="inlineStr">
        <is>
          <t>A股</t>
        </is>
      </c>
      <c r="B424" t="inlineStr">
        <is>
          <t>920670</t>
        </is>
      </c>
      <c r="C424" t="inlineStr">
        <is>
          <t>数字人</t>
        </is>
      </c>
      <c r="D424" t="inlineStr">
        <is>
          <t>年度财务</t>
        </is>
      </c>
      <c r="E424" t="inlineStr">
        <is>
          <t>东方财富</t>
        </is>
      </c>
      <c r="F424" t="inlineStr">
        <is>
          <t>RPT_LICO_FN_CPD + RPT_DMSK_FN_CASHFLOW；巨潮回退原因：未配置巨潮官方 API 凭证/端点（CNINFO_ACCESS_TOKEN、CNINFO_INCOME_API_URL、CNINFO_CASHFLOW_API_URL）</t>
        </is>
      </c>
      <c r="G424" s="32" t="n">
        <v>46263.26151788708</v>
      </c>
      <c r="H424" t="inlineStr">
        <is>
          <t>CNY</t>
        </is>
      </c>
      <c r="I424" t="inlineStr">
        <is>
          <t>CNY</t>
        </is>
      </c>
      <c r="J424" t="inlineStr">
        <is>
          <t>ok</t>
        </is>
      </c>
      <c r="L424" t="b">
        <v>1</v>
      </c>
      <c r="M424" t="inlineStr">
        <is>
          <t>巨潮资讯（CNINFO Data Service）</t>
        </is>
      </c>
      <c r="N424" t="b">
        <v>1</v>
      </c>
    </row>
    <row r="425">
      <c r="A425" t="inlineStr">
        <is>
          <t>A股</t>
        </is>
      </c>
      <c r="B425" t="inlineStr">
        <is>
          <t>920670</t>
        </is>
      </c>
      <c r="C425" t="inlineStr">
        <is>
          <t>数字人</t>
        </is>
      </c>
      <c r="D425" t="inlineStr">
        <is>
          <t>上市与发行信息</t>
        </is>
      </c>
      <c r="E425" t="inlineStr">
        <is>
          <t>东方财富</t>
        </is>
      </c>
      <c r="F425" t="inlineStr">
        <is>
          <t>RPT_PCF10_ORG_ISSUEINFO</t>
        </is>
      </c>
      <c r="G425" s="32" t="n">
        <v>46263.26158921412</v>
      </c>
      <c r="H425" t="inlineStr">
        <is>
          <t>CNY</t>
        </is>
      </c>
      <c r="I425" t="inlineStr">
        <is>
          <t>CNY</t>
        </is>
      </c>
      <c r="J425" t="inlineStr">
        <is>
          <t>ok</t>
        </is>
      </c>
      <c r="L425" t="b">
        <v>0</v>
      </c>
      <c r="M425" t="inlineStr">
        <is>
          <t>东方财富</t>
        </is>
      </c>
      <c r="N425" t="b">
        <v>1</v>
      </c>
    </row>
    <row r="426">
      <c r="A426" t="inlineStr">
        <is>
          <t>A股</t>
        </is>
      </c>
      <c r="B426" t="inlineStr">
        <is>
          <t>920670</t>
        </is>
      </c>
      <c r="C426" t="inlineStr">
        <is>
          <t>数字人</t>
        </is>
      </c>
      <c r="D426" t="inlineStr">
        <is>
          <t>资金流</t>
        </is>
      </c>
      <c r="E426" t="inlineStr">
        <is>
          <t>东方财富</t>
        </is>
      </c>
      <c r="F426" t="inlineStr">
        <is>
          <t>fast-mode-no-reliable-batch-endpoint</t>
        </is>
      </c>
      <c r="G426" s="32" t="n">
        <v>46263.26159565565</v>
      </c>
      <c r="I426" t="inlineStr">
        <is>
          <t>CNY</t>
        </is>
      </c>
      <c r="J426" t="inlineStr">
        <is>
          <t>optional_missing</t>
        </is>
      </c>
      <c r="K426" t="inlineStr">
        <is>
          <t>快速模式未发现可靠的批量近五个交易日同口径字段，为避免逐股慢请求，本次留空</t>
        </is>
      </c>
      <c r="L426" t="b">
        <v>0</v>
      </c>
      <c r="M426" t="inlineStr">
        <is>
          <t>东方财富</t>
        </is>
      </c>
      <c r="N426" t="b">
        <v>1</v>
      </c>
    </row>
    <row r="427">
      <c r="A427" t="inlineStr">
        <is>
          <t>A股</t>
        </is>
      </c>
      <c r="B427" t="inlineStr">
        <is>
          <t>920665</t>
        </is>
      </c>
      <c r="C427" t="inlineStr">
        <is>
          <t>科强股份</t>
        </is>
      </c>
      <c r="D427" t="inlineStr">
        <is>
          <t>最新行情</t>
        </is>
      </c>
      <c r="E427" t="inlineStr">
        <is>
          <t>东方财富</t>
        </is>
      </c>
      <c r="F427" t="inlineStr">
        <is>
          <t>push2 ulist.np/get f2,f20（按指定证券分批）</t>
        </is>
      </c>
      <c r="G427" s="32" t="n">
        <v>46263.26140913873</v>
      </c>
      <c r="H427" t="inlineStr">
        <is>
          <t>CNY</t>
        </is>
      </c>
      <c r="I427" t="inlineStr">
        <is>
          <t>CNY</t>
        </is>
      </c>
      <c r="J427" t="inlineStr">
        <is>
          <t>ok</t>
        </is>
      </c>
      <c r="L427" t="b">
        <v>0</v>
      </c>
      <c r="M427" t="inlineStr">
        <is>
          <t>东方财富</t>
        </is>
      </c>
      <c r="N427" t="b">
        <v>1</v>
      </c>
    </row>
    <row r="428">
      <c r="A428" t="inlineStr">
        <is>
          <t>A股</t>
        </is>
      </c>
      <c r="B428" t="inlineStr">
        <is>
          <t>920665</t>
        </is>
      </c>
      <c r="C428" t="inlineStr">
        <is>
          <t>科强股份</t>
        </is>
      </c>
      <c r="D428" t="inlineStr">
        <is>
          <t>大宗交易</t>
        </is>
      </c>
      <c r="E428" t="inlineStr">
        <is>
          <t>东方财富</t>
        </is>
      </c>
      <c r="F428" t="inlineStr">
        <is>
          <t>RPT_DATA_BLOCKTRADE 2026（全市场分页后本地聚合）</t>
        </is>
      </c>
      <c r="G428" s="32" t="n">
        <v>46263.26141483762</v>
      </c>
      <c r="H428" t="inlineStr">
        <is>
          <t>CNY</t>
        </is>
      </c>
      <c r="I428" t="inlineStr">
        <is>
          <t>CNY</t>
        </is>
      </c>
      <c r="J428" t="inlineStr">
        <is>
          <t>ok</t>
        </is>
      </c>
      <c r="L428" t="b">
        <v>0</v>
      </c>
      <c r="M428" t="inlineStr">
        <is>
          <t>东方财富</t>
        </is>
      </c>
      <c r="N428" t="b">
        <v>1</v>
      </c>
    </row>
    <row r="429">
      <c r="A429" t="inlineStr">
        <is>
          <t>A股</t>
        </is>
      </c>
      <c r="B429" t="inlineStr">
        <is>
          <t>920665</t>
        </is>
      </c>
      <c r="C429" t="inlineStr">
        <is>
          <t>科强股份</t>
        </is>
      </c>
      <c r="D429" t="inlineStr">
        <is>
          <t>年度财务</t>
        </is>
      </c>
      <c r="E429" t="inlineStr">
        <is>
          <t>东方财富</t>
        </is>
      </c>
      <c r="F429" t="inlineStr">
        <is>
          <t>RPT_LICO_FN_CPD + RPT_DMSK_FN_CASHFLOW；巨潮回退原因：未配置巨潮官方 API 凭证/端点（CNINFO_ACCESS_TOKEN、CNINFO_INCOME_API_URL、CNINFO_CASHFLOW_API_URL）</t>
        </is>
      </c>
      <c r="G429" s="32" t="n">
        <v>46263.2615197744</v>
      </c>
      <c r="H429" t="inlineStr">
        <is>
          <t>CNY</t>
        </is>
      </c>
      <c r="I429" t="inlineStr">
        <is>
          <t>CNY</t>
        </is>
      </c>
      <c r="J429" t="inlineStr">
        <is>
          <t>ok</t>
        </is>
      </c>
      <c r="L429" t="b">
        <v>1</v>
      </c>
      <c r="M429" t="inlineStr">
        <is>
          <t>巨潮资讯（CNINFO Data Service）</t>
        </is>
      </c>
      <c r="N429" t="b">
        <v>1</v>
      </c>
    </row>
    <row r="430">
      <c r="A430" t="inlineStr">
        <is>
          <t>A股</t>
        </is>
      </c>
      <c r="B430" t="inlineStr">
        <is>
          <t>920665</t>
        </is>
      </c>
      <c r="C430" t="inlineStr">
        <is>
          <t>科强股份</t>
        </is>
      </c>
      <c r="D430" t="inlineStr">
        <is>
          <t>上市与发行信息</t>
        </is>
      </c>
      <c r="E430" t="inlineStr">
        <is>
          <t>东方财富</t>
        </is>
      </c>
      <c r="F430" t="inlineStr">
        <is>
          <t>RPT_PCF10_ORG_ISSUEINFO</t>
        </is>
      </c>
      <c r="G430" s="32" t="n">
        <v>46263.26158869849</v>
      </c>
      <c r="H430" t="inlineStr">
        <is>
          <t>CNY</t>
        </is>
      </c>
      <c r="I430" t="inlineStr">
        <is>
          <t>CNY</t>
        </is>
      </c>
      <c r="J430" t="inlineStr">
        <is>
          <t>ok</t>
        </is>
      </c>
      <c r="L430" t="b">
        <v>0</v>
      </c>
      <c r="M430" t="inlineStr">
        <is>
          <t>东方财富</t>
        </is>
      </c>
      <c r="N430" t="b">
        <v>1</v>
      </c>
    </row>
    <row r="431">
      <c r="A431" t="inlineStr">
        <is>
          <t>A股</t>
        </is>
      </c>
      <c r="B431" t="inlineStr">
        <is>
          <t>920665</t>
        </is>
      </c>
      <c r="C431" t="inlineStr">
        <is>
          <t>科强股份</t>
        </is>
      </c>
      <c r="D431" t="inlineStr">
        <is>
          <t>资金流</t>
        </is>
      </c>
      <c r="E431" t="inlineStr">
        <is>
          <t>东方财富</t>
        </is>
      </c>
      <c r="F431" t="inlineStr">
        <is>
          <t>fast-mode-no-reliable-batch-endpoint</t>
        </is>
      </c>
      <c r="G431" s="32" t="n">
        <v>46263.26159565565</v>
      </c>
      <c r="I431" t="inlineStr">
        <is>
          <t>CNY</t>
        </is>
      </c>
      <c r="J431" t="inlineStr">
        <is>
          <t>optional_missing</t>
        </is>
      </c>
      <c r="K431" t="inlineStr">
        <is>
          <t>快速模式未发现可靠的批量近五个交易日同口径字段，为避免逐股慢请求，本次留空</t>
        </is>
      </c>
      <c r="L431" t="b">
        <v>0</v>
      </c>
      <c r="M431" t="inlineStr">
        <is>
          <t>东方财富</t>
        </is>
      </c>
      <c r="N431" t="b">
        <v>1</v>
      </c>
    </row>
    <row r="432">
      <c r="A432" t="inlineStr">
        <is>
          <t>A股</t>
        </is>
      </c>
      <c r="B432" t="inlineStr">
        <is>
          <t>920663</t>
        </is>
      </c>
      <c r="C432" t="inlineStr">
        <is>
          <t>明阳科技</t>
        </is>
      </c>
      <c r="D432" t="inlineStr">
        <is>
          <t>最新行情</t>
        </is>
      </c>
      <c r="E432" t="inlineStr">
        <is>
          <t>东方财富</t>
        </is>
      </c>
      <c r="F432" t="inlineStr">
        <is>
          <t>push2 ulist.np/get f2,f20（按指定证券分批）</t>
        </is>
      </c>
      <c r="G432" s="32" t="n">
        <v>46263.26140913873</v>
      </c>
      <c r="H432" t="inlineStr">
        <is>
          <t>CNY</t>
        </is>
      </c>
      <c r="I432" t="inlineStr">
        <is>
          <t>CNY</t>
        </is>
      </c>
      <c r="J432" t="inlineStr">
        <is>
          <t>ok</t>
        </is>
      </c>
      <c r="L432" t="b">
        <v>0</v>
      </c>
      <c r="M432" t="inlineStr">
        <is>
          <t>东方财富</t>
        </is>
      </c>
      <c r="N432" t="b">
        <v>1</v>
      </c>
    </row>
    <row r="433">
      <c r="A433" t="inlineStr">
        <is>
          <t>A股</t>
        </is>
      </c>
      <c r="B433" t="inlineStr">
        <is>
          <t>920663</t>
        </is>
      </c>
      <c r="C433" t="inlineStr">
        <is>
          <t>明阳科技</t>
        </is>
      </c>
      <c r="D433" t="inlineStr">
        <is>
          <t>大宗交易</t>
        </is>
      </c>
      <c r="E433" t="inlineStr">
        <is>
          <t>东方财富</t>
        </is>
      </c>
      <c r="F433" t="inlineStr">
        <is>
          <t>RPT_DATA_BLOCKTRADE 2026（全市场分页后本地聚合）</t>
        </is>
      </c>
      <c r="G433" s="32" t="n">
        <v>46263.26141483762</v>
      </c>
      <c r="H433" t="inlineStr">
        <is>
          <t>CNY</t>
        </is>
      </c>
      <c r="I433" t="inlineStr">
        <is>
          <t>CNY</t>
        </is>
      </c>
      <c r="J433" t="inlineStr">
        <is>
          <t>ok</t>
        </is>
      </c>
      <c r="L433" t="b">
        <v>0</v>
      </c>
      <c r="M433" t="inlineStr">
        <is>
          <t>东方财富</t>
        </is>
      </c>
      <c r="N433" t="b">
        <v>1</v>
      </c>
    </row>
    <row r="434">
      <c r="A434" t="inlineStr">
        <is>
          <t>A股</t>
        </is>
      </c>
      <c r="B434" t="inlineStr">
        <is>
          <t>920663</t>
        </is>
      </c>
      <c r="C434" t="inlineStr">
        <is>
          <t>明阳科技</t>
        </is>
      </c>
      <c r="D434" t="inlineStr">
        <is>
          <t>年度财务</t>
        </is>
      </c>
      <c r="E434" t="inlineStr">
        <is>
          <t>东方财富</t>
        </is>
      </c>
      <c r="F434" t="inlineStr">
        <is>
          <t>RPT_LICO_FN_CPD + RPT_DMSK_FN_CASHFLOW；巨潮回退原因：未配置巨潮官方 API 凭证/端点（CNINFO_ACCESS_TOKEN、CNINFO_INCOME_API_URL、CNINFO_CASHFLOW_API_URL）</t>
        </is>
      </c>
      <c r="G434" s="32" t="n">
        <v>46263.26152082383</v>
      </c>
      <c r="H434" t="inlineStr">
        <is>
          <t>CNY</t>
        </is>
      </c>
      <c r="I434" t="inlineStr">
        <is>
          <t>CNY</t>
        </is>
      </c>
      <c r="J434" t="inlineStr">
        <is>
          <t>ok</t>
        </is>
      </c>
      <c r="L434" t="b">
        <v>1</v>
      </c>
      <c r="M434" t="inlineStr">
        <is>
          <t>巨潮资讯（CNINFO Data Service）</t>
        </is>
      </c>
      <c r="N434" t="b">
        <v>1</v>
      </c>
    </row>
    <row r="435">
      <c r="A435" t="inlineStr">
        <is>
          <t>A股</t>
        </is>
      </c>
      <c r="B435" t="inlineStr">
        <is>
          <t>920663</t>
        </is>
      </c>
      <c r="C435" t="inlineStr">
        <is>
          <t>明阳科技</t>
        </is>
      </c>
      <c r="D435" t="inlineStr">
        <is>
          <t>上市与发行信息</t>
        </is>
      </c>
      <c r="E435" t="inlineStr">
        <is>
          <t>东方财富</t>
        </is>
      </c>
      <c r="F435" t="inlineStr">
        <is>
          <t>RPT_PCF10_ORG_ISSUEINFO</t>
        </is>
      </c>
      <c r="G435" s="32" t="n">
        <v>46263.26158802312</v>
      </c>
      <c r="H435" t="inlineStr">
        <is>
          <t>CNY</t>
        </is>
      </c>
      <c r="I435" t="inlineStr">
        <is>
          <t>CNY</t>
        </is>
      </c>
      <c r="J435" t="inlineStr">
        <is>
          <t>ok</t>
        </is>
      </c>
      <c r="L435" t="b">
        <v>0</v>
      </c>
      <c r="M435" t="inlineStr">
        <is>
          <t>东方财富</t>
        </is>
      </c>
      <c r="N435" t="b">
        <v>1</v>
      </c>
    </row>
    <row r="436">
      <c r="A436" t="inlineStr">
        <is>
          <t>A股</t>
        </is>
      </c>
      <c r="B436" t="inlineStr">
        <is>
          <t>920663</t>
        </is>
      </c>
      <c r="C436" t="inlineStr">
        <is>
          <t>明阳科技</t>
        </is>
      </c>
      <c r="D436" t="inlineStr">
        <is>
          <t>资金流</t>
        </is>
      </c>
      <c r="E436" t="inlineStr">
        <is>
          <t>东方财富</t>
        </is>
      </c>
      <c r="F436" t="inlineStr">
        <is>
          <t>fast-mode-no-reliable-batch-endpoint</t>
        </is>
      </c>
      <c r="G436" s="32" t="n">
        <v>46263.26159565565</v>
      </c>
      <c r="I436" t="inlineStr">
        <is>
          <t>CNY</t>
        </is>
      </c>
      <c r="J436" t="inlineStr">
        <is>
          <t>optional_missing</t>
        </is>
      </c>
      <c r="K436" t="inlineStr">
        <is>
          <t>快速模式未发现可靠的批量近五个交易日同口径字段，为避免逐股慢请求，本次留空</t>
        </is>
      </c>
      <c r="L436" t="b">
        <v>0</v>
      </c>
      <c r="M436" t="inlineStr">
        <is>
          <t>东方财富</t>
        </is>
      </c>
      <c r="N436" t="b">
        <v>1</v>
      </c>
    </row>
    <row r="437">
      <c r="A437" t="inlineStr">
        <is>
          <t>A股</t>
        </is>
      </c>
      <c r="B437" t="inlineStr">
        <is>
          <t>920662</t>
        </is>
      </c>
      <c r="C437" t="inlineStr">
        <is>
          <t>方盛股份</t>
        </is>
      </c>
      <c r="D437" t="inlineStr">
        <is>
          <t>最新行情</t>
        </is>
      </c>
      <c r="E437" t="inlineStr">
        <is>
          <t>东方财富</t>
        </is>
      </c>
      <c r="F437" t="inlineStr">
        <is>
          <t>push2 ulist.np/get f2,f20（按指定证券分批）</t>
        </is>
      </c>
      <c r="G437" s="32" t="n">
        <v>46263.26140913873</v>
      </c>
      <c r="H437" t="inlineStr">
        <is>
          <t>CNY</t>
        </is>
      </c>
      <c r="I437" t="inlineStr">
        <is>
          <t>CNY</t>
        </is>
      </c>
      <c r="J437" t="inlineStr">
        <is>
          <t>ok</t>
        </is>
      </c>
      <c r="L437" t="b">
        <v>0</v>
      </c>
      <c r="M437" t="inlineStr">
        <is>
          <t>东方财富</t>
        </is>
      </c>
      <c r="N437" t="b">
        <v>1</v>
      </c>
    </row>
    <row r="438">
      <c r="A438" t="inlineStr">
        <is>
          <t>A股</t>
        </is>
      </c>
      <c r="B438" t="inlineStr">
        <is>
          <t>920662</t>
        </is>
      </c>
      <c r="C438" t="inlineStr">
        <is>
          <t>方盛股份</t>
        </is>
      </c>
      <c r="D438" t="inlineStr">
        <is>
          <t>大宗交易</t>
        </is>
      </c>
      <c r="E438" t="inlineStr">
        <is>
          <t>东方财富</t>
        </is>
      </c>
      <c r="F438" t="inlineStr">
        <is>
          <t>RPT_DATA_BLOCKTRADE 2026（全市场分页后本地聚合）</t>
        </is>
      </c>
      <c r="G438" s="32" t="n">
        <v>46263.26141483762</v>
      </c>
      <c r="H438" t="inlineStr">
        <is>
          <t>CNY</t>
        </is>
      </c>
      <c r="I438" t="inlineStr">
        <is>
          <t>CNY</t>
        </is>
      </c>
      <c r="J438" t="inlineStr">
        <is>
          <t>ok</t>
        </is>
      </c>
      <c r="L438" t="b">
        <v>0</v>
      </c>
      <c r="M438" t="inlineStr">
        <is>
          <t>东方财富</t>
        </is>
      </c>
      <c r="N438" t="b">
        <v>1</v>
      </c>
    </row>
    <row r="439">
      <c r="A439" t="inlineStr">
        <is>
          <t>A股</t>
        </is>
      </c>
      <c r="B439" t="inlineStr">
        <is>
          <t>920662</t>
        </is>
      </c>
      <c r="C439" t="inlineStr">
        <is>
          <t>方盛股份</t>
        </is>
      </c>
      <c r="D439" t="inlineStr">
        <is>
          <t>年度财务</t>
        </is>
      </c>
      <c r="E439" t="inlineStr">
        <is>
          <t>东方财富</t>
        </is>
      </c>
      <c r="F439" t="inlineStr">
        <is>
          <t>RPT_LICO_FN_CPD + RPT_DMSK_FN_CASHFLOW；巨潮回退原因：未配置巨潮官方 API 凭证/端点（CNINFO_ACCESS_TOKEN、CNINFO_INCOME_API_URL、CNINFO_CASHFLOW_API_URL）</t>
        </is>
      </c>
      <c r="G439" s="32" t="n">
        <v>46263.26152170166</v>
      </c>
      <c r="H439" t="inlineStr">
        <is>
          <t>CNY</t>
        </is>
      </c>
      <c r="I439" t="inlineStr">
        <is>
          <t>CNY</t>
        </is>
      </c>
      <c r="J439" t="inlineStr">
        <is>
          <t>ok</t>
        </is>
      </c>
      <c r="L439" t="b">
        <v>1</v>
      </c>
      <c r="M439" t="inlineStr">
        <is>
          <t>巨潮资讯（CNINFO Data Service）</t>
        </is>
      </c>
      <c r="N439" t="b">
        <v>1</v>
      </c>
    </row>
    <row r="440">
      <c r="A440" t="inlineStr">
        <is>
          <t>A股</t>
        </is>
      </c>
      <c r="B440" t="inlineStr">
        <is>
          <t>920662</t>
        </is>
      </c>
      <c r="C440" t="inlineStr">
        <is>
          <t>方盛股份</t>
        </is>
      </c>
      <c r="D440" t="inlineStr">
        <is>
          <t>上市与发行信息</t>
        </is>
      </c>
      <c r="E440" t="inlineStr">
        <is>
          <t>东方财富</t>
        </is>
      </c>
      <c r="F440" t="inlineStr">
        <is>
          <t>RPT_PCF10_ORG_ISSUEINFO</t>
        </is>
      </c>
      <c r="G440" s="32" t="n">
        <v>46263.26158865219</v>
      </c>
      <c r="H440" t="inlineStr">
        <is>
          <t>CNY</t>
        </is>
      </c>
      <c r="I440" t="inlineStr">
        <is>
          <t>CNY</t>
        </is>
      </c>
      <c r="J440" t="inlineStr">
        <is>
          <t>ok</t>
        </is>
      </c>
      <c r="L440" t="b">
        <v>0</v>
      </c>
      <c r="M440" t="inlineStr">
        <is>
          <t>东方财富</t>
        </is>
      </c>
      <c r="N440" t="b">
        <v>1</v>
      </c>
    </row>
    <row r="441">
      <c r="A441" t="inlineStr">
        <is>
          <t>A股</t>
        </is>
      </c>
      <c r="B441" t="inlineStr">
        <is>
          <t>920662</t>
        </is>
      </c>
      <c r="C441" t="inlineStr">
        <is>
          <t>方盛股份</t>
        </is>
      </c>
      <c r="D441" t="inlineStr">
        <is>
          <t>资金流</t>
        </is>
      </c>
      <c r="E441" t="inlineStr">
        <is>
          <t>东方财富</t>
        </is>
      </c>
      <c r="F441" t="inlineStr">
        <is>
          <t>fast-mode-no-reliable-batch-endpoint</t>
        </is>
      </c>
      <c r="G441" s="32" t="n">
        <v>46263.26159565565</v>
      </c>
      <c r="I441" t="inlineStr">
        <is>
          <t>CNY</t>
        </is>
      </c>
      <c r="J441" t="inlineStr">
        <is>
          <t>optional_missing</t>
        </is>
      </c>
      <c r="K441" t="inlineStr">
        <is>
          <t>快速模式未发现可靠的批量近五个交易日同口径字段，为避免逐股慢请求，本次留空</t>
        </is>
      </c>
      <c r="L441" t="b">
        <v>0</v>
      </c>
      <c r="M441" t="inlineStr">
        <is>
          <t>东方财富</t>
        </is>
      </c>
      <c r="N441" t="b">
        <v>1</v>
      </c>
    </row>
    <row r="442">
      <c r="A442" t="inlineStr">
        <is>
          <t>A股</t>
        </is>
      </c>
      <c r="B442" t="inlineStr">
        <is>
          <t>920656</t>
        </is>
      </c>
      <c r="C442" t="inlineStr">
        <is>
          <t>海昇药业</t>
        </is>
      </c>
      <c r="D442" t="inlineStr">
        <is>
          <t>最新行情</t>
        </is>
      </c>
      <c r="E442" t="inlineStr">
        <is>
          <t>东方财富</t>
        </is>
      </c>
      <c r="F442" t="inlineStr">
        <is>
          <t>push2 ulist.np/get f2,f20（按指定证券分批）</t>
        </is>
      </c>
      <c r="G442" s="32" t="n">
        <v>46263.26140913873</v>
      </c>
      <c r="H442" t="inlineStr">
        <is>
          <t>CNY</t>
        </is>
      </c>
      <c r="I442" t="inlineStr">
        <is>
          <t>CNY</t>
        </is>
      </c>
      <c r="J442" t="inlineStr">
        <is>
          <t>ok</t>
        </is>
      </c>
      <c r="L442" t="b">
        <v>0</v>
      </c>
      <c r="M442" t="inlineStr">
        <is>
          <t>东方财富</t>
        </is>
      </c>
      <c r="N442" t="b">
        <v>1</v>
      </c>
    </row>
    <row r="443">
      <c r="A443" t="inlineStr">
        <is>
          <t>A股</t>
        </is>
      </c>
      <c r="B443" t="inlineStr">
        <is>
          <t>920656</t>
        </is>
      </c>
      <c r="C443" t="inlineStr">
        <is>
          <t>海昇药业</t>
        </is>
      </c>
      <c r="D443" t="inlineStr">
        <is>
          <t>大宗交易</t>
        </is>
      </c>
      <c r="E443" t="inlineStr">
        <is>
          <t>东方财富</t>
        </is>
      </c>
      <c r="F443" t="inlineStr">
        <is>
          <t>RPT_DATA_BLOCKTRADE 2026（全市场分页后本地聚合）</t>
        </is>
      </c>
      <c r="G443" s="32" t="n">
        <v>46263.26141483762</v>
      </c>
      <c r="H443" t="inlineStr">
        <is>
          <t>CNY</t>
        </is>
      </c>
      <c r="I443" t="inlineStr">
        <is>
          <t>CNY</t>
        </is>
      </c>
      <c r="J443" t="inlineStr">
        <is>
          <t>ok</t>
        </is>
      </c>
      <c r="L443" t="b">
        <v>0</v>
      </c>
      <c r="M443" t="inlineStr">
        <is>
          <t>东方财富</t>
        </is>
      </c>
      <c r="N443" t="b">
        <v>1</v>
      </c>
    </row>
    <row r="444">
      <c r="A444" t="inlineStr">
        <is>
          <t>A股</t>
        </is>
      </c>
      <c r="B444" t="inlineStr">
        <is>
          <t>920656</t>
        </is>
      </c>
      <c r="C444" t="inlineStr">
        <is>
          <t>海昇药业</t>
        </is>
      </c>
      <c r="D444" t="inlineStr">
        <is>
          <t>年度财务</t>
        </is>
      </c>
      <c r="E444" t="inlineStr">
        <is>
          <t>东方财富</t>
        </is>
      </c>
      <c r="F444" t="inlineStr">
        <is>
          <t>RPT_LICO_FN_CPD + RPT_DMSK_FN_CASHFLOW；巨潮回退原因：未配置巨潮官方 API 凭证/端点（CNINFO_ACCESS_TOKEN、CNINFO_INCOME_API_URL、CNINFO_CASHFLOW_API_URL）</t>
        </is>
      </c>
      <c r="G444" s="32" t="n">
        <v>46263.26152345795</v>
      </c>
      <c r="H444" t="inlineStr">
        <is>
          <t>CNY</t>
        </is>
      </c>
      <c r="I444" t="inlineStr">
        <is>
          <t>CNY</t>
        </is>
      </c>
      <c r="J444" t="inlineStr">
        <is>
          <t>ok</t>
        </is>
      </c>
      <c r="L444" t="b">
        <v>1</v>
      </c>
      <c r="M444" t="inlineStr">
        <is>
          <t>巨潮资讯（CNINFO Data Service）</t>
        </is>
      </c>
      <c r="N444" t="b">
        <v>1</v>
      </c>
    </row>
    <row r="445">
      <c r="A445" t="inlineStr">
        <is>
          <t>A股</t>
        </is>
      </c>
      <c r="B445" t="inlineStr">
        <is>
          <t>920656</t>
        </is>
      </c>
      <c r="C445" t="inlineStr">
        <is>
          <t>海昇药业</t>
        </is>
      </c>
      <c r="D445" t="inlineStr">
        <is>
          <t>上市与发行信息</t>
        </is>
      </c>
      <c r="E445" t="inlineStr">
        <is>
          <t>东方财富</t>
        </is>
      </c>
      <c r="F445" t="inlineStr">
        <is>
          <t>RPT_PCF10_ORG_ISSUEINFO</t>
        </is>
      </c>
      <c r="G445" s="32" t="n">
        <v>46263.26158913349</v>
      </c>
      <c r="H445" t="inlineStr">
        <is>
          <t>CNY</t>
        </is>
      </c>
      <c r="I445" t="inlineStr">
        <is>
          <t>CNY</t>
        </is>
      </c>
      <c r="J445" t="inlineStr">
        <is>
          <t>ok</t>
        </is>
      </c>
      <c r="L445" t="b">
        <v>0</v>
      </c>
      <c r="M445" t="inlineStr">
        <is>
          <t>东方财富</t>
        </is>
      </c>
      <c r="N445" t="b">
        <v>1</v>
      </c>
    </row>
    <row r="446">
      <c r="A446" t="inlineStr">
        <is>
          <t>A股</t>
        </is>
      </c>
      <c r="B446" t="inlineStr">
        <is>
          <t>920656</t>
        </is>
      </c>
      <c r="C446" t="inlineStr">
        <is>
          <t>海昇药业</t>
        </is>
      </c>
      <c r="D446" t="inlineStr">
        <is>
          <t>资金流</t>
        </is>
      </c>
      <c r="E446" t="inlineStr">
        <is>
          <t>东方财富</t>
        </is>
      </c>
      <c r="F446" t="inlineStr">
        <is>
          <t>fast-mode-no-reliable-batch-endpoint</t>
        </is>
      </c>
      <c r="G446" s="32" t="n">
        <v>46263.26159565565</v>
      </c>
      <c r="I446" t="inlineStr">
        <is>
          <t>CNY</t>
        </is>
      </c>
      <c r="J446" t="inlineStr">
        <is>
          <t>optional_missing</t>
        </is>
      </c>
      <c r="K446" t="inlineStr">
        <is>
          <t>快速模式未发现可靠的批量近五个交易日同口径字段，为避免逐股慢请求，本次留空</t>
        </is>
      </c>
      <c r="L446" t="b">
        <v>0</v>
      </c>
      <c r="M446" t="inlineStr">
        <is>
          <t>东方财富</t>
        </is>
      </c>
      <c r="N446" t="b">
        <v>1</v>
      </c>
    </row>
    <row r="447">
      <c r="A447" t="inlineStr">
        <is>
          <t>A股</t>
        </is>
      </c>
      <c r="B447" t="inlineStr">
        <is>
          <t>920651</t>
        </is>
      </c>
      <c r="C447" t="inlineStr">
        <is>
          <t>天罡股份</t>
        </is>
      </c>
      <c r="D447" t="inlineStr">
        <is>
          <t>最新行情</t>
        </is>
      </c>
      <c r="E447" t="inlineStr">
        <is>
          <t>东方财富</t>
        </is>
      </c>
      <c r="F447" t="inlineStr">
        <is>
          <t>push2 ulist.np/get f2,f20（按指定证券分批）</t>
        </is>
      </c>
      <c r="G447" s="32" t="n">
        <v>46263.26140913873</v>
      </c>
      <c r="H447" t="inlineStr">
        <is>
          <t>CNY</t>
        </is>
      </c>
      <c r="I447" t="inlineStr">
        <is>
          <t>CNY</t>
        </is>
      </c>
      <c r="J447" t="inlineStr">
        <is>
          <t>ok</t>
        </is>
      </c>
      <c r="L447" t="b">
        <v>0</v>
      </c>
      <c r="M447" t="inlineStr">
        <is>
          <t>东方财富</t>
        </is>
      </c>
      <c r="N447" t="b">
        <v>1</v>
      </c>
    </row>
    <row r="448">
      <c r="A448" t="inlineStr">
        <is>
          <t>A股</t>
        </is>
      </c>
      <c r="B448" t="inlineStr">
        <is>
          <t>920651</t>
        </is>
      </c>
      <c r="C448" t="inlineStr">
        <is>
          <t>天罡股份</t>
        </is>
      </c>
      <c r="D448" t="inlineStr">
        <is>
          <t>大宗交易</t>
        </is>
      </c>
      <c r="E448" t="inlineStr">
        <is>
          <t>东方财富</t>
        </is>
      </c>
      <c r="F448" t="inlineStr">
        <is>
          <t>RPT_DATA_BLOCKTRADE 2026（全市场分页后本地聚合）</t>
        </is>
      </c>
      <c r="G448" s="32" t="n">
        <v>46263.26141483762</v>
      </c>
      <c r="H448" t="inlineStr">
        <is>
          <t>CNY</t>
        </is>
      </c>
      <c r="I448" t="inlineStr">
        <is>
          <t>CNY</t>
        </is>
      </c>
      <c r="J448" t="inlineStr">
        <is>
          <t>ok</t>
        </is>
      </c>
      <c r="L448" t="b">
        <v>0</v>
      </c>
      <c r="M448" t="inlineStr">
        <is>
          <t>东方财富</t>
        </is>
      </c>
      <c r="N448" t="b">
        <v>1</v>
      </c>
    </row>
    <row r="449">
      <c r="A449" t="inlineStr">
        <is>
          <t>A股</t>
        </is>
      </c>
      <c r="B449" t="inlineStr">
        <is>
          <t>920651</t>
        </is>
      </c>
      <c r="C449" t="inlineStr">
        <is>
          <t>天罡股份</t>
        </is>
      </c>
      <c r="D449" t="inlineStr">
        <is>
          <t>年度财务</t>
        </is>
      </c>
      <c r="E449" t="inlineStr">
        <is>
          <t>东方财富</t>
        </is>
      </c>
      <c r="F449" t="inlineStr">
        <is>
          <t>RPT_LICO_FN_CPD + RPT_DMSK_FN_CASHFLOW；巨潮回退原因：未配置巨潮官方 API 凭证/端点（CNINFO_ACCESS_TOKEN、CNINFO_INCOME_API_URL、CNINFO_CASHFLOW_API_URL）</t>
        </is>
      </c>
      <c r="G449" s="32" t="n">
        <v>46263.26152472588</v>
      </c>
      <c r="H449" t="inlineStr">
        <is>
          <t>CNY</t>
        </is>
      </c>
      <c r="I449" t="inlineStr">
        <is>
          <t>CNY</t>
        </is>
      </c>
      <c r="J449" t="inlineStr">
        <is>
          <t>ok</t>
        </is>
      </c>
      <c r="L449" t="b">
        <v>1</v>
      </c>
      <c r="M449" t="inlineStr">
        <is>
          <t>巨潮资讯（CNINFO Data Service）</t>
        </is>
      </c>
      <c r="N449" t="b">
        <v>1</v>
      </c>
    </row>
    <row r="450">
      <c r="A450" t="inlineStr">
        <is>
          <t>A股</t>
        </is>
      </c>
      <c r="B450" t="inlineStr">
        <is>
          <t>920651</t>
        </is>
      </c>
      <c r="C450" t="inlineStr">
        <is>
          <t>天罡股份</t>
        </is>
      </c>
      <c r="D450" t="inlineStr">
        <is>
          <t>上市与发行信息</t>
        </is>
      </c>
      <c r="E450" t="inlineStr">
        <is>
          <t>东方财富</t>
        </is>
      </c>
      <c r="F450" t="inlineStr">
        <is>
          <t>RPT_PCF10_ORG_ISSUEINFO</t>
        </is>
      </c>
      <c r="G450" s="32" t="n">
        <v>46263.26159028626</v>
      </c>
      <c r="H450" t="inlineStr">
        <is>
          <t>CNY</t>
        </is>
      </c>
      <c r="I450" t="inlineStr">
        <is>
          <t>CNY</t>
        </is>
      </c>
      <c r="J450" t="inlineStr">
        <is>
          <t>ok</t>
        </is>
      </c>
      <c r="L450" t="b">
        <v>0</v>
      </c>
      <c r="M450" t="inlineStr">
        <is>
          <t>东方财富</t>
        </is>
      </c>
      <c r="N450" t="b">
        <v>1</v>
      </c>
    </row>
    <row r="451">
      <c r="A451" t="inlineStr">
        <is>
          <t>A股</t>
        </is>
      </c>
      <c r="B451" t="inlineStr">
        <is>
          <t>920651</t>
        </is>
      </c>
      <c r="C451" t="inlineStr">
        <is>
          <t>天罡股份</t>
        </is>
      </c>
      <c r="D451" t="inlineStr">
        <is>
          <t>资金流</t>
        </is>
      </c>
      <c r="E451" t="inlineStr">
        <is>
          <t>东方财富</t>
        </is>
      </c>
      <c r="F451" t="inlineStr">
        <is>
          <t>fast-mode-no-reliable-batch-endpoint</t>
        </is>
      </c>
      <c r="G451" s="32" t="n">
        <v>46263.26159565565</v>
      </c>
      <c r="I451" t="inlineStr">
        <is>
          <t>CNY</t>
        </is>
      </c>
      <c r="J451" t="inlineStr">
        <is>
          <t>optional_missing</t>
        </is>
      </c>
      <c r="K451" t="inlineStr">
        <is>
          <t>快速模式未发现可靠的批量近五个交易日同口径字段，为避免逐股慢请求，本次留空</t>
        </is>
      </c>
      <c r="L451" t="b">
        <v>0</v>
      </c>
      <c r="M451" t="inlineStr">
        <is>
          <t>东方财富</t>
        </is>
      </c>
      <c r="N451" t="b">
        <v>1</v>
      </c>
    </row>
    <row r="452">
      <c r="A452" t="inlineStr">
        <is>
          <t>A股</t>
        </is>
      </c>
      <c r="B452" t="inlineStr">
        <is>
          <t>920642</t>
        </is>
      </c>
      <c r="C452" t="inlineStr">
        <is>
          <t>通易航天</t>
        </is>
      </c>
      <c r="D452" t="inlineStr">
        <is>
          <t>最新行情</t>
        </is>
      </c>
      <c r="E452" t="inlineStr">
        <is>
          <t>东方财富</t>
        </is>
      </c>
      <c r="F452" t="inlineStr">
        <is>
          <t>push2 ulist.np/get f2,f20（按指定证券分批）</t>
        </is>
      </c>
      <c r="G452" s="32" t="n">
        <v>46263.26140913873</v>
      </c>
      <c r="H452" t="inlineStr">
        <is>
          <t>CNY</t>
        </is>
      </c>
      <c r="I452" t="inlineStr">
        <is>
          <t>CNY</t>
        </is>
      </c>
      <c r="J452" t="inlineStr">
        <is>
          <t>ok</t>
        </is>
      </c>
      <c r="L452" t="b">
        <v>0</v>
      </c>
      <c r="M452" t="inlineStr">
        <is>
          <t>东方财富</t>
        </is>
      </c>
      <c r="N452" t="b">
        <v>1</v>
      </c>
    </row>
    <row r="453">
      <c r="A453" t="inlineStr">
        <is>
          <t>A股</t>
        </is>
      </c>
      <c r="B453" t="inlineStr">
        <is>
          <t>920642</t>
        </is>
      </c>
      <c r="C453" t="inlineStr">
        <is>
          <t>通易航天</t>
        </is>
      </c>
      <c r="D453" t="inlineStr">
        <is>
          <t>大宗交易</t>
        </is>
      </c>
      <c r="E453" t="inlineStr">
        <is>
          <t>东方财富</t>
        </is>
      </c>
      <c r="F453" t="inlineStr">
        <is>
          <t>RPT_DATA_BLOCKTRADE 2026（全市场分页后本地聚合）</t>
        </is>
      </c>
      <c r="G453" s="32" t="n">
        <v>46263.26141483762</v>
      </c>
      <c r="H453" t="inlineStr">
        <is>
          <t>CNY</t>
        </is>
      </c>
      <c r="I453" t="inlineStr">
        <is>
          <t>CNY</t>
        </is>
      </c>
      <c r="J453" t="inlineStr">
        <is>
          <t>ok</t>
        </is>
      </c>
      <c r="L453" t="b">
        <v>0</v>
      </c>
      <c r="M453" t="inlineStr">
        <is>
          <t>东方财富</t>
        </is>
      </c>
      <c r="N453" t="b">
        <v>1</v>
      </c>
    </row>
    <row r="454">
      <c r="A454" t="inlineStr">
        <is>
          <t>A股</t>
        </is>
      </c>
      <c r="B454" t="inlineStr">
        <is>
          <t>920642</t>
        </is>
      </c>
      <c r="C454" t="inlineStr">
        <is>
          <t>通易航天</t>
        </is>
      </c>
      <c r="D454" t="inlineStr">
        <is>
          <t>年度财务</t>
        </is>
      </c>
      <c r="E454" t="inlineStr">
        <is>
          <t>东方财富</t>
        </is>
      </c>
      <c r="F454" t="inlineStr">
        <is>
          <t>RPT_LICO_FN_CPD + RPT_DMSK_FN_CASHFLOW；巨潮回退原因：未配置巨潮官方 API 凭证/端点（CNINFO_ACCESS_TOKEN、CNINFO_INCOME_API_URL、CNINFO_CASHFLOW_API_URL）</t>
        </is>
      </c>
      <c r="G454" s="32" t="n">
        <v>46263.26152538267</v>
      </c>
      <c r="H454" t="inlineStr">
        <is>
          <t>CNY</t>
        </is>
      </c>
      <c r="I454" t="inlineStr">
        <is>
          <t>CNY</t>
        </is>
      </c>
      <c r="J454" t="inlineStr">
        <is>
          <t>ok</t>
        </is>
      </c>
      <c r="L454" t="b">
        <v>1</v>
      </c>
      <c r="M454" t="inlineStr">
        <is>
          <t>巨潮资讯（CNINFO Data Service）</t>
        </is>
      </c>
      <c r="N454" t="b">
        <v>1</v>
      </c>
    </row>
    <row r="455">
      <c r="A455" t="inlineStr">
        <is>
          <t>A股</t>
        </is>
      </c>
      <c r="B455" t="inlineStr">
        <is>
          <t>920642</t>
        </is>
      </c>
      <c r="C455" t="inlineStr">
        <is>
          <t>通易航天</t>
        </is>
      </c>
      <c r="D455" t="inlineStr">
        <is>
          <t>上市与发行信息</t>
        </is>
      </c>
      <c r="E455" t="inlineStr">
        <is>
          <t>东方财富</t>
        </is>
      </c>
      <c r="F455" t="inlineStr">
        <is>
          <t>RPT_PCF10_ORG_ISSUEINFO</t>
        </is>
      </c>
      <c r="G455" s="32" t="n">
        <v>46263.26159029819</v>
      </c>
      <c r="H455" t="inlineStr">
        <is>
          <t>CNY</t>
        </is>
      </c>
      <c r="I455" t="inlineStr">
        <is>
          <t>CNY</t>
        </is>
      </c>
      <c r="J455" t="inlineStr">
        <is>
          <t>ok</t>
        </is>
      </c>
      <c r="L455" t="b">
        <v>0</v>
      </c>
      <c r="M455" t="inlineStr">
        <is>
          <t>东方财富</t>
        </is>
      </c>
      <c r="N455" t="b">
        <v>1</v>
      </c>
    </row>
    <row r="456">
      <c r="A456" t="inlineStr">
        <is>
          <t>A股</t>
        </is>
      </c>
      <c r="B456" t="inlineStr">
        <is>
          <t>920642</t>
        </is>
      </c>
      <c r="C456" t="inlineStr">
        <is>
          <t>通易航天</t>
        </is>
      </c>
      <c r="D456" t="inlineStr">
        <is>
          <t>资金流</t>
        </is>
      </c>
      <c r="E456" t="inlineStr">
        <is>
          <t>东方财富</t>
        </is>
      </c>
      <c r="F456" t="inlineStr">
        <is>
          <t>fast-mode-no-reliable-batch-endpoint</t>
        </is>
      </c>
      <c r="G456" s="32" t="n">
        <v>46263.26159565565</v>
      </c>
      <c r="I456" t="inlineStr">
        <is>
          <t>CNY</t>
        </is>
      </c>
      <c r="J456" t="inlineStr">
        <is>
          <t>optional_missing</t>
        </is>
      </c>
      <c r="K456" t="inlineStr">
        <is>
          <t>快速模式未发现可靠的批量近五个交易日同口径字段，为避免逐股慢请求，本次留空</t>
        </is>
      </c>
      <c r="L456" t="b">
        <v>0</v>
      </c>
      <c r="M456" t="inlineStr">
        <is>
          <t>东方财富</t>
        </is>
      </c>
      <c r="N456" t="b">
        <v>1</v>
      </c>
    </row>
    <row r="457">
      <c r="A457" t="inlineStr">
        <is>
          <t>A股</t>
        </is>
      </c>
      <c r="B457" t="inlineStr">
        <is>
          <t>920641</t>
        </is>
      </c>
      <c r="C457" t="inlineStr">
        <is>
          <t>格利尔</t>
        </is>
      </c>
      <c r="D457" t="inlineStr">
        <is>
          <t>最新行情</t>
        </is>
      </c>
      <c r="E457" t="inlineStr">
        <is>
          <t>东方财富</t>
        </is>
      </c>
      <c r="F457" t="inlineStr">
        <is>
          <t>push2 ulist.np/get f2,f20（按指定证券分批）</t>
        </is>
      </c>
      <c r="G457" s="32" t="n">
        <v>46263.26140913873</v>
      </c>
      <c r="H457" t="inlineStr">
        <is>
          <t>CNY</t>
        </is>
      </c>
      <c r="I457" t="inlineStr">
        <is>
          <t>CNY</t>
        </is>
      </c>
      <c r="J457" t="inlineStr">
        <is>
          <t>ok</t>
        </is>
      </c>
      <c r="L457" t="b">
        <v>0</v>
      </c>
      <c r="M457" t="inlineStr">
        <is>
          <t>东方财富</t>
        </is>
      </c>
      <c r="N457" t="b">
        <v>1</v>
      </c>
    </row>
    <row r="458">
      <c r="A458" t="inlineStr">
        <is>
          <t>A股</t>
        </is>
      </c>
      <c r="B458" t="inlineStr">
        <is>
          <t>920641</t>
        </is>
      </c>
      <c r="C458" t="inlineStr">
        <is>
          <t>格利尔</t>
        </is>
      </c>
      <c r="D458" t="inlineStr">
        <is>
          <t>大宗交易</t>
        </is>
      </c>
      <c r="E458" t="inlineStr">
        <is>
          <t>东方财富</t>
        </is>
      </c>
      <c r="F458" t="inlineStr">
        <is>
          <t>RPT_DATA_BLOCKTRADE 2026（全市场分页后本地聚合）</t>
        </is>
      </c>
      <c r="G458" s="32" t="n">
        <v>46263.26141483762</v>
      </c>
      <c r="H458" t="inlineStr">
        <is>
          <t>CNY</t>
        </is>
      </c>
      <c r="I458" t="inlineStr">
        <is>
          <t>CNY</t>
        </is>
      </c>
      <c r="J458" t="inlineStr">
        <is>
          <t>ok</t>
        </is>
      </c>
      <c r="L458" t="b">
        <v>0</v>
      </c>
      <c r="M458" t="inlineStr">
        <is>
          <t>东方财富</t>
        </is>
      </c>
      <c r="N458" t="b">
        <v>1</v>
      </c>
    </row>
    <row r="459">
      <c r="A459" t="inlineStr">
        <is>
          <t>A股</t>
        </is>
      </c>
      <c r="B459" t="inlineStr">
        <is>
          <t>920641</t>
        </is>
      </c>
      <c r="C459" t="inlineStr">
        <is>
          <t>格利尔</t>
        </is>
      </c>
      <c r="D459" t="inlineStr">
        <is>
          <t>年度财务</t>
        </is>
      </c>
      <c r="E459" t="inlineStr">
        <is>
          <t>东方财富</t>
        </is>
      </c>
      <c r="F459" t="inlineStr">
        <is>
          <t>RPT_LICO_FN_CPD + RPT_DMSK_FN_CASHFLOW；巨潮回退原因：未配置巨潮官方 API 凭证/端点（CNINFO_ACCESS_TOKEN、CNINFO_INCOME_API_URL、CNINFO_CASHFLOW_API_URL）</t>
        </is>
      </c>
      <c r="G459" s="32" t="n">
        <v>46263.26152815753</v>
      </c>
      <c r="H459" t="inlineStr">
        <is>
          <t>CNY</t>
        </is>
      </c>
      <c r="I459" t="inlineStr">
        <is>
          <t>CNY</t>
        </is>
      </c>
      <c r="J459" t="inlineStr">
        <is>
          <t>ok</t>
        </is>
      </c>
      <c r="L459" t="b">
        <v>1</v>
      </c>
      <c r="M459" t="inlineStr">
        <is>
          <t>巨潮资讯（CNINFO Data Service）</t>
        </is>
      </c>
      <c r="N459" t="b">
        <v>1</v>
      </c>
    </row>
    <row r="460">
      <c r="A460" t="inlineStr">
        <is>
          <t>A股</t>
        </is>
      </c>
      <c r="B460" t="inlineStr">
        <is>
          <t>920641</t>
        </is>
      </c>
      <c r="C460" t="inlineStr">
        <is>
          <t>格利尔</t>
        </is>
      </c>
      <c r="D460" t="inlineStr">
        <is>
          <t>上市与发行信息</t>
        </is>
      </c>
      <c r="E460" t="inlineStr">
        <is>
          <t>东方财富</t>
        </is>
      </c>
      <c r="F460" t="inlineStr">
        <is>
          <t>RPT_PCF10_ORG_ISSUEINFO</t>
        </is>
      </c>
      <c r="G460" s="32" t="n">
        <v>46263.26159094783</v>
      </c>
      <c r="H460" t="inlineStr">
        <is>
          <t>CNY</t>
        </is>
      </c>
      <c r="I460" t="inlineStr">
        <is>
          <t>CNY</t>
        </is>
      </c>
      <c r="J460" t="inlineStr">
        <is>
          <t>ok</t>
        </is>
      </c>
      <c r="L460" t="b">
        <v>0</v>
      </c>
      <c r="M460" t="inlineStr">
        <is>
          <t>东方财富</t>
        </is>
      </c>
      <c r="N460" t="b">
        <v>1</v>
      </c>
    </row>
    <row r="461">
      <c r="A461" t="inlineStr">
        <is>
          <t>A股</t>
        </is>
      </c>
      <c r="B461" t="inlineStr">
        <is>
          <t>920641</t>
        </is>
      </c>
      <c r="C461" t="inlineStr">
        <is>
          <t>格利尔</t>
        </is>
      </c>
      <c r="D461" t="inlineStr">
        <is>
          <t>资金流</t>
        </is>
      </c>
      <c r="E461" t="inlineStr">
        <is>
          <t>东方财富</t>
        </is>
      </c>
      <c r="F461" t="inlineStr">
        <is>
          <t>fast-mode-no-reliable-batch-endpoint</t>
        </is>
      </c>
      <c r="G461" s="32" t="n">
        <v>46263.26159565565</v>
      </c>
      <c r="I461" t="inlineStr">
        <is>
          <t>CNY</t>
        </is>
      </c>
      <c r="J461" t="inlineStr">
        <is>
          <t>optional_missing</t>
        </is>
      </c>
      <c r="K461" t="inlineStr">
        <is>
          <t>快速模式未发现可靠的批量近五个交易日同口径字段，为避免逐股慢请求，本次留空</t>
        </is>
      </c>
      <c r="L461" t="b">
        <v>0</v>
      </c>
      <c r="M461" t="inlineStr">
        <is>
          <t>东方财富</t>
        </is>
      </c>
      <c r="N461" t="b">
        <v>1</v>
      </c>
    </row>
    <row r="462">
      <c r="A462" t="inlineStr">
        <is>
          <t>A股</t>
        </is>
      </c>
      <c r="B462" t="inlineStr">
        <is>
          <t>920640</t>
        </is>
      </c>
      <c r="C462" t="inlineStr">
        <is>
          <t>富士达</t>
        </is>
      </c>
      <c r="D462" t="inlineStr">
        <is>
          <t>最新行情</t>
        </is>
      </c>
      <c r="E462" t="inlineStr">
        <is>
          <t>东方财富</t>
        </is>
      </c>
      <c r="F462" t="inlineStr">
        <is>
          <t>push2 ulist.np/get f2,f20（按指定证券分批）</t>
        </is>
      </c>
      <c r="G462" s="32" t="n">
        <v>46263.26140913873</v>
      </c>
      <c r="H462" t="inlineStr">
        <is>
          <t>CNY</t>
        </is>
      </c>
      <c r="I462" t="inlineStr">
        <is>
          <t>CNY</t>
        </is>
      </c>
      <c r="J462" t="inlineStr">
        <is>
          <t>ok</t>
        </is>
      </c>
      <c r="L462" t="b">
        <v>0</v>
      </c>
      <c r="M462" t="inlineStr">
        <is>
          <t>东方财富</t>
        </is>
      </c>
      <c r="N462" t="b">
        <v>1</v>
      </c>
    </row>
    <row r="463">
      <c r="A463" t="inlineStr">
        <is>
          <t>A股</t>
        </is>
      </c>
      <c r="B463" t="inlineStr">
        <is>
          <t>920640</t>
        </is>
      </c>
      <c r="C463" t="inlineStr">
        <is>
          <t>富士达</t>
        </is>
      </c>
      <c r="D463" t="inlineStr">
        <is>
          <t>大宗交易</t>
        </is>
      </c>
      <c r="E463" t="inlineStr">
        <is>
          <t>东方财富</t>
        </is>
      </c>
      <c r="F463" t="inlineStr">
        <is>
          <t>RPT_DATA_BLOCKTRADE 2026（全市场分页后本地聚合）</t>
        </is>
      </c>
      <c r="G463" s="32" t="n">
        <v>46263.26141483762</v>
      </c>
      <c r="H463" t="inlineStr">
        <is>
          <t>CNY</t>
        </is>
      </c>
      <c r="I463" t="inlineStr">
        <is>
          <t>CNY</t>
        </is>
      </c>
      <c r="J463" t="inlineStr">
        <is>
          <t>ok</t>
        </is>
      </c>
      <c r="L463" t="b">
        <v>0</v>
      </c>
      <c r="M463" t="inlineStr">
        <is>
          <t>东方财富</t>
        </is>
      </c>
      <c r="N463" t="b">
        <v>1</v>
      </c>
    </row>
    <row r="464">
      <c r="A464" t="inlineStr">
        <is>
          <t>A股</t>
        </is>
      </c>
      <c r="B464" t="inlineStr">
        <is>
          <t>920640</t>
        </is>
      </c>
      <c r="C464" t="inlineStr">
        <is>
          <t>富士达</t>
        </is>
      </c>
      <c r="D464" t="inlineStr">
        <is>
          <t>年度财务</t>
        </is>
      </c>
      <c r="E464" t="inlineStr">
        <is>
          <t>东方财富</t>
        </is>
      </c>
      <c r="F464" t="inlineStr">
        <is>
          <t>RPT_LICO_FN_CPD + RPT_DMSK_FN_CASHFLOW；巨潮回退原因：未配置巨潮官方 API 凭证/端点（CNINFO_ACCESS_TOKEN、CNINFO_INCOME_API_URL、CNINFO_CASHFLOW_API_URL）</t>
        </is>
      </c>
      <c r="G464" s="32" t="n">
        <v>46263.26152764398</v>
      </c>
      <c r="H464" t="inlineStr">
        <is>
          <t>CNY</t>
        </is>
      </c>
      <c r="I464" t="inlineStr">
        <is>
          <t>CNY</t>
        </is>
      </c>
      <c r="J464" t="inlineStr">
        <is>
          <t>ok</t>
        </is>
      </c>
      <c r="L464" t="b">
        <v>1</v>
      </c>
      <c r="M464" t="inlineStr">
        <is>
          <t>巨潮资讯（CNINFO Data Service）</t>
        </is>
      </c>
      <c r="N464" t="b">
        <v>1</v>
      </c>
    </row>
    <row r="465">
      <c r="A465" t="inlineStr">
        <is>
          <t>A股</t>
        </is>
      </c>
      <c r="B465" t="inlineStr">
        <is>
          <t>920640</t>
        </is>
      </c>
      <c r="C465" t="inlineStr">
        <is>
          <t>富士达</t>
        </is>
      </c>
      <c r="D465" t="inlineStr">
        <is>
          <t>上市与发行信息</t>
        </is>
      </c>
      <c r="E465" t="inlineStr">
        <is>
          <t>东方财富</t>
        </is>
      </c>
      <c r="F465" t="inlineStr">
        <is>
          <t>RPT_PCF10_ORG_ISSUEINFO</t>
        </is>
      </c>
      <c r="G465" s="32" t="n">
        <v>46263.2615915259</v>
      </c>
      <c r="H465" t="inlineStr">
        <is>
          <t>CNY</t>
        </is>
      </c>
      <c r="I465" t="inlineStr">
        <is>
          <t>CNY</t>
        </is>
      </c>
      <c r="J465" t="inlineStr">
        <is>
          <t>ok</t>
        </is>
      </c>
      <c r="L465" t="b">
        <v>0</v>
      </c>
      <c r="M465" t="inlineStr">
        <is>
          <t>东方财富</t>
        </is>
      </c>
      <c r="N465" t="b">
        <v>1</v>
      </c>
    </row>
    <row r="466">
      <c r="A466" t="inlineStr">
        <is>
          <t>A股</t>
        </is>
      </c>
      <c r="B466" t="inlineStr">
        <is>
          <t>920640</t>
        </is>
      </c>
      <c r="C466" t="inlineStr">
        <is>
          <t>富士达</t>
        </is>
      </c>
      <c r="D466" t="inlineStr">
        <is>
          <t>资金流</t>
        </is>
      </c>
      <c r="E466" t="inlineStr">
        <is>
          <t>东方财富</t>
        </is>
      </c>
      <c r="F466" t="inlineStr">
        <is>
          <t>fast-mode-no-reliable-batch-endpoint</t>
        </is>
      </c>
      <c r="G466" s="32" t="n">
        <v>46263.26159565565</v>
      </c>
      <c r="I466" t="inlineStr">
        <is>
          <t>CNY</t>
        </is>
      </c>
      <c r="J466" t="inlineStr">
        <is>
          <t>optional_missing</t>
        </is>
      </c>
      <c r="K466" t="inlineStr">
        <is>
          <t>快速模式未发现可靠的批量近五个交易日同口径字段，为避免逐股慢请求，本次留空</t>
        </is>
      </c>
      <c r="L466" t="b">
        <v>0</v>
      </c>
      <c r="M466" t="inlineStr">
        <is>
          <t>东方财富</t>
        </is>
      </c>
      <c r="N466" t="b">
        <v>1</v>
      </c>
    </row>
    <row r="467">
      <c r="A467" t="inlineStr">
        <is>
          <t>A股</t>
        </is>
      </c>
      <c r="B467" t="inlineStr">
        <is>
          <t>920639</t>
        </is>
      </c>
      <c r="C467" t="inlineStr">
        <is>
          <t>晨光电缆</t>
        </is>
      </c>
      <c r="D467" t="inlineStr">
        <is>
          <t>最新行情</t>
        </is>
      </c>
      <c r="E467" t="inlineStr">
        <is>
          <t>东方财富</t>
        </is>
      </c>
      <c r="F467" t="inlineStr">
        <is>
          <t>push2 ulist.np/get f2,f20（按指定证券分批）</t>
        </is>
      </c>
      <c r="G467" s="32" t="n">
        <v>46263.26140913873</v>
      </c>
      <c r="H467" t="inlineStr">
        <is>
          <t>CNY</t>
        </is>
      </c>
      <c r="I467" t="inlineStr">
        <is>
          <t>CNY</t>
        </is>
      </c>
      <c r="J467" t="inlineStr">
        <is>
          <t>ok</t>
        </is>
      </c>
      <c r="L467" t="b">
        <v>0</v>
      </c>
      <c r="M467" t="inlineStr">
        <is>
          <t>东方财富</t>
        </is>
      </c>
      <c r="N467" t="b">
        <v>1</v>
      </c>
    </row>
    <row r="468">
      <c r="A468" t="inlineStr">
        <is>
          <t>A股</t>
        </is>
      </c>
      <c r="B468" t="inlineStr">
        <is>
          <t>920639</t>
        </is>
      </c>
      <c r="C468" t="inlineStr">
        <is>
          <t>晨光电缆</t>
        </is>
      </c>
      <c r="D468" t="inlineStr">
        <is>
          <t>大宗交易</t>
        </is>
      </c>
      <c r="E468" t="inlineStr">
        <is>
          <t>东方财富</t>
        </is>
      </c>
      <c r="F468" t="inlineStr">
        <is>
          <t>RPT_DATA_BLOCKTRADE 2026（全市场分页后本地聚合）</t>
        </is>
      </c>
      <c r="G468" s="32" t="n">
        <v>46263.26141483762</v>
      </c>
      <c r="H468" t="inlineStr">
        <is>
          <t>CNY</t>
        </is>
      </c>
      <c r="I468" t="inlineStr">
        <is>
          <t>CNY</t>
        </is>
      </c>
      <c r="J468" t="inlineStr">
        <is>
          <t>ok</t>
        </is>
      </c>
      <c r="L468" t="b">
        <v>0</v>
      </c>
      <c r="M468" t="inlineStr">
        <is>
          <t>东方财富</t>
        </is>
      </c>
      <c r="N468" t="b">
        <v>1</v>
      </c>
    </row>
    <row r="469">
      <c r="A469" t="inlineStr">
        <is>
          <t>A股</t>
        </is>
      </c>
      <c r="B469" t="inlineStr">
        <is>
          <t>920639</t>
        </is>
      </c>
      <c r="C469" t="inlineStr">
        <is>
          <t>晨光电缆</t>
        </is>
      </c>
      <c r="D469" t="inlineStr">
        <is>
          <t>年度财务</t>
        </is>
      </c>
      <c r="E469" t="inlineStr">
        <is>
          <t>东方财富</t>
        </is>
      </c>
      <c r="F469" t="inlineStr">
        <is>
          <t>RPT_LICO_FN_CPD + RPT_DMSK_FN_CASHFLOW；巨潮回退原因：未配置巨潮官方 API 凭证/端点（CNINFO_ACCESS_TOKEN、CNINFO_INCOME_API_URL、CNINFO_CASHFLOW_API_URL）</t>
        </is>
      </c>
      <c r="G469" s="32" t="n">
        <v>46263.26152911578</v>
      </c>
      <c r="H469" t="inlineStr">
        <is>
          <t>CNY</t>
        </is>
      </c>
      <c r="I469" t="inlineStr">
        <is>
          <t>CNY</t>
        </is>
      </c>
      <c r="J469" t="inlineStr">
        <is>
          <t>ok</t>
        </is>
      </c>
      <c r="L469" t="b">
        <v>1</v>
      </c>
      <c r="M469" t="inlineStr">
        <is>
          <t>巨潮资讯（CNINFO Data Service）</t>
        </is>
      </c>
      <c r="N469" t="b">
        <v>1</v>
      </c>
    </row>
    <row r="470">
      <c r="A470" t="inlineStr">
        <is>
          <t>A股</t>
        </is>
      </c>
      <c r="B470" t="inlineStr">
        <is>
          <t>920639</t>
        </is>
      </c>
      <c r="C470" t="inlineStr">
        <is>
          <t>晨光电缆</t>
        </is>
      </c>
      <c r="D470" t="inlineStr">
        <is>
          <t>上市与发行信息</t>
        </is>
      </c>
      <c r="E470" t="inlineStr">
        <is>
          <t>东方财富</t>
        </is>
      </c>
      <c r="F470" t="inlineStr">
        <is>
          <t>RPT_PCF10_ORG_ISSUEINFO</t>
        </is>
      </c>
      <c r="G470" s="32" t="n">
        <v>46263.2615920715</v>
      </c>
      <c r="H470" t="inlineStr">
        <is>
          <t>CNY</t>
        </is>
      </c>
      <c r="I470" t="inlineStr">
        <is>
          <t>CNY</t>
        </is>
      </c>
      <c r="J470" t="inlineStr">
        <is>
          <t>ok</t>
        </is>
      </c>
      <c r="L470" t="b">
        <v>0</v>
      </c>
      <c r="M470" t="inlineStr">
        <is>
          <t>东方财富</t>
        </is>
      </c>
      <c r="N470" t="b">
        <v>1</v>
      </c>
    </row>
    <row r="471">
      <c r="A471" t="inlineStr">
        <is>
          <t>A股</t>
        </is>
      </c>
      <c r="B471" t="inlineStr">
        <is>
          <t>920639</t>
        </is>
      </c>
      <c r="C471" t="inlineStr">
        <is>
          <t>晨光电缆</t>
        </is>
      </c>
      <c r="D471" t="inlineStr">
        <is>
          <t>资金流</t>
        </is>
      </c>
      <c r="E471" t="inlineStr">
        <is>
          <t>东方财富</t>
        </is>
      </c>
      <c r="F471" t="inlineStr">
        <is>
          <t>fast-mode-no-reliable-batch-endpoint</t>
        </is>
      </c>
      <c r="G471" s="32" t="n">
        <v>46263.26159565565</v>
      </c>
      <c r="I471" t="inlineStr">
        <is>
          <t>CNY</t>
        </is>
      </c>
      <c r="J471" t="inlineStr">
        <is>
          <t>optional_missing</t>
        </is>
      </c>
      <c r="K471" t="inlineStr">
        <is>
          <t>快速模式未发现可靠的批量近五个交易日同口径字段，为避免逐股慢请求，本次留空</t>
        </is>
      </c>
      <c r="L471" t="b">
        <v>0</v>
      </c>
      <c r="M471" t="inlineStr">
        <is>
          <t>东方财富</t>
        </is>
      </c>
      <c r="N471" t="b">
        <v>1</v>
      </c>
    </row>
    <row r="472">
      <c r="A472" t="inlineStr">
        <is>
          <t>A股</t>
        </is>
      </c>
      <c r="B472" t="inlineStr">
        <is>
          <t>920634</t>
        </is>
      </c>
      <c r="C472" t="inlineStr">
        <is>
          <t>新威凌</t>
        </is>
      </c>
      <c r="D472" t="inlineStr">
        <is>
          <t>最新行情</t>
        </is>
      </c>
      <c r="E472" t="inlineStr">
        <is>
          <t>东方财富</t>
        </is>
      </c>
      <c r="F472" t="inlineStr">
        <is>
          <t>push2 ulist.np/get f2,f20（按指定证券分批）</t>
        </is>
      </c>
      <c r="G472" s="32" t="n">
        <v>46263.26140913873</v>
      </c>
      <c r="H472" t="inlineStr">
        <is>
          <t>CNY</t>
        </is>
      </c>
      <c r="I472" t="inlineStr">
        <is>
          <t>CNY</t>
        </is>
      </c>
      <c r="J472" t="inlineStr">
        <is>
          <t>ok</t>
        </is>
      </c>
      <c r="L472" t="b">
        <v>0</v>
      </c>
      <c r="M472" t="inlineStr">
        <is>
          <t>东方财富</t>
        </is>
      </c>
      <c r="N472" t="b">
        <v>1</v>
      </c>
    </row>
    <row r="473">
      <c r="A473" t="inlineStr">
        <is>
          <t>A股</t>
        </is>
      </c>
      <c r="B473" t="inlineStr">
        <is>
          <t>920634</t>
        </is>
      </c>
      <c r="C473" t="inlineStr">
        <is>
          <t>新威凌</t>
        </is>
      </c>
      <c r="D473" t="inlineStr">
        <is>
          <t>大宗交易</t>
        </is>
      </c>
      <c r="E473" t="inlineStr">
        <is>
          <t>东方财富</t>
        </is>
      </c>
      <c r="F473" t="inlineStr">
        <is>
          <t>RPT_DATA_BLOCKTRADE 2026（全市场分页后本地聚合）</t>
        </is>
      </c>
      <c r="G473" s="32" t="n">
        <v>46263.26141483762</v>
      </c>
      <c r="H473" t="inlineStr">
        <is>
          <t>CNY</t>
        </is>
      </c>
      <c r="I473" t="inlineStr">
        <is>
          <t>CNY</t>
        </is>
      </c>
      <c r="J473" t="inlineStr">
        <is>
          <t>ok</t>
        </is>
      </c>
      <c r="L473" t="b">
        <v>0</v>
      </c>
      <c r="M473" t="inlineStr">
        <is>
          <t>东方财富</t>
        </is>
      </c>
      <c r="N473" t="b">
        <v>1</v>
      </c>
    </row>
    <row r="474">
      <c r="A474" t="inlineStr">
        <is>
          <t>A股</t>
        </is>
      </c>
      <c r="B474" t="inlineStr">
        <is>
          <t>920634</t>
        </is>
      </c>
      <c r="C474" t="inlineStr">
        <is>
          <t>新威凌</t>
        </is>
      </c>
      <c r="D474" t="inlineStr">
        <is>
          <t>年度财务</t>
        </is>
      </c>
      <c r="E474" t="inlineStr">
        <is>
          <t>东方财富</t>
        </is>
      </c>
      <c r="F474" t="inlineStr">
        <is>
          <t>RPT_LICO_FN_CPD + RPT_DMSK_FN_CASHFLOW；巨潮回退原因：未配置巨潮官方 API 凭证/端点（CNINFO_ACCESS_TOKEN、CNINFO_INCOME_API_URL、CNINFO_CASHFLOW_API_URL）</t>
        </is>
      </c>
      <c r="G474" s="32" t="n">
        <v>46263.26153008046</v>
      </c>
      <c r="H474" t="inlineStr">
        <is>
          <t>CNY</t>
        </is>
      </c>
      <c r="I474" t="inlineStr">
        <is>
          <t>CNY</t>
        </is>
      </c>
      <c r="J474" t="inlineStr">
        <is>
          <t>ok</t>
        </is>
      </c>
      <c r="L474" t="b">
        <v>1</v>
      </c>
      <c r="M474" t="inlineStr">
        <is>
          <t>巨潮资讯（CNINFO Data Service）</t>
        </is>
      </c>
      <c r="N474" t="b">
        <v>1</v>
      </c>
    </row>
    <row r="475">
      <c r="A475" t="inlineStr">
        <is>
          <t>A股</t>
        </is>
      </c>
      <c r="B475" t="inlineStr">
        <is>
          <t>920634</t>
        </is>
      </c>
      <c r="C475" t="inlineStr">
        <is>
          <t>新威凌</t>
        </is>
      </c>
      <c r="D475" t="inlineStr">
        <is>
          <t>上市与发行信息</t>
        </is>
      </c>
      <c r="E475" t="inlineStr">
        <is>
          <t>东方财富</t>
        </is>
      </c>
      <c r="F475" t="inlineStr">
        <is>
          <t>RPT_PCF10_ORG_ISSUEINFO</t>
        </is>
      </c>
      <c r="G475" s="32" t="n">
        <v>46263.26159268587</v>
      </c>
      <c r="H475" t="inlineStr">
        <is>
          <t>CNY</t>
        </is>
      </c>
      <c r="I475" t="inlineStr">
        <is>
          <t>CNY</t>
        </is>
      </c>
      <c r="J475" t="inlineStr">
        <is>
          <t>ok</t>
        </is>
      </c>
      <c r="L475" t="b">
        <v>0</v>
      </c>
      <c r="M475" t="inlineStr">
        <is>
          <t>东方财富</t>
        </is>
      </c>
      <c r="N475" t="b">
        <v>1</v>
      </c>
    </row>
    <row r="476">
      <c r="A476" t="inlineStr">
        <is>
          <t>A股</t>
        </is>
      </c>
      <c r="B476" t="inlineStr">
        <is>
          <t>920634</t>
        </is>
      </c>
      <c r="C476" t="inlineStr">
        <is>
          <t>新威凌</t>
        </is>
      </c>
      <c r="D476" t="inlineStr">
        <is>
          <t>资金流</t>
        </is>
      </c>
      <c r="E476" t="inlineStr">
        <is>
          <t>东方财富</t>
        </is>
      </c>
      <c r="F476" t="inlineStr">
        <is>
          <t>fast-mode-no-reliable-batch-endpoint</t>
        </is>
      </c>
      <c r="G476" s="32" t="n">
        <v>46263.26159565565</v>
      </c>
      <c r="I476" t="inlineStr">
        <is>
          <t>CNY</t>
        </is>
      </c>
      <c r="J476" t="inlineStr">
        <is>
          <t>optional_missing</t>
        </is>
      </c>
      <c r="K476" t="inlineStr">
        <is>
          <t>快速模式未发现可靠的批量近五个交易日同口径字段，为避免逐股慢请求，本次留空</t>
        </is>
      </c>
      <c r="L476" t="b">
        <v>0</v>
      </c>
      <c r="M476" t="inlineStr">
        <is>
          <t>东方财富</t>
        </is>
      </c>
      <c r="N476" t="b">
        <v>1</v>
      </c>
    </row>
    <row r="477">
      <c r="A477" t="inlineStr">
        <is>
          <t>A股</t>
        </is>
      </c>
      <c r="B477" t="inlineStr">
        <is>
          <t>920627</t>
        </is>
      </c>
      <c r="C477" t="inlineStr">
        <is>
          <t>力王股份</t>
        </is>
      </c>
      <c r="D477" t="inlineStr">
        <is>
          <t>最新行情</t>
        </is>
      </c>
      <c r="E477" t="inlineStr">
        <is>
          <t>东方财富</t>
        </is>
      </c>
      <c r="F477" t="inlineStr">
        <is>
          <t>push2 ulist.np/get f2,f20（按指定证券分批）</t>
        </is>
      </c>
      <c r="G477" s="32" t="n">
        <v>46263.26140913873</v>
      </c>
      <c r="H477" t="inlineStr">
        <is>
          <t>CNY</t>
        </is>
      </c>
      <c r="I477" t="inlineStr">
        <is>
          <t>CNY</t>
        </is>
      </c>
      <c r="J477" t="inlineStr">
        <is>
          <t>ok</t>
        </is>
      </c>
      <c r="L477" t="b">
        <v>0</v>
      </c>
      <c r="M477" t="inlineStr">
        <is>
          <t>东方财富</t>
        </is>
      </c>
      <c r="N477" t="b">
        <v>1</v>
      </c>
    </row>
    <row r="478">
      <c r="A478" t="inlineStr">
        <is>
          <t>A股</t>
        </is>
      </c>
      <c r="B478" t="inlineStr">
        <is>
          <t>920627</t>
        </is>
      </c>
      <c r="C478" t="inlineStr">
        <is>
          <t>力王股份</t>
        </is>
      </c>
      <c r="D478" t="inlineStr">
        <is>
          <t>大宗交易</t>
        </is>
      </c>
      <c r="E478" t="inlineStr">
        <is>
          <t>东方财富</t>
        </is>
      </c>
      <c r="F478" t="inlineStr">
        <is>
          <t>RPT_DATA_BLOCKTRADE 2026（全市场分页后本地聚合）</t>
        </is>
      </c>
      <c r="G478" s="32" t="n">
        <v>46263.26141483762</v>
      </c>
      <c r="H478" t="inlineStr">
        <is>
          <t>CNY</t>
        </is>
      </c>
      <c r="I478" t="inlineStr">
        <is>
          <t>CNY</t>
        </is>
      </c>
      <c r="J478" t="inlineStr">
        <is>
          <t>ok</t>
        </is>
      </c>
      <c r="L478" t="b">
        <v>0</v>
      </c>
      <c r="M478" t="inlineStr">
        <is>
          <t>东方财富</t>
        </is>
      </c>
      <c r="N478" t="b">
        <v>1</v>
      </c>
    </row>
    <row r="479">
      <c r="A479" t="inlineStr">
        <is>
          <t>A股</t>
        </is>
      </c>
      <c r="B479" t="inlineStr">
        <is>
          <t>920627</t>
        </is>
      </c>
      <c r="C479" t="inlineStr">
        <is>
          <t>力王股份</t>
        </is>
      </c>
      <c r="D479" t="inlineStr">
        <is>
          <t>年度财务</t>
        </is>
      </c>
      <c r="E479" t="inlineStr">
        <is>
          <t>东方财富</t>
        </is>
      </c>
      <c r="F479" t="inlineStr">
        <is>
          <t>RPT_LICO_FN_CPD + RPT_DMSK_FN_CASHFLOW；巨潮回退原因：未配置巨潮官方 API 凭证/端点（CNINFO_ACCESS_TOKEN、CNINFO_INCOME_API_URL、CNINFO_CASHFLOW_API_URL）</t>
        </is>
      </c>
      <c r="G479" s="32" t="n">
        <v>46263.26153091815</v>
      </c>
      <c r="H479" t="inlineStr">
        <is>
          <t>CNY</t>
        </is>
      </c>
      <c r="I479" t="inlineStr">
        <is>
          <t>CNY</t>
        </is>
      </c>
      <c r="J479" t="inlineStr">
        <is>
          <t>ok</t>
        </is>
      </c>
      <c r="L479" t="b">
        <v>1</v>
      </c>
      <c r="M479" t="inlineStr">
        <is>
          <t>巨潮资讯（CNINFO Data Service）</t>
        </is>
      </c>
      <c r="N479" t="b">
        <v>1</v>
      </c>
    </row>
    <row r="480">
      <c r="A480" t="inlineStr">
        <is>
          <t>A股</t>
        </is>
      </c>
      <c r="B480" t="inlineStr">
        <is>
          <t>920627</t>
        </is>
      </c>
      <c r="C480" t="inlineStr">
        <is>
          <t>力王股份</t>
        </is>
      </c>
      <c r="D480" t="inlineStr">
        <is>
          <t>上市与发行信息</t>
        </is>
      </c>
      <c r="E480" t="inlineStr">
        <is>
          <t>东方财富</t>
        </is>
      </c>
      <c r="F480" t="inlineStr">
        <is>
          <t>RPT_PCF10_ORG_ISSUEINFO</t>
        </is>
      </c>
      <c r="G480" s="32" t="n">
        <v>46263.26159338211</v>
      </c>
      <c r="H480" t="inlineStr">
        <is>
          <t>CNY</t>
        </is>
      </c>
      <c r="I480" t="inlineStr">
        <is>
          <t>CNY</t>
        </is>
      </c>
      <c r="J480" t="inlineStr">
        <is>
          <t>ok</t>
        </is>
      </c>
      <c r="L480" t="b">
        <v>0</v>
      </c>
      <c r="M480" t="inlineStr">
        <is>
          <t>东方财富</t>
        </is>
      </c>
      <c r="N480" t="b">
        <v>1</v>
      </c>
    </row>
    <row r="481">
      <c r="A481" t="inlineStr">
        <is>
          <t>A股</t>
        </is>
      </c>
      <c r="B481" t="inlineStr">
        <is>
          <t>920627</t>
        </is>
      </c>
      <c r="C481" t="inlineStr">
        <is>
          <t>力王股份</t>
        </is>
      </c>
      <c r="D481" t="inlineStr">
        <is>
          <t>资金流</t>
        </is>
      </c>
      <c r="E481" t="inlineStr">
        <is>
          <t>东方财富</t>
        </is>
      </c>
      <c r="F481" t="inlineStr">
        <is>
          <t>fast-mode-no-reliable-batch-endpoint</t>
        </is>
      </c>
      <c r="G481" s="32" t="n">
        <v>46263.26159565565</v>
      </c>
      <c r="I481" t="inlineStr">
        <is>
          <t>CNY</t>
        </is>
      </c>
      <c r="J481" t="inlineStr">
        <is>
          <t>optional_missing</t>
        </is>
      </c>
      <c r="K481" t="inlineStr">
        <is>
          <t>快速模式未发现可靠的批量近五个交易日同口径字段，为避免逐股慢请求，本次留空</t>
        </is>
      </c>
      <c r="L481" t="b">
        <v>0</v>
      </c>
      <c r="M481" t="inlineStr">
        <is>
          <t>东方财富</t>
        </is>
      </c>
      <c r="N481" t="b">
        <v>1</v>
      </c>
    </row>
    <row r="482">
      <c r="A482" t="inlineStr">
        <is>
          <t>A股</t>
        </is>
      </c>
      <c r="B482" t="inlineStr">
        <is>
          <t>920608</t>
        </is>
      </c>
      <c r="C482" t="inlineStr">
        <is>
          <t>丰安股份</t>
        </is>
      </c>
      <c r="D482" t="inlineStr">
        <is>
          <t>最新行情</t>
        </is>
      </c>
      <c r="E482" t="inlineStr">
        <is>
          <t>东方财富</t>
        </is>
      </c>
      <c r="F482" t="inlineStr">
        <is>
          <t>push2 ulist.np/get f2,f20（按指定证券分批）</t>
        </is>
      </c>
      <c r="G482" s="32" t="n">
        <v>46263.26140913873</v>
      </c>
      <c r="H482" t="inlineStr">
        <is>
          <t>CNY</t>
        </is>
      </c>
      <c r="I482" t="inlineStr">
        <is>
          <t>CNY</t>
        </is>
      </c>
      <c r="J482" t="inlineStr">
        <is>
          <t>ok</t>
        </is>
      </c>
      <c r="L482" t="b">
        <v>0</v>
      </c>
      <c r="M482" t="inlineStr">
        <is>
          <t>东方财富</t>
        </is>
      </c>
      <c r="N482" t="b">
        <v>1</v>
      </c>
    </row>
    <row r="483">
      <c r="A483" t="inlineStr">
        <is>
          <t>A股</t>
        </is>
      </c>
      <c r="B483" t="inlineStr">
        <is>
          <t>920608</t>
        </is>
      </c>
      <c r="C483" t="inlineStr">
        <is>
          <t>丰安股份</t>
        </is>
      </c>
      <c r="D483" t="inlineStr">
        <is>
          <t>大宗交易</t>
        </is>
      </c>
      <c r="E483" t="inlineStr">
        <is>
          <t>东方财富</t>
        </is>
      </c>
      <c r="F483" t="inlineStr">
        <is>
          <t>RPT_DATA_BLOCKTRADE 2026（全市场分页后本地聚合）</t>
        </is>
      </c>
      <c r="G483" s="32" t="n">
        <v>46263.26141483762</v>
      </c>
      <c r="H483" t="inlineStr">
        <is>
          <t>CNY</t>
        </is>
      </c>
      <c r="I483" t="inlineStr">
        <is>
          <t>CNY</t>
        </is>
      </c>
      <c r="J483" t="inlineStr">
        <is>
          <t>ok</t>
        </is>
      </c>
      <c r="L483" t="b">
        <v>0</v>
      </c>
      <c r="M483" t="inlineStr">
        <is>
          <t>东方财富</t>
        </is>
      </c>
      <c r="N483" t="b">
        <v>1</v>
      </c>
    </row>
    <row r="484">
      <c r="A484" t="inlineStr">
        <is>
          <t>A股</t>
        </is>
      </c>
      <c r="B484" t="inlineStr">
        <is>
          <t>920608</t>
        </is>
      </c>
      <c r="C484" t="inlineStr">
        <is>
          <t>丰安股份</t>
        </is>
      </c>
      <c r="D484" t="inlineStr">
        <is>
          <t>年度财务</t>
        </is>
      </c>
      <c r="E484" t="inlineStr">
        <is>
          <t>东方财富</t>
        </is>
      </c>
      <c r="F484" t="inlineStr">
        <is>
          <t>RPT_LICO_FN_CPD + RPT_DMSK_FN_CASHFLOW；巨潮回退原因：未配置巨潮官方 API 凭证/端点（CNINFO_ACCESS_TOKEN、CNINFO_INCOME_API_URL、CNINFO_CASHFLOW_API_URL）</t>
        </is>
      </c>
      <c r="G484" s="32" t="n">
        <v>46263.26153199447</v>
      </c>
      <c r="H484" t="inlineStr">
        <is>
          <t>CNY</t>
        </is>
      </c>
      <c r="I484" t="inlineStr">
        <is>
          <t>CNY</t>
        </is>
      </c>
      <c r="J484" t="inlineStr">
        <is>
          <t>ok</t>
        </is>
      </c>
      <c r="L484" t="b">
        <v>1</v>
      </c>
      <c r="M484" t="inlineStr">
        <is>
          <t>巨潮资讯（CNINFO Data Service）</t>
        </is>
      </c>
      <c r="N484" t="b">
        <v>1</v>
      </c>
    </row>
    <row r="485">
      <c r="A485" t="inlineStr">
        <is>
          <t>A股</t>
        </is>
      </c>
      <c r="B485" t="inlineStr">
        <is>
          <t>920608</t>
        </is>
      </c>
      <c r="C485" t="inlineStr">
        <is>
          <t>丰安股份</t>
        </is>
      </c>
      <c r="D485" t="inlineStr">
        <is>
          <t>上市与发行信息</t>
        </is>
      </c>
      <c r="E485" t="inlineStr">
        <is>
          <t>东方财富</t>
        </is>
      </c>
      <c r="F485" t="inlineStr">
        <is>
          <t>RPT_PCF10_ORG_ISSUEINFO</t>
        </is>
      </c>
      <c r="G485" s="32" t="n">
        <v>46263.26159368929</v>
      </c>
      <c r="H485" t="inlineStr">
        <is>
          <t>CNY</t>
        </is>
      </c>
      <c r="I485" t="inlineStr">
        <is>
          <t>CNY</t>
        </is>
      </c>
      <c r="J485" t="inlineStr">
        <is>
          <t>ok</t>
        </is>
      </c>
      <c r="L485" t="b">
        <v>0</v>
      </c>
      <c r="M485" t="inlineStr">
        <is>
          <t>东方财富</t>
        </is>
      </c>
      <c r="N485" t="b">
        <v>1</v>
      </c>
    </row>
    <row r="486">
      <c r="A486" t="inlineStr">
        <is>
          <t>A股</t>
        </is>
      </c>
      <c r="B486" t="inlineStr">
        <is>
          <t>920608</t>
        </is>
      </c>
      <c r="C486" t="inlineStr">
        <is>
          <t>丰安股份</t>
        </is>
      </c>
      <c r="D486" t="inlineStr">
        <is>
          <t>资金流</t>
        </is>
      </c>
      <c r="E486" t="inlineStr">
        <is>
          <t>东方财富</t>
        </is>
      </c>
      <c r="F486" t="inlineStr">
        <is>
          <t>fast-mode-no-reliable-batch-endpoint</t>
        </is>
      </c>
      <c r="G486" s="32" t="n">
        <v>46263.26159565565</v>
      </c>
      <c r="I486" t="inlineStr">
        <is>
          <t>CNY</t>
        </is>
      </c>
      <c r="J486" t="inlineStr">
        <is>
          <t>optional_missing</t>
        </is>
      </c>
      <c r="K486" t="inlineStr">
        <is>
          <t>快速模式未发现可靠的批量近五个交易日同口径字段，为避免逐股慢请求，本次留空</t>
        </is>
      </c>
      <c r="L486" t="b">
        <v>0</v>
      </c>
      <c r="M486" t="inlineStr">
        <is>
          <t>东方财富</t>
        </is>
      </c>
      <c r="N486" t="b">
        <v>1</v>
      </c>
    </row>
    <row r="487">
      <c r="A487" t="inlineStr">
        <is>
          <t>A股</t>
        </is>
      </c>
      <c r="B487" t="inlineStr">
        <is>
          <t>920599</t>
        </is>
      </c>
      <c r="C487" t="inlineStr">
        <is>
          <t>同力股份</t>
        </is>
      </c>
      <c r="D487" t="inlineStr">
        <is>
          <t>最新行情</t>
        </is>
      </c>
      <c r="E487" t="inlineStr">
        <is>
          <t>东方财富</t>
        </is>
      </c>
      <c r="F487" t="inlineStr">
        <is>
          <t>push2 ulist.np/get f2,f20（按指定证券分批）</t>
        </is>
      </c>
      <c r="G487" s="32" t="n">
        <v>46263.26140913873</v>
      </c>
      <c r="H487" t="inlineStr">
        <is>
          <t>CNY</t>
        </is>
      </c>
      <c r="I487" t="inlineStr">
        <is>
          <t>CNY</t>
        </is>
      </c>
      <c r="J487" t="inlineStr">
        <is>
          <t>ok</t>
        </is>
      </c>
      <c r="L487" t="b">
        <v>0</v>
      </c>
      <c r="M487" t="inlineStr">
        <is>
          <t>东方财富</t>
        </is>
      </c>
      <c r="N487" t="b">
        <v>1</v>
      </c>
    </row>
    <row r="488">
      <c r="A488" t="inlineStr">
        <is>
          <t>A股</t>
        </is>
      </c>
      <c r="B488" t="inlineStr">
        <is>
          <t>920599</t>
        </is>
      </c>
      <c r="C488" t="inlineStr">
        <is>
          <t>同力股份</t>
        </is>
      </c>
      <c r="D488" t="inlineStr">
        <is>
          <t>大宗交易</t>
        </is>
      </c>
      <c r="E488" t="inlineStr">
        <is>
          <t>东方财富</t>
        </is>
      </c>
      <c r="F488" t="inlineStr">
        <is>
          <t>RPT_DATA_BLOCKTRADE 2026（全市场分页后本地聚合）</t>
        </is>
      </c>
      <c r="G488" s="32" t="n">
        <v>46263.26141483762</v>
      </c>
      <c r="H488" t="inlineStr">
        <is>
          <t>CNY</t>
        </is>
      </c>
      <c r="I488" t="inlineStr">
        <is>
          <t>CNY</t>
        </is>
      </c>
      <c r="J488" t="inlineStr">
        <is>
          <t>ok</t>
        </is>
      </c>
      <c r="L488" t="b">
        <v>0</v>
      </c>
      <c r="M488" t="inlineStr">
        <is>
          <t>东方财富</t>
        </is>
      </c>
      <c r="N488" t="b">
        <v>1</v>
      </c>
    </row>
    <row r="489">
      <c r="A489" t="inlineStr">
        <is>
          <t>A股</t>
        </is>
      </c>
      <c r="B489" t="inlineStr">
        <is>
          <t>920599</t>
        </is>
      </c>
      <c r="C489" t="inlineStr">
        <is>
          <t>同力股份</t>
        </is>
      </c>
      <c r="D489" t="inlineStr">
        <is>
          <t>年度财务</t>
        </is>
      </c>
      <c r="E489" t="inlineStr">
        <is>
          <t>东方财富</t>
        </is>
      </c>
      <c r="F489" t="inlineStr">
        <is>
          <t>RPT_LICO_FN_CPD + RPT_DMSK_FN_CASHFLOW；巨潮回退原因：未配置巨潮官方 API 凭证/端点（CNINFO_ACCESS_TOKEN、CNINFO_INCOME_API_URL、CNINFO_CASHFLOW_API_URL）</t>
        </is>
      </c>
      <c r="G489" s="32" t="n">
        <v>46263.26153400582</v>
      </c>
      <c r="H489" t="inlineStr">
        <is>
          <t>CNY</t>
        </is>
      </c>
      <c r="I489" t="inlineStr">
        <is>
          <t>CNY</t>
        </is>
      </c>
      <c r="J489" t="inlineStr">
        <is>
          <t>ok</t>
        </is>
      </c>
      <c r="L489" t="b">
        <v>1</v>
      </c>
      <c r="M489" t="inlineStr">
        <is>
          <t>巨潮资讯（CNINFO Data Service）</t>
        </is>
      </c>
      <c r="N489" t="b">
        <v>1</v>
      </c>
    </row>
    <row r="490">
      <c r="A490" t="inlineStr">
        <is>
          <t>A股</t>
        </is>
      </c>
      <c r="B490" t="inlineStr">
        <is>
          <t>920599</t>
        </is>
      </c>
      <c r="C490" t="inlineStr">
        <is>
          <t>同力股份</t>
        </is>
      </c>
      <c r="D490" t="inlineStr">
        <is>
          <t>上市与发行信息</t>
        </is>
      </c>
      <c r="E490" t="inlineStr">
        <is>
          <t>东方财富</t>
        </is>
      </c>
      <c r="F490" t="inlineStr">
        <is>
          <t>RPT_PCF10_ORG_ISSUEINFO</t>
        </is>
      </c>
      <c r="G490" s="32" t="n">
        <v>46263.26159440317</v>
      </c>
      <c r="H490" t="inlineStr">
        <is>
          <t>CNY</t>
        </is>
      </c>
      <c r="I490" t="inlineStr">
        <is>
          <t>CNY</t>
        </is>
      </c>
      <c r="J490" t="inlineStr">
        <is>
          <t>ok</t>
        </is>
      </c>
      <c r="L490" t="b">
        <v>0</v>
      </c>
      <c r="M490" t="inlineStr">
        <is>
          <t>东方财富</t>
        </is>
      </c>
      <c r="N490" t="b">
        <v>1</v>
      </c>
    </row>
    <row r="491">
      <c r="A491" t="inlineStr">
        <is>
          <t>A股</t>
        </is>
      </c>
      <c r="B491" t="inlineStr">
        <is>
          <t>920599</t>
        </is>
      </c>
      <c r="C491" t="inlineStr">
        <is>
          <t>同力股份</t>
        </is>
      </c>
      <c r="D491" t="inlineStr">
        <is>
          <t>资金流</t>
        </is>
      </c>
      <c r="E491" t="inlineStr">
        <is>
          <t>东方财富</t>
        </is>
      </c>
      <c r="F491" t="inlineStr">
        <is>
          <t>fast-mode-no-reliable-batch-endpoint</t>
        </is>
      </c>
      <c r="G491" s="32" t="n">
        <v>46263.26159565565</v>
      </c>
      <c r="I491" t="inlineStr">
        <is>
          <t>CNY</t>
        </is>
      </c>
      <c r="J491" t="inlineStr">
        <is>
          <t>optional_missing</t>
        </is>
      </c>
      <c r="K491" t="inlineStr">
        <is>
          <t>快速模式未发现可靠的批量近五个交易日同口径字段，为避免逐股慢请求，本次留空</t>
        </is>
      </c>
      <c r="L491" t="b">
        <v>0</v>
      </c>
      <c r="M491" t="inlineStr">
        <is>
          <t>东方财富</t>
        </is>
      </c>
      <c r="N491" t="b">
        <v>1</v>
      </c>
    </row>
    <row r="492">
      <c r="A492" t="inlineStr">
        <is>
          <t>A股</t>
        </is>
      </c>
      <c r="B492" t="inlineStr">
        <is>
          <t>920593</t>
        </is>
      </c>
      <c r="C492" t="inlineStr">
        <is>
          <t>鼎智科技</t>
        </is>
      </c>
      <c r="D492" t="inlineStr">
        <is>
          <t>最新行情</t>
        </is>
      </c>
      <c r="E492" t="inlineStr">
        <is>
          <t>东方财富</t>
        </is>
      </c>
      <c r="F492" t="inlineStr">
        <is>
          <t>push2 ulist.np/get f2,f20（按指定证券分批）</t>
        </is>
      </c>
      <c r="G492" s="32" t="n">
        <v>46263.26140913873</v>
      </c>
      <c r="H492" t="inlineStr">
        <is>
          <t>CNY</t>
        </is>
      </c>
      <c r="I492" t="inlineStr">
        <is>
          <t>CNY</t>
        </is>
      </c>
      <c r="J492" t="inlineStr">
        <is>
          <t>ok</t>
        </is>
      </c>
      <c r="L492" t="b">
        <v>0</v>
      </c>
      <c r="M492" t="inlineStr">
        <is>
          <t>东方财富</t>
        </is>
      </c>
      <c r="N492" t="b">
        <v>1</v>
      </c>
    </row>
    <row r="493">
      <c r="A493" t="inlineStr">
        <is>
          <t>A股</t>
        </is>
      </c>
      <c r="B493" t="inlineStr">
        <is>
          <t>920593</t>
        </is>
      </c>
      <c r="C493" t="inlineStr">
        <is>
          <t>鼎智科技</t>
        </is>
      </c>
      <c r="D493" t="inlineStr">
        <is>
          <t>大宗交易</t>
        </is>
      </c>
      <c r="E493" t="inlineStr">
        <is>
          <t>东方财富</t>
        </is>
      </c>
      <c r="F493" t="inlineStr">
        <is>
          <t>RPT_DATA_BLOCKTRADE 2026（全市场分页后本地聚合）</t>
        </is>
      </c>
      <c r="G493" s="32" t="n">
        <v>46263.26141483762</v>
      </c>
      <c r="H493" t="inlineStr">
        <is>
          <t>CNY</t>
        </is>
      </c>
      <c r="I493" t="inlineStr">
        <is>
          <t>CNY</t>
        </is>
      </c>
      <c r="J493" t="inlineStr">
        <is>
          <t>ok</t>
        </is>
      </c>
      <c r="L493" t="b">
        <v>0</v>
      </c>
      <c r="M493" t="inlineStr">
        <is>
          <t>东方财富</t>
        </is>
      </c>
      <c r="N493" t="b">
        <v>1</v>
      </c>
    </row>
    <row r="494">
      <c r="A494" t="inlineStr">
        <is>
          <t>A股</t>
        </is>
      </c>
      <c r="B494" t="inlineStr">
        <is>
          <t>920593</t>
        </is>
      </c>
      <c r="C494" t="inlineStr">
        <is>
          <t>鼎智科技</t>
        </is>
      </c>
      <c r="D494" t="inlineStr">
        <is>
          <t>年度财务</t>
        </is>
      </c>
      <c r="E494" t="inlineStr">
        <is>
          <t>东方财富</t>
        </is>
      </c>
      <c r="F494" t="inlineStr">
        <is>
          <t>RPT_LICO_FN_CPD + RPT_DMSK_FN_CASHFLOW；巨潮回退原因：未配置巨潮官方 API 凭证/端点（CNINFO_ACCESS_TOKEN、CNINFO_INCOME_API_URL、CNINFO_CASHFLOW_API_URL）</t>
        </is>
      </c>
      <c r="G494" s="32" t="n">
        <v>46263.2615375809</v>
      </c>
      <c r="H494" t="inlineStr">
        <is>
          <t>CNY</t>
        </is>
      </c>
      <c r="I494" t="inlineStr">
        <is>
          <t>CNY</t>
        </is>
      </c>
      <c r="J494" t="inlineStr">
        <is>
          <t>ok</t>
        </is>
      </c>
      <c r="L494" t="b">
        <v>1</v>
      </c>
      <c r="M494" t="inlineStr">
        <is>
          <t>巨潮资讯（CNINFO Data Service）</t>
        </is>
      </c>
      <c r="N494" t="b">
        <v>1</v>
      </c>
    </row>
    <row r="495">
      <c r="A495" t="inlineStr">
        <is>
          <t>A股</t>
        </is>
      </c>
      <c r="B495" t="inlineStr">
        <is>
          <t>920593</t>
        </is>
      </c>
      <c r="C495" t="inlineStr">
        <is>
          <t>鼎智科技</t>
        </is>
      </c>
      <c r="D495" t="inlineStr">
        <is>
          <t>上市与发行信息</t>
        </is>
      </c>
      <c r="E495" t="inlineStr">
        <is>
          <t>东方财富</t>
        </is>
      </c>
      <c r="F495" t="inlineStr">
        <is>
          <t>RPT_PCF10_ORG_ISSUEINFO</t>
        </is>
      </c>
      <c r="G495" s="32" t="n">
        <v>46263.26159493333</v>
      </c>
      <c r="H495" t="inlineStr">
        <is>
          <t>CNY</t>
        </is>
      </c>
      <c r="I495" t="inlineStr">
        <is>
          <t>CNY</t>
        </is>
      </c>
      <c r="J495" t="inlineStr">
        <is>
          <t>ok</t>
        </is>
      </c>
      <c r="L495" t="b">
        <v>0</v>
      </c>
      <c r="M495" t="inlineStr">
        <is>
          <t>东方财富</t>
        </is>
      </c>
      <c r="N495" t="b">
        <v>1</v>
      </c>
    </row>
    <row r="496">
      <c r="A496" t="inlineStr">
        <is>
          <t>A股</t>
        </is>
      </c>
      <c r="B496" t="inlineStr">
        <is>
          <t>920593</t>
        </is>
      </c>
      <c r="C496" t="inlineStr">
        <is>
          <t>鼎智科技</t>
        </is>
      </c>
      <c r="D496" t="inlineStr">
        <is>
          <t>资金流</t>
        </is>
      </c>
      <c r="E496" t="inlineStr">
        <is>
          <t>东方财富</t>
        </is>
      </c>
      <c r="F496" t="inlineStr">
        <is>
          <t>fast-mode-no-reliable-batch-endpoint</t>
        </is>
      </c>
      <c r="G496" s="32" t="n">
        <v>46263.26159565565</v>
      </c>
      <c r="I496" t="inlineStr">
        <is>
          <t>CNY</t>
        </is>
      </c>
      <c r="J496" t="inlineStr">
        <is>
          <t>optional_missing</t>
        </is>
      </c>
      <c r="K496" t="inlineStr">
        <is>
          <t>快速模式未发现可靠的批量近五个交易日同口径字段，为避免逐股慢请求，本次留空</t>
        </is>
      </c>
      <c r="L496" t="b">
        <v>0</v>
      </c>
      <c r="M496" t="inlineStr">
        <is>
          <t>东方财富</t>
        </is>
      </c>
      <c r="N496" t="b">
        <v>1</v>
      </c>
    </row>
    <row r="497">
      <c r="A497" t="inlineStr">
        <is>
          <t>A股</t>
        </is>
      </c>
      <c r="B497" t="inlineStr">
        <is>
          <t>920592</t>
        </is>
      </c>
      <c r="C497" t="inlineStr">
        <is>
          <t>华信永道</t>
        </is>
      </c>
      <c r="D497" t="inlineStr">
        <is>
          <t>最新行情</t>
        </is>
      </c>
      <c r="E497" t="inlineStr">
        <is>
          <t>东方财富</t>
        </is>
      </c>
      <c r="F497" t="inlineStr">
        <is>
          <t>push2 ulist.np/get f2,f20（按指定证券分批）</t>
        </is>
      </c>
      <c r="G497" s="32" t="n">
        <v>46263.26140913873</v>
      </c>
      <c r="H497" t="inlineStr">
        <is>
          <t>CNY</t>
        </is>
      </c>
      <c r="I497" t="inlineStr">
        <is>
          <t>CNY</t>
        </is>
      </c>
      <c r="J497" t="inlineStr">
        <is>
          <t>ok</t>
        </is>
      </c>
      <c r="L497" t="b">
        <v>0</v>
      </c>
      <c r="M497" t="inlineStr">
        <is>
          <t>东方财富</t>
        </is>
      </c>
      <c r="N497" t="b">
        <v>1</v>
      </c>
    </row>
    <row r="498">
      <c r="A498" t="inlineStr">
        <is>
          <t>A股</t>
        </is>
      </c>
      <c r="B498" t="inlineStr">
        <is>
          <t>920592</t>
        </is>
      </c>
      <c r="C498" t="inlineStr">
        <is>
          <t>华信永道</t>
        </is>
      </c>
      <c r="D498" t="inlineStr">
        <is>
          <t>大宗交易</t>
        </is>
      </c>
      <c r="E498" t="inlineStr">
        <is>
          <t>东方财富</t>
        </is>
      </c>
      <c r="F498" t="inlineStr">
        <is>
          <t>RPT_DATA_BLOCKTRADE 2026（全市场分页后本地聚合）</t>
        </is>
      </c>
      <c r="G498" s="32" t="n">
        <v>46263.26141483762</v>
      </c>
      <c r="H498" t="inlineStr">
        <is>
          <t>CNY</t>
        </is>
      </c>
      <c r="I498" t="inlineStr">
        <is>
          <t>CNY</t>
        </is>
      </c>
      <c r="J498" t="inlineStr">
        <is>
          <t>ok</t>
        </is>
      </c>
      <c r="L498" t="b">
        <v>0</v>
      </c>
      <c r="M498" t="inlineStr">
        <is>
          <t>东方财富</t>
        </is>
      </c>
      <c r="N498" t="b">
        <v>1</v>
      </c>
    </row>
    <row r="499">
      <c r="A499" t="inlineStr">
        <is>
          <t>A股</t>
        </is>
      </c>
      <c r="B499" t="inlineStr">
        <is>
          <t>920592</t>
        </is>
      </c>
      <c r="C499" t="inlineStr">
        <is>
          <t>华信永道</t>
        </is>
      </c>
      <c r="D499" t="inlineStr">
        <is>
          <t>年度财务</t>
        </is>
      </c>
      <c r="E499" t="inlineStr">
        <is>
          <t>东方财富</t>
        </is>
      </c>
      <c r="F499" t="inlineStr">
        <is>
          <t>RPT_LICO_FN_CPD + RPT_DMSK_FN_CASHFLOW；巨潮回退原因：未配置巨潮官方 API 凭证/端点（CNINFO_ACCESS_TOKEN、CNINFO_INCOME_API_URL、CNINFO_CASHFLOW_API_URL）</t>
        </is>
      </c>
      <c r="G499" s="32" t="n">
        <v>46263.26153403052</v>
      </c>
      <c r="H499" t="inlineStr">
        <is>
          <t>CNY</t>
        </is>
      </c>
      <c r="I499" t="inlineStr">
        <is>
          <t>CNY</t>
        </is>
      </c>
      <c r="J499" t="inlineStr">
        <is>
          <t>ok</t>
        </is>
      </c>
      <c r="L499" t="b">
        <v>1</v>
      </c>
      <c r="M499" t="inlineStr">
        <is>
          <t>巨潮资讯（CNINFO Data Service）</t>
        </is>
      </c>
      <c r="N499" t="b">
        <v>1</v>
      </c>
    </row>
    <row r="500">
      <c r="A500" t="inlineStr">
        <is>
          <t>A股</t>
        </is>
      </c>
      <c r="B500" t="inlineStr">
        <is>
          <t>920592</t>
        </is>
      </c>
      <c r="C500" t="inlineStr">
        <is>
          <t>华信永道</t>
        </is>
      </c>
      <c r="D500" t="inlineStr">
        <is>
          <t>上市与发行信息</t>
        </is>
      </c>
      <c r="E500" t="inlineStr">
        <is>
          <t>东方财富</t>
        </is>
      </c>
      <c r="F500" t="inlineStr">
        <is>
          <t>RPT_PCF10_ORG_ISSUEINFO</t>
        </is>
      </c>
      <c r="G500" s="32" t="n">
        <v>46263.26159561762</v>
      </c>
      <c r="H500" t="inlineStr">
        <is>
          <t>CNY</t>
        </is>
      </c>
      <c r="I500" t="inlineStr">
        <is>
          <t>CNY</t>
        </is>
      </c>
      <c r="J500" t="inlineStr">
        <is>
          <t>ok</t>
        </is>
      </c>
      <c r="L500" t="b">
        <v>0</v>
      </c>
      <c r="M500" t="inlineStr">
        <is>
          <t>东方财富</t>
        </is>
      </c>
      <c r="N500" t="b">
        <v>1</v>
      </c>
    </row>
    <row r="501">
      <c r="A501" t="inlineStr">
        <is>
          <t>A股</t>
        </is>
      </c>
      <c r="B501" t="inlineStr">
        <is>
          <t>920592</t>
        </is>
      </c>
      <c r="C501" t="inlineStr">
        <is>
          <t>华信永道</t>
        </is>
      </c>
      <c r="D501" t="inlineStr">
        <is>
          <t>资金流</t>
        </is>
      </c>
      <c r="E501" t="inlineStr">
        <is>
          <t>东方财富</t>
        </is>
      </c>
      <c r="F501" t="inlineStr">
        <is>
          <t>fast-mode-no-reliable-batch-endpoint</t>
        </is>
      </c>
      <c r="G501" s="32" t="n">
        <v>46263.26159565565</v>
      </c>
      <c r="I501" t="inlineStr">
        <is>
          <t>CNY</t>
        </is>
      </c>
      <c r="J501" t="inlineStr">
        <is>
          <t>optional_missing</t>
        </is>
      </c>
      <c r="K501" t="inlineStr">
        <is>
          <t>快速模式未发现可靠的批量近五个交易日同口径字段，为避免逐股慢请求，本次留空</t>
        </is>
      </c>
      <c r="L501" t="b">
        <v>0</v>
      </c>
      <c r="M501" t="inlineStr">
        <is>
          <t>东方财富</t>
        </is>
      </c>
      <c r="N5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资金流</t>
        </is>
      </c>
      <c r="E2" t="inlineStr">
        <is>
          <t>optional_missing</t>
        </is>
      </c>
      <c r="F2" t="inlineStr">
        <is>
          <t>快速模式未发现可靠的批量近五个交易日同口径字段，为避免逐股慢请求，本次留空</t>
        </is>
      </c>
      <c r="G2" t="b">
        <v>0</v>
      </c>
      <c r="H2" t="b">
        <v>1</v>
      </c>
      <c r="I2" t="inlineStr">
        <is>
          <t>东方财富</t>
        </is>
      </c>
      <c r="J2" t="inlineStr">
        <is>
          <t>东方财富</t>
        </is>
      </c>
      <c r="K2" t="inlineStr">
        <is>
          <t>fast-mode-no-reliable-batch-endpoint</t>
        </is>
      </c>
      <c r="L2" s="32" t="n">
        <v>46263.26159564944</v>
      </c>
      <c r="M2" t="b">
        <v>1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近五个交易日资金净额</t>
        </is>
      </c>
      <c r="E3" t="inlineStr">
        <is>
          <t>optional_missing</t>
        </is>
      </c>
      <c r="F3" t="inlineStr">
        <is>
          <t>近五个交易日资金净额：optional_missing</t>
        </is>
      </c>
      <c r="G3" t="b">
        <v>0</v>
      </c>
      <c r="H3" t="b">
        <v>1</v>
      </c>
      <c r="M3" t="b">
        <v>0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近一月资金净额（最近22个交易日）</t>
        </is>
      </c>
      <c r="E4" t="inlineStr">
        <is>
          <t>optional_missing</t>
        </is>
      </c>
      <c r="F4" t="inlineStr">
        <is>
          <t>近一月资金净额（最近22个交易日）：optional_missing</t>
        </is>
      </c>
      <c r="G4" t="b">
        <v>0</v>
      </c>
      <c r="H4" t="b">
        <v>1</v>
      </c>
      <c r="M4" t="b">
        <v>0</v>
      </c>
    </row>
    <row r="5">
      <c r="A5" t="inlineStr">
        <is>
          <t>A股</t>
        </is>
      </c>
      <c r="B5" t="inlineStr">
        <is>
          <t>920985</t>
        </is>
      </c>
      <c r="C5" t="inlineStr">
        <is>
          <t>海泰新能</t>
        </is>
      </c>
      <c r="D5" t="inlineStr">
        <is>
          <t>资金流</t>
        </is>
      </c>
      <c r="E5" t="inlineStr">
        <is>
          <t>optional_missing</t>
        </is>
      </c>
      <c r="F5" t="inlineStr">
        <is>
          <t>快速模式未发现可靠的批量近五个交易日同口径字段，为避免逐股慢请求，本次留空</t>
        </is>
      </c>
      <c r="G5" t="b">
        <v>0</v>
      </c>
      <c r="H5" t="b">
        <v>1</v>
      </c>
      <c r="I5" t="inlineStr">
        <is>
          <t>东方财富</t>
        </is>
      </c>
      <c r="J5" t="inlineStr">
        <is>
          <t>东方财富</t>
        </is>
      </c>
      <c r="K5" t="inlineStr">
        <is>
          <t>fast-mode-no-reliable-batch-endpoint</t>
        </is>
      </c>
      <c r="L5" s="32" t="n">
        <v>46263.26159564944</v>
      </c>
      <c r="M5" t="b">
        <v>1</v>
      </c>
    </row>
    <row r="6">
      <c r="A6" t="inlineStr">
        <is>
          <t>A股</t>
        </is>
      </c>
      <c r="B6" t="inlineStr">
        <is>
          <t>920985</t>
        </is>
      </c>
      <c r="C6" t="inlineStr">
        <is>
          <t>海泰新能</t>
        </is>
      </c>
      <c r="D6" t="inlineStr">
        <is>
          <t>近五个交易日资金净额</t>
        </is>
      </c>
      <c r="E6" t="inlineStr">
        <is>
          <t>optional_missing</t>
        </is>
      </c>
      <c r="F6" t="inlineStr">
        <is>
          <t>近五个交易日资金净额：optional_missing</t>
        </is>
      </c>
      <c r="G6" t="b">
        <v>0</v>
      </c>
      <c r="H6" t="b">
        <v>1</v>
      </c>
      <c r="M6" t="b">
        <v>0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近一月资金净额（最近22个交易日）</t>
        </is>
      </c>
      <c r="E7" t="inlineStr">
        <is>
          <t>optional_missing</t>
        </is>
      </c>
      <c r="F7" t="inlineStr">
        <is>
          <t>近一月资金净额（最近22个交易日）：optional_missing</t>
        </is>
      </c>
      <c r="G7" t="b">
        <v>0</v>
      </c>
      <c r="H7" t="b">
        <v>1</v>
      </c>
      <c r="M7" t="b">
        <v>0</v>
      </c>
    </row>
    <row r="8">
      <c r="A8" t="inlineStr">
        <is>
          <t>A股</t>
        </is>
      </c>
      <c r="B8" t="inlineStr">
        <is>
          <t>920982</t>
        </is>
      </c>
      <c r="C8" t="inlineStr">
        <is>
          <t>锦波生物</t>
        </is>
      </c>
      <c r="D8" t="inlineStr">
        <is>
          <t>资金流</t>
        </is>
      </c>
      <c r="E8" t="inlineStr">
        <is>
          <t>optional_missing</t>
        </is>
      </c>
      <c r="F8" t="inlineStr">
        <is>
          <t>快速模式未发现可靠的批量近五个交易日同口径字段，为避免逐股慢请求，本次留空</t>
        </is>
      </c>
      <c r="G8" t="b">
        <v>0</v>
      </c>
      <c r="H8" t="b">
        <v>1</v>
      </c>
      <c r="I8" t="inlineStr">
        <is>
          <t>东方财富</t>
        </is>
      </c>
      <c r="J8" t="inlineStr">
        <is>
          <t>东方财富</t>
        </is>
      </c>
      <c r="K8" t="inlineStr">
        <is>
          <t>fast-mode-no-reliable-batch-endpoint</t>
        </is>
      </c>
      <c r="L8" s="32" t="n">
        <v>46263.26159564944</v>
      </c>
      <c r="M8" t="b">
        <v>1</v>
      </c>
    </row>
    <row r="9">
      <c r="A9" t="inlineStr">
        <is>
          <t>A股</t>
        </is>
      </c>
      <c r="B9" t="inlineStr">
        <is>
          <t>920982</t>
        </is>
      </c>
      <c r="C9" t="inlineStr">
        <is>
          <t>锦波生物</t>
        </is>
      </c>
      <c r="D9" t="inlineStr">
        <is>
          <t>近五个交易日资金净额</t>
        </is>
      </c>
      <c r="E9" t="inlineStr">
        <is>
          <t>optional_missing</t>
        </is>
      </c>
      <c r="F9" t="inlineStr">
        <is>
          <t>近五个交易日资金净额：optional_missing</t>
        </is>
      </c>
      <c r="G9" t="b">
        <v>0</v>
      </c>
      <c r="H9" t="b">
        <v>1</v>
      </c>
      <c r="M9" t="b">
        <v>0</v>
      </c>
    </row>
    <row r="10">
      <c r="A10" t="inlineStr">
        <is>
          <t>A股</t>
        </is>
      </c>
      <c r="B10" t="inlineStr">
        <is>
          <t>920982</t>
        </is>
      </c>
      <c r="C10" t="inlineStr">
        <is>
          <t>锦波生物</t>
        </is>
      </c>
      <c r="D10" t="inlineStr">
        <is>
          <t>近一月资金净额（最近22个交易日）</t>
        </is>
      </c>
      <c r="E10" t="inlineStr">
        <is>
          <t>optional_missing</t>
        </is>
      </c>
      <c r="F10" t="inlineStr">
        <is>
          <t>近一月资金净额（最近22个交易日）：optional_missing</t>
        </is>
      </c>
      <c r="G10" t="b">
        <v>0</v>
      </c>
      <c r="H10" t="b">
        <v>1</v>
      </c>
      <c r="M10" t="b">
        <v>0</v>
      </c>
    </row>
    <row r="11">
      <c r="A11" t="inlineStr">
        <is>
          <t>A股</t>
        </is>
      </c>
      <c r="B11" t="inlineStr">
        <is>
          <t>920981</t>
        </is>
      </c>
      <c r="C11" t="inlineStr">
        <is>
          <t>晶赛科技</t>
        </is>
      </c>
      <c r="D11" t="inlineStr">
        <is>
          <t>资金流</t>
        </is>
      </c>
      <c r="E11" t="inlineStr">
        <is>
          <t>optional_missing</t>
        </is>
      </c>
      <c r="F11" t="inlineStr">
        <is>
          <t>快速模式未发现可靠的批量近五个交易日同口径字段，为避免逐股慢请求，本次留空</t>
        </is>
      </c>
      <c r="G11" t="b">
        <v>0</v>
      </c>
      <c r="H11" t="b">
        <v>1</v>
      </c>
      <c r="I11" t="inlineStr">
        <is>
          <t>东方财富</t>
        </is>
      </c>
      <c r="J11" t="inlineStr">
        <is>
          <t>东方财富</t>
        </is>
      </c>
      <c r="K11" t="inlineStr">
        <is>
          <t>fast-mode-no-reliable-batch-endpoint</t>
        </is>
      </c>
      <c r="L11" s="32" t="n">
        <v>46263.26159564944</v>
      </c>
      <c r="M11" t="b">
        <v>1</v>
      </c>
    </row>
    <row r="12">
      <c r="A12" t="inlineStr">
        <is>
          <t>A股</t>
        </is>
      </c>
      <c r="B12" t="inlineStr">
        <is>
          <t>920981</t>
        </is>
      </c>
      <c r="C12" t="inlineStr">
        <is>
          <t>晶赛科技</t>
        </is>
      </c>
      <c r="D12" t="inlineStr">
        <is>
          <t>近五个交易日资金净额</t>
        </is>
      </c>
      <c r="E12" t="inlineStr">
        <is>
          <t>optional_missing</t>
        </is>
      </c>
      <c r="F12" t="inlineStr">
        <is>
          <t>近五个交易日资金净额：optional_missing</t>
        </is>
      </c>
      <c r="G12" t="b">
        <v>0</v>
      </c>
      <c r="H12" t="b">
        <v>1</v>
      </c>
      <c r="M12" t="b">
        <v>0</v>
      </c>
    </row>
    <row r="13">
      <c r="A13" t="inlineStr">
        <is>
          <t>A股</t>
        </is>
      </c>
      <c r="B13" t="inlineStr">
        <is>
          <t>920981</t>
        </is>
      </c>
      <c r="C13" t="inlineStr">
        <is>
          <t>晶赛科技</t>
        </is>
      </c>
      <c r="D13" t="inlineStr">
        <is>
          <t>近一月资金净额（最近22个交易日）</t>
        </is>
      </c>
      <c r="E13" t="inlineStr">
        <is>
          <t>optional_missing</t>
        </is>
      </c>
      <c r="F13" t="inlineStr">
        <is>
          <t>近一月资金净额（最近22个交易日）：optional_missing</t>
        </is>
      </c>
      <c r="G13" t="b">
        <v>0</v>
      </c>
      <c r="H13" t="b">
        <v>1</v>
      </c>
      <c r="M13" t="b">
        <v>0</v>
      </c>
    </row>
    <row r="14">
      <c r="A14" t="inlineStr">
        <is>
          <t>A股</t>
        </is>
      </c>
      <c r="B14" t="inlineStr">
        <is>
          <t>920978</t>
        </is>
      </c>
      <c r="C14" t="inlineStr">
        <is>
          <t>开特股份</t>
        </is>
      </c>
      <c r="D14" t="inlineStr">
        <is>
          <t>资金流</t>
        </is>
      </c>
      <c r="E14" t="inlineStr">
        <is>
          <t>optional_missing</t>
        </is>
      </c>
      <c r="F14" t="inlineStr">
        <is>
          <t>快速模式未发现可靠的批量近五个交易日同口径字段，为避免逐股慢请求，本次留空</t>
        </is>
      </c>
      <c r="G14" t="b">
        <v>0</v>
      </c>
      <c r="H14" t="b">
        <v>1</v>
      </c>
      <c r="I14" t="inlineStr">
        <is>
          <t>东方财富</t>
        </is>
      </c>
      <c r="J14" t="inlineStr">
        <is>
          <t>东方财富</t>
        </is>
      </c>
      <c r="K14" t="inlineStr">
        <is>
          <t>fast-mode-no-reliable-batch-endpoint</t>
        </is>
      </c>
      <c r="L14" s="32" t="n">
        <v>46263.26159564944</v>
      </c>
      <c r="M14" t="b">
        <v>1</v>
      </c>
    </row>
    <row r="15">
      <c r="A15" t="inlineStr">
        <is>
          <t>A股</t>
        </is>
      </c>
      <c r="B15" t="inlineStr">
        <is>
          <t>920978</t>
        </is>
      </c>
      <c r="C15" t="inlineStr">
        <is>
          <t>开特股份</t>
        </is>
      </c>
      <c r="D15" t="inlineStr">
        <is>
          <t>近五个交易日资金净额</t>
        </is>
      </c>
      <c r="E15" t="inlineStr">
        <is>
          <t>optional_missing</t>
        </is>
      </c>
      <c r="F15" t="inlineStr">
        <is>
          <t>近五个交易日资金净额：optional_missing</t>
        </is>
      </c>
      <c r="G15" t="b">
        <v>0</v>
      </c>
      <c r="H15" t="b">
        <v>1</v>
      </c>
      <c r="M15" t="b">
        <v>0</v>
      </c>
    </row>
    <row r="16">
      <c r="A16" t="inlineStr">
        <is>
          <t>A股</t>
        </is>
      </c>
      <c r="B16" t="inlineStr">
        <is>
          <t>920978</t>
        </is>
      </c>
      <c r="C16" t="inlineStr">
        <is>
          <t>开特股份</t>
        </is>
      </c>
      <c r="D16" t="inlineStr">
        <is>
          <t>近一月资金净额（最近22个交易日）</t>
        </is>
      </c>
      <c r="E16" t="inlineStr">
        <is>
          <t>optional_missing</t>
        </is>
      </c>
      <c r="F16" t="inlineStr">
        <is>
          <t>近一月资金净额（最近22个交易日）：optional_missing</t>
        </is>
      </c>
      <c r="G16" t="b">
        <v>0</v>
      </c>
      <c r="H16" t="b">
        <v>1</v>
      </c>
      <c r="M16" t="b">
        <v>0</v>
      </c>
    </row>
    <row r="17">
      <c r="A17" t="inlineStr">
        <is>
          <t>A股</t>
        </is>
      </c>
      <c r="B17" t="inlineStr">
        <is>
          <t>920976</t>
        </is>
      </c>
      <c r="C17" t="inlineStr">
        <is>
          <t>视声智能</t>
        </is>
      </c>
      <c r="D17" t="inlineStr">
        <is>
          <t>资金流</t>
        </is>
      </c>
      <c r="E17" t="inlineStr">
        <is>
          <t>optional_missing</t>
        </is>
      </c>
      <c r="F17" t="inlineStr">
        <is>
          <t>快速模式未发现可靠的批量近五个交易日同口径字段，为避免逐股慢请求，本次留空</t>
        </is>
      </c>
      <c r="G17" t="b">
        <v>0</v>
      </c>
      <c r="H17" t="b">
        <v>1</v>
      </c>
      <c r="I17" t="inlineStr">
        <is>
          <t>东方财富</t>
        </is>
      </c>
      <c r="J17" t="inlineStr">
        <is>
          <t>东方财富</t>
        </is>
      </c>
      <c r="K17" t="inlineStr">
        <is>
          <t>fast-mode-no-reliable-batch-endpoint</t>
        </is>
      </c>
      <c r="L17" s="32" t="n">
        <v>46263.26159564944</v>
      </c>
      <c r="M17" t="b">
        <v>1</v>
      </c>
    </row>
    <row r="18">
      <c r="A18" t="inlineStr">
        <is>
          <t>A股</t>
        </is>
      </c>
      <c r="B18" t="inlineStr">
        <is>
          <t>920976</t>
        </is>
      </c>
      <c r="C18" t="inlineStr">
        <is>
          <t>视声智能</t>
        </is>
      </c>
      <c r="D18" t="inlineStr">
        <is>
          <t>近五个交易日资金净额</t>
        </is>
      </c>
      <c r="E18" t="inlineStr">
        <is>
          <t>optional_missing</t>
        </is>
      </c>
      <c r="F18" t="inlineStr">
        <is>
          <t>近五个交易日资金净额：optional_missing</t>
        </is>
      </c>
      <c r="G18" t="b">
        <v>0</v>
      </c>
      <c r="H18" t="b">
        <v>1</v>
      </c>
      <c r="M18" t="b">
        <v>0</v>
      </c>
    </row>
    <row r="19">
      <c r="A19" t="inlineStr">
        <is>
          <t>A股</t>
        </is>
      </c>
      <c r="B19" t="inlineStr">
        <is>
          <t>920976</t>
        </is>
      </c>
      <c r="C19" t="inlineStr">
        <is>
          <t>视声智能</t>
        </is>
      </c>
      <c r="D19" t="inlineStr">
        <is>
          <t>近一月资金净额（最近22个交易日）</t>
        </is>
      </c>
      <c r="E19" t="inlineStr">
        <is>
          <t>optional_missing</t>
        </is>
      </c>
      <c r="F19" t="inlineStr">
        <is>
          <t>近一月资金净额（最近22个交易日）：optional_missing</t>
        </is>
      </c>
      <c r="G19" t="b">
        <v>0</v>
      </c>
      <c r="H19" t="b">
        <v>1</v>
      </c>
      <c r="M19" t="b">
        <v>0</v>
      </c>
    </row>
    <row r="20">
      <c r="A20" t="inlineStr">
        <is>
          <t>A股</t>
        </is>
      </c>
      <c r="B20" t="inlineStr">
        <is>
          <t>920974</t>
        </is>
      </c>
      <c r="C20" t="inlineStr">
        <is>
          <t>凯大催化</t>
        </is>
      </c>
      <c r="D20" t="inlineStr">
        <is>
          <t>资金流</t>
        </is>
      </c>
      <c r="E20" t="inlineStr">
        <is>
          <t>optional_missing</t>
        </is>
      </c>
      <c r="F20" t="inlineStr">
        <is>
          <t>快速模式未发现可靠的批量近五个交易日同口径字段，为避免逐股慢请求，本次留空</t>
        </is>
      </c>
      <c r="G20" t="b">
        <v>0</v>
      </c>
      <c r="H20" t="b">
        <v>1</v>
      </c>
      <c r="I20" t="inlineStr">
        <is>
          <t>东方财富</t>
        </is>
      </c>
      <c r="J20" t="inlineStr">
        <is>
          <t>东方财富</t>
        </is>
      </c>
      <c r="K20" t="inlineStr">
        <is>
          <t>fast-mode-no-reliable-batch-endpoint</t>
        </is>
      </c>
      <c r="L20" s="32" t="n">
        <v>46263.26159564944</v>
      </c>
      <c r="M20" t="b">
        <v>1</v>
      </c>
    </row>
    <row r="21">
      <c r="A21" t="inlineStr">
        <is>
          <t>A股</t>
        </is>
      </c>
      <c r="B21" t="inlineStr">
        <is>
          <t>920974</t>
        </is>
      </c>
      <c r="C21" t="inlineStr">
        <is>
          <t>凯大催化</t>
        </is>
      </c>
      <c r="D21" t="inlineStr">
        <is>
          <t>近五个交易日资金净额</t>
        </is>
      </c>
      <c r="E21" t="inlineStr">
        <is>
          <t>optional_missing</t>
        </is>
      </c>
      <c r="F21" t="inlineStr">
        <is>
          <t>近五个交易日资金净额：optional_missing</t>
        </is>
      </c>
      <c r="G21" t="b">
        <v>0</v>
      </c>
      <c r="H21" t="b">
        <v>1</v>
      </c>
      <c r="M21" t="b">
        <v>0</v>
      </c>
    </row>
    <row r="22">
      <c r="A22" t="inlineStr">
        <is>
          <t>A股</t>
        </is>
      </c>
      <c r="B22" t="inlineStr">
        <is>
          <t>920974</t>
        </is>
      </c>
      <c r="C22" t="inlineStr">
        <is>
          <t>凯大催化</t>
        </is>
      </c>
      <c r="D22" t="inlineStr">
        <is>
          <t>近一月资金净额（最近22个交易日）</t>
        </is>
      </c>
      <c r="E22" t="inlineStr">
        <is>
          <t>optional_missing</t>
        </is>
      </c>
      <c r="F22" t="inlineStr">
        <is>
          <t>近一月资金净额（最近22个交易日）：optional_missing</t>
        </is>
      </c>
      <c r="G22" t="b">
        <v>0</v>
      </c>
      <c r="H22" t="b">
        <v>1</v>
      </c>
      <c r="M22" t="b">
        <v>0</v>
      </c>
    </row>
    <row r="23">
      <c r="A23" t="inlineStr">
        <is>
          <t>A股</t>
        </is>
      </c>
      <c r="B23" t="inlineStr">
        <is>
          <t>920971</t>
        </is>
      </c>
      <c r="C23" t="inlineStr">
        <is>
          <t>天马新材</t>
        </is>
      </c>
      <c r="D23" t="inlineStr">
        <is>
          <t>资金流</t>
        </is>
      </c>
      <c r="E23" t="inlineStr">
        <is>
          <t>optional_missing</t>
        </is>
      </c>
      <c r="F23" t="inlineStr">
        <is>
          <t>快速模式未发现可靠的批量近五个交易日同口径字段，为避免逐股慢请求，本次留空</t>
        </is>
      </c>
      <c r="G23" t="b">
        <v>0</v>
      </c>
      <c r="H23" t="b">
        <v>1</v>
      </c>
      <c r="I23" t="inlineStr">
        <is>
          <t>东方财富</t>
        </is>
      </c>
      <c r="J23" t="inlineStr">
        <is>
          <t>东方财富</t>
        </is>
      </c>
      <c r="K23" t="inlineStr">
        <is>
          <t>fast-mode-no-reliable-batch-endpoint</t>
        </is>
      </c>
      <c r="L23" s="32" t="n">
        <v>46263.26159564944</v>
      </c>
      <c r="M23" t="b">
        <v>1</v>
      </c>
    </row>
    <row r="24">
      <c r="A24" t="inlineStr">
        <is>
          <t>A股</t>
        </is>
      </c>
      <c r="B24" t="inlineStr">
        <is>
          <t>920971</t>
        </is>
      </c>
      <c r="C24" t="inlineStr">
        <is>
          <t>天马新材</t>
        </is>
      </c>
      <c r="D24" t="inlineStr">
        <is>
          <t>近五个交易日资金净额</t>
        </is>
      </c>
      <c r="E24" t="inlineStr">
        <is>
          <t>optional_missing</t>
        </is>
      </c>
      <c r="F24" t="inlineStr">
        <is>
          <t>近五个交易日资金净额：optional_missing</t>
        </is>
      </c>
      <c r="G24" t="b">
        <v>0</v>
      </c>
      <c r="H24" t="b">
        <v>1</v>
      </c>
      <c r="M24" t="b">
        <v>0</v>
      </c>
    </row>
    <row r="25">
      <c r="A25" t="inlineStr">
        <is>
          <t>A股</t>
        </is>
      </c>
      <c r="B25" t="inlineStr">
        <is>
          <t>920971</t>
        </is>
      </c>
      <c r="C25" t="inlineStr">
        <is>
          <t>天马新材</t>
        </is>
      </c>
      <c r="D25" t="inlineStr">
        <is>
          <t>近一月资金净额（最近22个交易日）</t>
        </is>
      </c>
      <c r="E25" t="inlineStr">
        <is>
          <t>optional_missing</t>
        </is>
      </c>
      <c r="F25" t="inlineStr">
        <is>
          <t>近一月资金净额（最近22个交易日）：optional_missing</t>
        </is>
      </c>
      <c r="G25" t="b">
        <v>0</v>
      </c>
      <c r="H25" t="b">
        <v>1</v>
      </c>
      <c r="M25" t="b">
        <v>0</v>
      </c>
    </row>
    <row r="26">
      <c r="A26" t="inlineStr">
        <is>
          <t>A股</t>
        </is>
      </c>
      <c r="B26" t="inlineStr">
        <is>
          <t>920970</t>
        </is>
      </c>
      <c r="C26" t="inlineStr">
        <is>
          <t>大禹生物</t>
        </is>
      </c>
      <c r="D26" t="inlineStr">
        <is>
          <t>资金流</t>
        </is>
      </c>
      <c r="E26" t="inlineStr">
        <is>
          <t>optional_missing</t>
        </is>
      </c>
      <c r="F26" t="inlineStr">
        <is>
          <t>快速模式未发现可靠的批量近五个交易日同口径字段，为避免逐股慢请求，本次留空</t>
        </is>
      </c>
      <c r="G26" t="b">
        <v>0</v>
      </c>
      <c r="H26" t="b">
        <v>1</v>
      </c>
      <c r="I26" t="inlineStr">
        <is>
          <t>东方财富</t>
        </is>
      </c>
      <c r="J26" t="inlineStr">
        <is>
          <t>东方财富</t>
        </is>
      </c>
      <c r="K26" t="inlineStr">
        <is>
          <t>fast-mode-no-reliable-batch-endpoint</t>
        </is>
      </c>
      <c r="L26" s="32" t="n">
        <v>46263.26159564944</v>
      </c>
      <c r="M26" t="b">
        <v>1</v>
      </c>
    </row>
    <row r="27">
      <c r="A27" t="inlineStr">
        <is>
          <t>A股</t>
        </is>
      </c>
      <c r="B27" t="inlineStr">
        <is>
          <t>920970</t>
        </is>
      </c>
      <c r="C27" t="inlineStr">
        <is>
          <t>大禹生物</t>
        </is>
      </c>
      <c r="D27" t="inlineStr">
        <is>
          <t>近五个交易日资金净额</t>
        </is>
      </c>
      <c r="E27" t="inlineStr">
        <is>
          <t>optional_missing</t>
        </is>
      </c>
      <c r="F27" t="inlineStr">
        <is>
          <t>近五个交易日资金净额：optional_missing</t>
        </is>
      </c>
      <c r="G27" t="b">
        <v>0</v>
      </c>
      <c r="H27" t="b">
        <v>1</v>
      </c>
      <c r="M27" t="b">
        <v>0</v>
      </c>
    </row>
    <row r="28">
      <c r="A28" t="inlineStr">
        <is>
          <t>A股</t>
        </is>
      </c>
      <c r="B28" t="inlineStr">
        <is>
          <t>920970</t>
        </is>
      </c>
      <c r="C28" t="inlineStr">
        <is>
          <t>大禹生物</t>
        </is>
      </c>
      <c r="D28" t="inlineStr">
        <is>
          <t>近一月资金净额（最近22个交易日）</t>
        </is>
      </c>
      <c r="E28" t="inlineStr">
        <is>
          <t>optional_missing</t>
        </is>
      </c>
      <c r="F28" t="inlineStr">
        <is>
          <t>近一月资金净额（最近22个交易日）：optional_missing</t>
        </is>
      </c>
      <c r="G28" t="b">
        <v>0</v>
      </c>
      <c r="H28" t="b">
        <v>1</v>
      </c>
      <c r="M28" t="b">
        <v>0</v>
      </c>
    </row>
    <row r="29">
      <c r="A29" t="inlineStr">
        <is>
          <t>A股</t>
        </is>
      </c>
      <c r="B29" t="inlineStr">
        <is>
          <t>920964</t>
        </is>
      </c>
      <c r="C29" t="inlineStr">
        <is>
          <t>润农节水</t>
        </is>
      </c>
      <c r="D29" t="inlineStr">
        <is>
          <t>资金流</t>
        </is>
      </c>
      <c r="E29" t="inlineStr">
        <is>
          <t>optional_missing</t>
        </is>
      </c>
      <c r="F29" t="inlineStr">
        <is>
          <t>快速模式未发现可靠的批量近五个交易日同口径字段，为避免逐股慢请求，本次留空</t>
        </is>
      </c>
      <c r="G29" t="b">
        <v>0</v>
      </c>
      <c r="H29" t="b">
        <v>1</v>
      </c>
      <c r="I29" t="inlineStr">
        <is>
          <t>东方财富</t>
        </is>
      </c>
      <c r="J29" t="inlineStr">
        <is>
          <t>东方财富</t>
        </is>
      </c>
      <c r="K29" t="inlineStr">
        <is>
          <t>fast-mode-no-reliable-batch-endpoint</t>
        </is>
      </c>
      <c r="L29" s="32" t="n">
        <v>46263.26159564944</v>
      </c>
      <c r="M29" t="b">
        <v>1</v>
      </c>
    </row>
    <row r="30">
      <c r="A30" t="inlineStr">
        <is>
          <t>A股</t>
        </is>
      </c>
      <c r="B30" t="inlineStr">
        <is>
          <t>920964</t>
        </is>
      </c>
      <c r="C30" t="inlineStr">
        <is>
          <t>润农节水</t>
        </is>
      </c>
      <c r="D30" t="inlineStr">
        <is>
          <t>近五个交易日资金净额</t>
        </is>
      </c>
      <c r="E30" t="inlineStr">
        <is>
          <t>optional_missing</t>
        </is>
      </c>
      <c r="F30" t="inlineStr">
        <is>
          <t>近五个交易日资金净额：optional_missing</t>
        </is>
      </c>
      <c r="G30" t="b">
        <v>0</v>
      </c>
      <c r="H30" t="b">
        <v>1</v>
      </c>
      <c r="M30" t="b">
        <v>0</v>
      </c>
    </row>
    <row r="31">
      <c r="A31" t="inlineStr">
        <is>
          <t>A股</t>
        </is>
      </c>
      <c r="B31" t="inlineStr">
        <is>
          <t>920964</t>
        </is>
      </c>
      <c r="C31" t="inlineStr">
        <is>
          <t>润农节水</t>
        </is>
      </c>
      <c r="D31" t="inlineStr">
        <is>
          <t>近一月资金净额（最近22个交易日）</t>
        </is>
      </c>
      <c r="E31" t="inlineStr">
        <is>
          <t>optional_missing</t>
        </is>
      </c>
      <c r="F31" t="inlineStr">
        <is>
          <t>近一月资金净额（最近22个交易日）：optional_missing</t>
        </is>
      </c>
      <c r="G31" t="b">
        <v>0</v>
      </c>
      <c r="H31" t="b">
        <v>1</v>
      </c>
      <c r="M31" t="b">
        <v>0</v>
      </c>
    </row>
    <row r="32">
      <c r="A32" t="inlineStr">
        <is>
          <t>A股</t>
        </is>
      </c>
      <c r="B32" t="inlineStr">
        <is>
          <t>920961</t>
        </is>
      </c>
      <c r="C32" t="inlineStr">
        <is>
          <t>创远信科</t>
        </is>
      </c>
      <c r="D32" t="inlineStr">
        <is>
          <t>资金流</t>
        </is>
      </c>
      <c r="E32" t="inlineStr">
        <is>
          <t>optional_missing</t>
        </is>
      </c>
      <c r="F32" t="inlineStr">
        <is>
          <t>快速模式未发现可靠的批量近五个交易日同口径字段，为避免逐股慢请求，本次留空</t>
        </is>
      </c>
      <c r="G32" t="b">
        <v>0</v>
      </c>
      <c r="H32" t="b">
        <v>1</v>
      </c>
      <c r="I32" t="inlineStr">
        <is>
          <t>东方财富</t>
        </is>
      </c>
      <c r="J32" t="inlineStr">
        <is>
          <t>东方财富</t>
        </is>
      </c>
      <c r="K32" t="inlineStr">
        <is>
          <t>fast-mode-no-reliable-batch-endpoint</t>
        </is>
      </c>
      <c r="L32" s="32" t="n">
        <v>46263.26159564944</v>
      </c>
      <c r="M32" t="b">
        <v>1</v>
      </c>
    </row>
    <row r="33">
      <c r="A33" t="inlineStr">
        <is>
          <t>A股</t>
        </is>
      </c>
      <c r="B33" t="inlineStr">
        <is>
          <t>920961</t>
        </is>
      </c>
      <c r="C33" t="inlineStr">
        <is>
          <t>创远信科</t>
        </is>
      </c>
      <c r="D33" t="inlineStr">
        <is>
          <t>近五个交易日资金净额</t>
        </is>
      </c>
      <c r="E33" t="inlineStr">
        <is>
          <t>optional_missing</t>
        </is>
      </c>
      <c r="F33" t="inlineStr">
        <is>
          <t>近五个交易日资金净额：optional_missing</t>
        </is>
      </c>
      <c r="G33" t="b">
        <v>0</v>
      </c>
      <c r="H33" t="b">
        <v>1</v>
      </c>
      <c r="M33" t="b">
        <v>0</v>
      </c>
    </row>
    <row r="34">
      <c r="A34" t="inlineStr">
        <is>
          <t>A股</t>
        </is>
      </c>
      <c r="B34" t="inlineStr">
        <is>
          <t>920961</t>
        </is>
      </c>
      <c r="C34" t="inlineStr">
        <is>
          <t>创远信科</t>
        </is>
      </c>
      <c r="D34" t="inlineStr">
        <is>
          <t>近一月资金净额（最近22个交易日）</t>
        </is>
      </c>
      <c r="E34" t="inlineStr">
        <is>
          <t>optional_missing</t>
        </is>
      </c>
      <c r="F34" t="inlineStr">
        <is>
          <t>近一月资金净额（最近22个交易日）：optional_missing</t>
        </is>
      </c>
      <c r="G34" t="b">
        <v>0</v>
      </c>
      <c r="H34" t="b">
        <v>1</v>
      </c>
      <c r="M34" t="b">
        <v>0</v>
      </c>
    </row>
    <row r="35">
      <c r="A35" t="inlineStr">
        <is>
          <t>A股</t>
        </is>
      </c>
      <c r="B35" t="inlineStr">
        <is>
          <t>920957</t>
        </is>
      </c>
      <c r="C35" t="inlineStr">
        <is>
          <t>汉维科技</t>
        </is>
      </c>
      <c r="D35" t="inlineStr">
        <is>
          <t>资金流</t>
        </is>
      </c>
      <c r="E35" t="inlineStr">
        <is>
          <t>optional_missing</t>
        </is>
      </c>
      <c r="F35" t="inlineStr">
        <is>
          <t>快速模式未发现可靠的批量近五个交易日同口径字段，为避免逐股慢请求，本次留空</t>
        </is>
      </c>
      <c r="G35" t="b">
        <v>0</v>
      </c>
      <c r="H35" t="b">
        <v>1</v>
      </c>
      <c r="I35" t="inlineStr">
        <is>
          <t>东方财富</t>
        </is>
      </c>
      <c r="J35" t="inlineStr">
        <is>
          <t>东方财富</t>
        </is>
      </c>
      <c r="K35" t="inlineStr">
        <is>
          <t>fast-mode-no-reliable-batch-endpoint</t>
        </is>
      </c>
      <c r="L35" s="32" t="n">
        <v>46263.26159564944</v>
      </c>
      <c r="M35" t="b">
        <v>1</v>
      </c>
    </row>
    <row r="36">
      <c r="A36" t="inlineStr">
        <is>
          <t>A股</t>
        </is>
      </c>
      <c r="B36" t="inlineStr">
        <is>
          <t>920957</t>
        </is>
      </c>
      <c r="C36" t="inlineStr">
        <is>
          <t>汉维科技</t>
        </is>
      </c>
      <c r="D36" t="inlineStr">
        <is>
          <t>近五个交易日资金净额</t>
        </is>
      </c>
      <c r="E36" t="inlineStr">
        <is>
          <t>optional_missing</t>
        </is>
      </c>
      <c r="F36" t="inlineStr">
        <is>
          <t>近五个交易日资金净额：optional_missing</t>
        </is>
      </c>
      <c r="G36" t="b">
        <v>0</v>
      </c>
      <c r="H36" t="b">
        <v>1</v>
      </c>
      <c r="M36" t="b">
        <v>0</v>
      </c>
    </row>
    <row r="37">
      <c r="A37" t="inlineStr">
        <is>
          <t>A股</t>
        </is>
      </c>
      <c r="B37" t="inlineStr">
        <is>
          <t>920957</t>
        </is>
      </c>
      <c r="C37" t="inlineStr">
        <is>
          <t>汉维科技</t>
        </is>
      </c>
      <c r="D37" t="inlineStr">
        <is>
          <t>近一月资金净额（最近22个交易日）</t>
        </is>
      </c>
      <c r="E37" t="inlineStr">
        <is>
          <t>optional_missing</t>
        </is>
      </c>
      <c r="F37" t="inlineStr">
        <is>
          <t>近一月资金净额（最近22个交易日）：optional_missing</t>
        </is>
      </c>
      <c r="G37" t="b">
        <v>0</v>
      </c>
      <c r="H37" t="b">
        <v>1</v>
      </c>
      <c r="M37" t="b">
        <v>0</v>
      </c>
    </row>
    <row r="38">
      <c r="A38" t="inlineStr">
        <is>
          <t>A股</t>
        </is>
      </c>
      <c r="B38" t="inlineStr">
        <is>
          <t>920953</t>
        </is>
      </c>
      <c r="C38" t="inlineStr">
        <is>
          <t>国子软件</t>
        </is>
      </c>
      <c r="D38" t="inlineStr">
        <is>
          <t>资金流</t>
        </is>
      </c>
      <c r="E38" t="inlineStr">
        <is>
          <t>optional_missing</t>
        </is>
      </c>
      <c r="F38" t="inlineStr">
        <is>
          <t>快速模式未发现可靠的批量近五个交易日同口径字段，为避免逐股慢请求，本次留空</t>
        </is>
      </c>
      <c r="G38" t="b">
        <v>0</v>
      </c>
      <c r="H38" t="b">
        <v>1</v>
      </c>
      <c r="I38" t="inlineStr">
        <is>
          <t>东方财富</t>
        </is>
      </c>
      <c r="J38" t="inlineStr">
        <is>
          <t>东方财富</t>
        </is>
      </c>
      <c r="K38" t="inlineStr">
        <is>
          <t>fast-mode-no-reliable-batch-endpoint</t>
        </is>
      </c>
      <c r="L38" s="32" t="n">
        <v>46263.26159564944</v>
      </c>
      <c r="M38" t="b">
        <v>1</v>
      </c>
    </row>
    <row r="39">
      <c r="A39" t="inlineStr">
        <is>
          <t>A股</t>
        </is>
      </c>
      <c r="B39" t="inlineStr">
        <is>
          <t>920953</t>
        </is>
      </c>
      <c r="C39" t="inlineStr">
        <is>
          <t>国子软件</t>
        </is>
      </c>
      <c r="D39" t="inlineStr">
        <is>
          <t>近五个交易日资金净额</t>
        </is>
      </c>
      <c r="E39" t="inlineStr">
        <is>
          <t>optional_missing</t>
        </is>
      </c>
      <c r="F39" t="inlineStr">
        <is>
          <t>近五个交易日资金净额：optional_missing</t>
        </is>
      </c>
      <c r="G39" t="b">
        <v>0</v>
      </c>
      <c r="H39" t="b">
        <v>1</v>
      </c>
      <c r="M39" t="b">
        <v>0</v>
      </c>
    </row>
    <row r="40">
      <c r="A40" t="inlineStr">
        <is>
          <t>A股</t>
        </is>
      </c>
      <c r="B40" t="inlineStr">
        <is>
          <t>920953</t>
        </is>
      </c>
      <c r="C40" t="inlineStr">
        <is>
          <t>国子软件</t>
        </is>
      </c>
      <c r="D40" t="inlineStr">
        <is>
          <t>近一月资金净额（最近22个交易日）</t>
        </is>
      </c>
      <c r="E40" t="inlineStr">
        <is>
          <t>optional_missing</t>
        </is>
      </c>
      <c r="F40" t="inlineStr">
        <is>
          <t>近一月资金净额（最近22个交易日）：optional_missing</t>
        </is>
      </c>
      <c r="G40" t="b">
        <v>0</v>
      </c>
      <c r="H40" t="b">
        <v>1</v>
      </c>
      <c r="M40" t="b">
        <v>0</v>
      </c>
    </row>
    <row r="41">
      <c r="A41" t="inlineStr">
        <is>
          <t>A股</t>
        </is>
      </c>
      <c r="B41" t="inlineStr">
        <is>
          <t>920950</t>
        </is>
      </c>
      <c r="C41" t="inlineStr">
        <is>
          <t>迅安科技</t>
        </is>
      </c>
      <c r="D41" t="inlineStr">
        <is>
          <t>资金流</t>
        </is>
      </c>
      <c r="E41" t="inlineStr">
        <is>
          <t>optional_missing</t>
        </is>
      </c>
      <c r="F41" t="inlineStr">
        <is>
          <t>快速模式未发现可靠的批量近五个交易日同口径字段，为避免逐股慢请求，本次留空</t>
        </is>
      </c>
      <c r="G41" t="b">
        <v>0</v>
      </c>
      <c r="H41" t="b">
        <v>1</v>
      </c>
      <c r="I41" t="inlineStr">
        <is>
          <t>东方财富</t>
        </is>
      </c>
      <c r="J41" t="inlineStr">
        <is>
          <t>东方财富</t>
        </is>
      </c>
      <c r="K41" t="inlineStr">
        <is>
          <t>fast-mode-no-reliable-batch-endpoint</t>
        </is>
      </c>
      <c r="L41" s="32" t="n">
        <v>46263.26159564944</v>
      </c>
      <c r="M41" t="b">
        <v>1</v>
      </c>
    </row>
    <row r="42">
      <c r="A42" t="inlineStr">
        <is>
          <t>A股</t>
        </is>
      </c>
      <c r="B42" t="inlineStr">
        <is>
          <t>920950</t>
        </is>
      </c>
      <c r="C42" t="inlineStr">
        <is>
          <t>迅安科技</t>
        </is>
      </c>
      <c r="D42" t="inlineStr">
        <is>
          <t>近五个交易日资金净额</t>
        </is>
      </c>
      <c r="E42" t="inlineStr">
        <is>
          <t>optional_missing</t>
        </is>
      </c>
      <c r="F42" t="inlineStr">
        <is>
          <t>近五个交易日资金净额：optional_missing</t>
        </is>
      </c>
      <c r="G42" t="b">
        <v>0</v>
      </c>
      <c r="H42" t="b">
        <v>1</v>
      </c>
      <c r="M42" t="b">
        <v>0</v>
      </c>
    </row>
    <row r="43">
      <c r="A43" t="inlineStr">
        <is>
          <t>A股</t>
        </is>
      </c>
      <c r="B43" t="inlineStr">
        <is>
          <t>920950</t>
        </is>
      </c>
      <c r="C43" t="inlineStr">
        <is>
          <t>迅安科技</t>
        </is>
      </c>
      <c r="D43" t="inlineStr">
        <is>
          <t>近一月资金净额（最近22个交易日）</t>
        </is>
      </c>
      <c r="E43" t="inlineStr">
        <is>
          <t>optional_missing</t>
        </is>
      </c>
      <c r="F43" t="inlineStr">
        <is>
          <t>近一月资金净额（最近22个交易日）：optional_missing</t>
        </is>
      </c>
      <c r="G43" t="b">
        <v>0</v>
      </c>
      <c r="H43" t="b">
        <v>1</v>
      </c>
      <c r="M43" t="b">
        <v>0</v>
      </c>
    </row>
    <row r="44">
      <c r="A44" t="inlineStr">
        <is>
          <t>A股</t>
        </is>
      </c>
      <c r="B44" t="inlineStr">
        <is>
          <t>920946</t>
        </is>
      </c>
      <c r="C44" t="inlineStr">
        <is>
          <t>森萱医药</t>
        </is>
      </c>
      <c r="D44" t="inlineStr">
        <is>
          <t>资金流</t>
        </is>
      </c>
      <c r="E44" t="inlineStr">
        <is>
          <t>optional_missing</t>
        </is>
      </c>
      <c r="F44" t="inlineStr">
        <is>
          <t>快速模式未发现可靠的批量近五个交易日同口径字段，为避免逐股慢请求，本次留空</t>
        </is>
      </c>
      <c r="G44" t="b">
        <v>0</v>
      </c>
      <c r="H44" t="b">
        <v>1</v>
      </c>
      <c r="I44" t="inlineStr">
        <is>
          <t>东方财富</t>
        </is>
      </c>
      <c r="J44" t="inlineStr">
        <is>
          <t>东方财富</t>
        </is>
      </c>
      <c r="K44" t="inlineStr">
        <is>
          <t>fast-mode-no-reliable-batch-endpoint</t>
        </is>
      </c>
      <c r="L44" s="32" t="n">
        <v>46263.26159564944</v>
      </c>
      <c r="M44" t="b">
        <v>1</v>
      </c>
    </row>
    <row r="45">
      <c r="A45" t="inlineStr">
        <is>
          <t>A股</t>
        </is>
      </c>
      <c r="B45" t="inlineStr">
        <is>
          <t>920946</t>
        </is>
      </c>
      <c r="C45" t="inlineStr">
        <is>
          <t>森萱医药</t>
        </is>
      </c>
      <c r="D45" t="inlineStr">
        <is>
          <t>近五个交易日资金净额</t>
        </is>
      </c>
      <c r="E45" t="inlineStr">
        <is>
          <t>optional_missing</t>
        </is>
      </c>
      <c r="F45" t="inlineStr">
        <is>
          <t>近五个交易日资金净额：optional_missing</t>
        </is>
      </c>
      <c r="G45" t="b">
        <v>0</v>
      </c>
      <c r="H45" t="b">
        <v>1</v>
      </c>
      <c r="M45" t="b">
        <v>0</v>
      </c>
    </row>
    <row r="46">
      <c r="A46" t="inlineStr">
        <is>
          <t>A股</t>
        </is>
      </c>
      <c r="B46" t="inlineStr">
        <is>
          <t>920946</t>
        </is>
      </c>
      <c r="C46" t="inlineStr">
        <is>
          <t>森萱医药</t>
        </is>
      </c>
      <c r="D46" t="inlineStr">
        <is>
          <t>近一月资金净额（最近22个交易日）</t>
        </is>
      </c>
      <c r="E46" t="inlineStr">
        <is>
          <t>optional_missing</t>
        </is>
      </c>
      <c r="F46" t="inlineStr">
        <is>
          <t>近一月资金净额（最近22个交易日）：optional_missing</t>
        </is>
      </c>
      <c r="G46" t="b">
        <v>0</v>
      </c>
      <c r="H46" t="b">
        <v>1</v>
      </c>
      <c r="M46" t="b">
        <v>0</v>
      </c>
    </row>
    <row r="47">
      <c r="A47" t="inlineStr">
        <is>
          <t>A股</t>
        </is>
      </c>
      <c r="B47" t="inlineStr">
        <is>
          <t>920943</t>
        </is>
      </c>
      <c r="C47" t="inlineStr">
        <is>
          <t>优机股份</t>
        </is>
      </c>
      <c r="D47" t="inlineStr">
        <is>
          <t>资金流</t>
        </is>
      </c>
      <c r="E47" t="inlineStr">
        <is>
          <t>optional_missing</t>
        </is>
      </c>
      <c r="F47" t="inlineStr">
        <is>
          <t>快速模式未发现可靠的批量近五个交易日同口径字段，为避免逐股慢请求，本次留空</t>
        </is>
      </c>
      <c r="G47" t="b">
        <v>0</v>
      </c>
      <c r="H47" t="b">
        <v>1</v>
      </c>
      <c r="I47" t="inlineStr">
        <is>
          <t>东方财富</t>
        </is>
      </c>
      <c r="J47" t="inlineStr">
        <is>
          <t>东方财富</t>
        </is>
      </c>
      <c r="K47" t="inlineStr">
        <is>
          <t>fast-mode-no-reliable-batch-endpoint</t>
        </is>
      </c>
      <c r="L47" s="32" t="n">
        <v>46263.26159564944</v>
      </c>
      <c r="M47" t="b">
        <v>1</v>
      </c>
    </row>
    <row r="48">
      <c r="A48" t="inlineStr">
        <is>
          <t>A股</t>
        </is>
      </c>
      <c r="B48" t="inlineStr">
        <is>
          <t>920943</t>
        </is>
      </c>
      <c r="C48" t="inlineStr">
        <is>
          <t>优机股份</t>
        </is>
      </c>
      <c r="D48" t="inlineStr">
        <is>
          <t>近五个交易日资金净额</t>
        </is>
      </c>
      <c r="E48" t="inlineStr">
        <is>
          <t>optional_missing</t>
        </is>
      </c>
      <c r="F48" t="inlineStr">
        <is>
          <t>近五个交易日资金净额：optional_missing</t>
        </is>
      </c>
      <c r="G48" t="b">
        <v>0</v>
      </c>
      <c r="H48" t="b">
        <v>1</v>
      </c>
      <c r="M48" t="b">
        <v>0</v>
      </c>
    </row>
    <row r="49">
      <c r="A49" t="inlineStr">
        <is>
          <t>A股</t>
        </is>
      </c>
      <c r="B49" t="inlineStr">
        <is>
          <t>920943</t>
        </is>
      </c>
      <c r="C49" t="inlineStr">
        <is>
          <t>优机股份</t>
        </is>
      </c>
      <c r="D49" t="inlineStr">
        <is>
          <t>近一月资金净额（最近22个交易日）</t>
        </is>
      </c>
      <c r="E49" t="inlineStr">
        <is>
          <t>optional_missing</t>
        </is>
      </c>
      <c r="F49" t="inlineStr">
        <is>
          <t>近一月资金净额（最近22个交易日）：optional_missing</t>
        </is>
      </c>
      <c r="G49" t="b">
        <v>0</v>
      </c>
      <c r="H49" t="b">
        <v>1</v>
      </c>
      <c r="M49" t="b">
        <v>0</v>
      </c>
    </row>
    <row r="50">
      <c r="A50" t="inlineStr">
        <is>
          <t>A股</t>
        </is>
      </c>
      <c r="B50" t="inlineStr">
        <is>
          <t>920942</t>
        </is>
      </c>
      <c r="C50" t="inlineStr">
        <is>
          <t>恒立钻具</t>
        </is>
      </c>
      <c r="D50" t="inlineStr">
        <is>
          <t>资金流</t>
        </is>
      </c>
      <c r="E50" t="inlineStr">
        <is>
          <t>optional_missing</t>
        </is>
      </c>
      <c r="F50" t="inlineStr">
        <is>
          <t>快速模式未发现可靠的批量近五个交易日同口径字段，为避免逐股慢请求，本次留空</t>
        </is>
      </c>
      <c r="G50" t="b">
        <v>0</v>
      </c>
      <c r="H50" t="b">
        <v>1</v>
      </c>
      <c r="I50" t="inlineStr">
        <is>
          <t>东方财富</t>
        </is>
      </c>
      <c r="J50" t="inlineStr">
        <is>
          <t>东方财富</t>
        </is>
      </c>
      <c r="K50" t="inlineStr">
        <is>
          <t>fast-mode-no-reliable-batch-endpoint</t>
        </is>
      </c>
      <c r="L50" s="32" t="n">
        <v>46263.26159564944</v>
      </c>
      <c r="M50" t="b">
        <v>1</v>
      </c>
    </row>
    <row r="51">
      <c r="A51" t="inlineStr">
        <is>
          <t>A股</t>
        </is>
      </c>
      <c r="B51" t="inlineStr">
        <is>
          <t>920942</t>
        </is>
      </c>
      <c r="C51" t="inlineStr">
        <is>
          <t>恒立钻具</t>
        </is>
      </c>
      <c r="D51" t="inlineStr">
        <is>
          <t>近五个交易日资金净额</t>
        </is>
      </c>
      <c r="E51" t="inlineStr">
        <is>
          <t>optional_missing</t>
        </is>
      </c>
      <c r="F51" t="inlineStr">
        <is>
          <t>近五个交易日资金净额：optional_missing</t>
        </is>
      </c>
      <c r="G51" t="b">
        <v>0</v>
      </c>
      <c r="H51" t="b">
        <v>1</v>
      </c>
      <c r="M51" t="b">
        <v>0</v>
      </c>
    </row>
    <row r="52">
      <c r="A52" t="inlineStr">
        <is>
          <t>A股</t>
        </is>
      </c>
      <c r="B52" t="inlineStr">
        <is>
          <t>920942</t>
        </is>
      </c>
      <c r="C52" t="inlineStr">
        <is>
          <t>恒立钻具</t>
        </is>
      </c>
      <c r="D52" t="inlineStr">
        <is>
          <t>近一月资金净额（最近22个交易日）</t>
        </is>
      </c>
      <c r="E52" t="inlineStr">
        <is>
          <t>optional_missing</t>
        </is>
      </c>
      <c r="F52" t="inlineStr">
        <is>
          <t>近一月资金净额（最近22个交易日）：optional_missing</t>
        </is>
      </c>
      <c r="G52" t="b">
        <v>0</v>
      </c>
      <c r="H52" t="b">
        <v>1</v>
      </c>
      <c r="M52" t="b">
        <v>0</v>
      </c>
    </row>
    <row r="53">
      <c r="A53" t="inlineStr">
        <is>
          <t>A股</t>
        </is>
      </c>
      <c r="B53" t="inlineStr">
        <is>
          <t>920932</t>
        </is>
      </c>
      <c r="C53" t="inlineStr">
        <is>
          <t>科达自控</t>
        </is>
      </c>
      <c r="D53" t="inlineStr">
        <is>
          <t>资金流</t>
        </is>
      </c>
      <c r="E53" t="inlineStr">
        <is>
          <t>optional_missing</t>
        </is>
      </c>
      <c r="F53" t="inlineStr">
        <is>
          <t>快速模式未发现可靠的批量近五个交易日同口径字段，为避免逐股慢请求，本次留空</t>
        </is>
      </c>
      <c r="G53" t="b">
        <v>0</v>
      </c>
      <c r="H53" t="b">
        <v>1</v>
      </c>
      <c r="I53" t="inlineStr">
        <is>
          <t>东方财富</t>
        </is>
      </c>
      <c r="J53" t="inlineStr">
        <is>
          <t>东方财富</t>
        </is>
      </c>
      <c r="K53" t="inlineStr">
        <is>
          <t>fast-mode-no-reliable-batch-endpoint</t>
        </is>
      </c>
      <c r="L53" s="32" t="n">
        <v>46263.26159564944</v>
      </c>
      <c r="M53" t="b">
        <v>1</v>
      </c>
    </row>
    <row r="54">
      <c r="A54" t="inlineStr">
        <is>
          <t>A股</t>
        </is>
      </c>
      <c r="B54" t="inlineStr">
        <is>
          <t>920932</t>
        </is>
      </c>
      <c r="C54" t="inlineStr">
        <is>
          <t>科达自控</t>
        </is>
      </c>
      <c r="D54" t="inlineStr">
        <is>
          <t>近五个交易日资金净额</t>
        </is>
      </c>
      <c r="E54" t="inlineStr">
        <is>
          <t>optional_missing</t>
        </is>
      </c>
      <c r="F54" t="inlineStr">
        <is>
          <t>近五个交易日资金净额：optional_missing</t>
        </is>
      </c>
      <c r="G54" t="b">
        <v>0</v>
      </c>
      <c r="H54" t="b">
        <v>1</v>
      </c>
      <c r="M54" t="b">
        <v>0</v>
      </c>
    </row>
    <row r="55">
      <c r="A55" t="inlineStr">
        <is>
          <t>A股</t>
        </is>
      </c>
      <c r="B55" t="inlineStr">
        <is>
          <t>920932</t>
        </is>
      </c>
      <c r="C55" t="inlineStr">
        <is>
          <t>科达自控</t>
        </is>
      </c>
      <c r="D55" t="inlineStr">
        <is>
          <t>近一月资金净额（最近22个交易日）</t>
        </is>
      </c>
      <c r="E55" t="inlineStr">
        <is>
          <t>optional_missing</t>
        </is>
      </c>
      <c r="F55" t="inlineStr">
        <is>
          <t>近一月资金净额（最近22个交易日）：optional_missing</t>
        </is>
      </c>
      <c r="G55" t="b">
        <v>0</v>
      </c>
      <c r="H55" t="b">
        <v>1</v>
      </c>
      <c r="M55" t="b">
        <v>0</v>
      </c>
    </row>
    <row r="56">
      <c r="A56" t="inlineStr">
        <is>
          <t>A股</t>
        </is>
      </c>
      <c r="B56" t="inlineStr">
        <is>
          <t>920931</t>
        </is>
      </c>
      <c r="C56" t="inlineStr">
        <is>
          <t>无锡鼎邦</t>
        </is>
      </c>
      <c r="D56" t="inlineStr">
        <is>
          <t>资金流</t>
        </is>
      </c>
      <c r="E56" t="inlineStr">
        <is>
          <t>optional_missing</t>
        </is>
      </c>
      <c r="F56" t="inlineStr">
        <is>
          <t>快速模式未发现可靠的批量近五个交易日同口径字段，为避免逐股慢请求，本次留空</t>
        </is>
      </c>
      <c r="G56" t="b">
        <v>0</v>
      </c>
      <c r="H56" t="b">
        <v>1</v>
      </c>
      <c r="I56" t="inlineStr">
        <is>
          <t>东方财富</t>
        </is>
      </c>
      <c r="J56" t="inlineStr">
        <is>
          <t>东方财富</t>
        </is>
      </c>
      <c r="K56" t="inlineStr">
        <is>
          <t>fast-mode-no-reliable-batch-endpoint</t>
        </is>
      </c>
      <c r="L56" s="32" t="n">
        <v>46263.26159564944</v>
      </c>
      <c r="M56" t="b">
        <v>1</v>
      </c>
    </row>
    <row r="57">
      <c r="A57" t="inlineStr">
        <is>
          <t>A股</t>
        </is>
      </c>
      <c r="B57" t="inlineStr">
        <is>
          <t>920931</t>
        </is>
      </c>
      <c r="C57" t="inlineStr">
        <is>
          <t>无锡鼎邦</t>
        </is>
      </c>
      <c r="D57" t="inlineStr">
        <is>
          <t>近五个交易日资金净额</t>
        </is>
      </c>
      <c r="E57" t="inlineStr">
        <is>
          <t>optional_missing</t>
        </is>
      </c>
      <c r="F57" t="inlineStr">
        <is>
          <t>近五个交易日资金净额：optional_missing</t>
        </is>
      </c>
      <c r="G57" t="b">
        <v>0</v>
      </c>
      <c r="H57" t="b">
        <v>1</v>
      </c>
      <c r="M57" t="b">
        <v>0</v>
      </c>
    </row>
    <row r="58">
      <c r="A58" t="inlineStr">
        <is>
          <t>A股</t>
        </is>
      </c>
      <c r="B58" t="inlineStr">
        <is>
          <t>920931</t>
        </is>
      </c>
      <c r="C58" t="inlineStr">
        <is>
          <t>无锡鼎邦</t>
        </is>
      </c>
      <c r="D58" t="inlineStr">
        <is>
          <t>近一月资金净额（最近22个交易日）</t>
        </is>
      </c>
      <c r="E58" t="inlineStr">
        <is>
          <t>optional_missing</t>
        </is>
      </c>
      <c r="F58" t="inlineStr">
        <is>
          <t>近一月资金净额（最近22个交易日）：optional_missing</t>
        </is>
      </c>
      <c r="G58" t="b">
        <v>0</v>
      </c>
      <c r="H58" t="b">
        <v>1</v>
      </c>
      <c r="M58" t="b">
        <v>0</v>
      </c>
    </row>
    <row r="59">
      <c r="A59" t="inlineStr">
        <is>
          <t>A股</t>
        </is>
      </c>
      <c r="B59" t="inlineStr">
        <is>
          <t>920926</t>
        </is>
      </c>
      <c r="C59" t="inlineStr">
        <is>
          <t>鸿智科技</t>
        </is>
      </c>
      <c r="D59" t="inlineStr">
        <is>
          <t>资金流</t>
        </is>
      </c>
      <c r="E59" t="inlineStr">
        <is>
          <t>optional_missing</t>
        </is>
      </c>
      <c r="F59" t="inlineStr">
        <is>
          <t>快速模式未发现可靠的批量近五个交易日同口径字段，为避免逐股慢请求，本次留空</t>
        </is>
      </c>
      <c r="G59" t="b">
        <v>0</v>
      </c>
      <c r="H59" t="b">
        <v>1</v>
      </c>
      <c r="I59" t="inlineStr">
        <is>
          <t>东方财富</t>
        </is>
      </c>
      <c r="J59" t="inlineStr">
        <is>
          <t>东方财富</t>
        </is>
      </c>
      <c r="K59" t="inlineStr">
        <is>
          <t>fast-mode-no-reliable-batch-endpoint</t>
        </is>
      </c>
      <c r="L59" s="32" t="n">
        <v>46263.26159564944</v>
      </c>
      <c r="M59" t="b">
        <v>1</v>
      </c>
    </row>
    <row r="60">
      <c r="A60" t="inlineStr">
        <is>
          <t>A股</t>
        </is>
      </c>
      <c r="B60" t="inlineStr">
        <is>
          <t>920926</t>
        </is>
      </c>
      <c r="C60" t="inlineStr">
        <is>
          <t>鸿智科技</t>
        </is>
      </c>
      <c r="D60" t="inlineStr">
        <is>
          <t>近五个交易日资金净额</t>
        </is>
      </c>
      <c r="E60" t="inlineStr">
        <is>
          <t>optional_missing</t>
        </is>
      </c>
      <c r="F60" t="inlineStr">
        <is>
          <t>近五个交易日资金净额：optional_missing</t>
        </is>
      </c>
      <c r="G60" t="b">
        <v>0</v>
      </c>
      <c r="H60" t="b">
        <v>1</v>
      </c>
      <c r="M60" t="b">
        <v>0</v>
      </c>
    </row>
    <row r="61">
      <c r="A61" t="inlineStr">
        <is>
          <t>A股</t>
        </is>
      </c>
      <c r="B61" t="inlineStr">
        <is>
          <t>920926</t>
        </is>
      </c>
      <c r="C61" t="inlineStr">
        <is>
          <t>鸿智科技</t>
        </is>
      </c>
      <c r="D61" t="inlineStr">
        <is>
          <t>近一月资金净额（最近22个交易日）</t>
        </is>
      </c>
      <c r="E61" t="inlineStr">
        <is>
          <t>optional_missing</t>
        </is>
      </c>
      <c r="F61" t="inlineStr">
        <is>
          <t>近一月资金净额（最近22个交易日）：optional_missing</t>
        </is>
      </c>
      <c r="G61" t="b">
        <v>0</v>
      </c>
      <c r="H61" t="b">
        <v>1</v>
      </c>
      <c r="M61" t="b">
        <v>0</v>
      </c>
    </row>
    <row r="62">
      <c r="A62" t="inlineStr">
        <is>
          <t>A股</t>
        </is>
      </c>
      <c r="B62" t="inlineStr">
        <is>
          <t>920925</t>
        </is>
      </c>
      <c r="C62" t="inlineStr">
        <is>
          <t>锦好医疗</t>
        </is>
      </c>
      <c r="D62" t="inlineStr">
        <is>
          <t>资金流</t>
        </is>
      </c>
      <c r="E62" t="inlineStr">
        <is>
          <t>optional_missing</t>
        </is>
      </c>
      <c r="F62" t="inlineStr">
        <is>
          <t>快速模式未发现可靠的批量近五个交易日同口径字段，为避免逐股慢请求，本次留空</t>
        </is>
      </c>
      <c r="G62" t="b">
        <v>0</v>
      </c>
      <c r="H62" t="b">
        <v>1</v>
      </c>
      <c r="I62" t="inlineStr">
        <is>
          <t>东方财富</t>
        </is>
      </c>
      <c r="J62" t="inlineStr">
        <is>
          <t>东方财富</t>
        </is>
      </c>
      <c r="K62" t="inlineStr">
        <is>
          <t>fast-mode-no-reliable-batch-endpoint</t>
        </is>
      </c>
      <c r="L62" s="32" t="n">
        <v>46263.26159564944</v>
      </c>
      <c r="M62" t="b">
        <v>1</v>
      </c>
    </row>
    <row r="63">
      <c r="A63" t="inlineStr">
        <is>
          <t>A股</t>
        </is>
      </c>
      <c r="B63" t="inlineStr">
        <is>
          <t>920925</t>
        </is>
      </c>
      <c r="C63" t="inlineStr">
        <is>
          <t>锦好医疗</t>
        </is>
      </c>
      <c r="D63" t="inlineStr">
        <is>
          <t>近五个交易日资金净额</t>
        </is>
      </c>
      <c r="E63" t="inlineStr">
        <is>
          <t>optional_missing</t>
        </is>
      </c>
      <c r="F63" t="inlineStr">
        <is>
          <t>近五个交易日资金净额：optional_missing</t>
        </is>
      </c>
      <c r="G63" t="b">
        <v>0</v>
      </c>
      <c r="H63" t="b">
        <v>1</v>
      </c>
      <c r="M63" t="b">
        <v>0</v>
      </c>
    </row>
    <row r="64">
      <c r="A64" t="inlineStr">
        <is>
          <t>A股</t>
        </is>
      </c>
      <c r="B64" t="inlineStr">
        <is>
          <t>920925</t>
        </is>
      </c>
      <c r="C64" t="inlineStr">
        <is>
          <t>锦好医疗</t>
        </is>
      </c>
      <c r="D64" t="inlineStr">
        <is>
          <t>近一月资金净额（最近22个交易日）</t>
        </is>
      </c>
      <c r="E64" t="inlineStr">
        <is>
          <t>optional_missing</t>
        </is>
      </c>
      <c r="F64" t="inlineStr">
        <is>
          <t>近一月资金净额（最近22个交易日）：optional_missing</t>
        </is>
      </c>
      <c r="G64" t="b">
        <v>0</v>
      </c>
      <c r="H64" t="b">
        <v>1</v>
      </c>
      <c r="M64" t="b">
        <v>0</v>
      </c>
    </row>
    <row r="65">
      <c r="A65" t="inlineStr">
        <is>
          <t>A股</t>
        </is>
      </c>
      <c r="B65" t="inlineStr">
        <is>
          <t>920924</t>
        </is>
      </c>
      <c r="C65" t="inlineStr">
        <is>
          <t>广脉科技</t>
        </is>
      </c>
      <c r="D65" t="inlineStr">
        <is>
          <t>资金流</t>
        </is>
      </c>
      <c r="E65" t="inlineStr">
        <is>
          <t>optional_missing</t>
        </is>
      </c>
      <c r="F65" t="inlineStr">
        <is>
          <t>快速模式未发现可靠的批量近五个交易日同口径字段，为避免逐股慢请求，本次留空</t>
        </is>
      </c>
      <c r="G65" t="b">
        <v>0</v>
      </c>
      <c r="H65" t="b">
        <v>1</v>
      </c>
      <c r="I65" t="inlineStr">
        <is>
          <t>东方财富</t>
        </is>
      </c>
      <c r="J65" t="inlineStr">
        <is>
          <t>东方财富</t>
        </is>
      </c>
      <c r="K65" t="inlineStr">
        <is>
          <t>fast-mode-no-reliable-batch-endpoint</t>
        </is>
      </c>
      <c r="L65" s="32" t="n">
        <v>46263.26159564944</v>
      </c>
      <c r="M65" t="b">
        <v>1</v>
      </c>
    </row>
    <row r="66">
      <c r="A66" t="inlineStr">
        <is>
          <t>A股</t>
        </is>
      </c>
      <c r="B66" t="inlineStr">
        <is>
          <t>920924</t>
        </is>
      </c>
      <c r="C66" t="inlineStr">
        <is>
          <t>广脉科技</t>
        </is>
      </c>
      <c r="D66" t="inlineStr">
        <is>
          <t>近五个交易日资金净额</t>
        </is>
      </c>
      <c r="E66" t="inlineStr">
        <is>
          <t>optional_missing</t>
        </is>
      </c>
      <c r="F66" t="inlineStr">
        <is>
          <t>近五个交易日资金净额：optional_missing</t>
        </is>
      </c>
      <c r="G66" t="b">
        <v>0</v>
      </c>
      <c r="H66" t="b">
        <v>1</v>
      </c>
      <c r="M66" t="b">
        <v>0</v>
      </c>
    </row>
    <row r="67">
      <c r="A67" t="inlineStr">
        <is>
          <t>A股</t>
        </is>
      </c>
      <c r="B67" t="inlineStr">
        <is>
          <t>920924</t>
        </is>
      </c>
      <c r="C67" t="inlineStr">
        <is>
          <t>广脉科技</t>
        </is>
      </c>
      <c r="D67" t="inlineStr">
        <is>
          <t>近一月资金净额（最近22个交易日）</t>
        </is>
      </c>
      <c r="E67" t="inlineStr">
        <is>
          <t>optional_missing</t>
        </is>
      </c>
      <c r="F67" t="inlineStr">
        <is>
          <t>近一月资金净额（最近22个交易日）：optional_missing</t>
        </is>
      </c>
      <c r="G67" t="b">
        <v>0</v>
      </c>
      <c r="H67" t="b">
        <v>1</v>
      </c>
      <c r="M67" t="b">
        <v>0</v>
      </c>
    </row>
    <row r="68">
      <c r="A68" t="inlineStr">
        <is>
          <t>A股</t>
        </is>
      </c>
      <c r="B68" t="inlineStr">
        <is>
          <t>920914</t>
        </is>
      </c>
      <c r="C68" t="inlineStr">
        <is>
          <t>远航精密</t>
        </is>
      </c>
      <c r="D68" t="inlineStr">
        <is>
          <t>资金流</t>
        </is>
      </c>
      <c r="E68" t="inlineStr">
        <is>
          <t>optional_missing</t>
        </is>
      </c>
      <c r="F68" t="inlineStr">
        <is>
          <t>快速模式未发现可靠的批量近五个交易日同口径字段，为避免逐股慢请求，本次留空</t>
        </is>
      </c>
      <c r="G68" t="b">
        <v>0</v>
      </c>
      <c r="H68" t="b">
        <v>1</v>
      </c>
      <c r="I68" t="inlineStr">
        <is>
          <t>东方财富</t>
        </is>
      </c>
      <c r="J68" t="inlineStr">
        <is>
          <t>东方财富</t>
        </is>
      </c>
      <c r="K68" t="inlineStr">
        <is>
          <t>fast-mode-no-reliable-batch-endpoint</t>
        </is>
      </c>
      <c r="L68" s="32" t="n">
        <v>46263.26159564944</v>
      </c>
      <c r="M68" t="b">
        <v>1</v>
      </c>
    </row>
    <row r="69">
      <c r="A69" t="inlineStr">
        <is>
          <t>A股</t>
        </is>
      </c>
      <c r="B69" t="inlineStr">
        <is>
          <t>920914</t>
        </is>
      </c>
      <c r="C69" t="inlineStr">
        <is>
          <t>远航精密</t>
        </is>
      </c>
      <c r="D69" t="inlineStr">
        <is>
          <t>近五个交易日资金净额</t>
        </is>
      </c>
      <c r="E69" t="inlineStr">
        <is>
          <t>optional_missing</t>
        </is>
      </c>
      <c r="F69" t="inlineStr">
        <is>
          <t>近五个交易日资金净额：optional_missing</t>
        </is>
      </c>
      <c r="G69" t="b">
        <v>0</v>
      </c>
      <c r="H69" t="b">
        <v>1</v>
      </c>
      <c r="M69" t="b">
        <v>0</v>
      </c>
    </row>
    <row r="70">
      <c r="A70" t="inlineStr">
        <is>
          <t>A股</t>
        </is>
      </c>
      <c r="B70" t="inlineStr">
        <is>
          <t>920914</t>
        </is>
      </c>
      <c r="C70" t="inlineStr">
        <is>
          <t>远航精密</t>
        </is>
      </c>
      <c r="D70" t="inlineStr">
        <is>
          <t>近一月资金净额（最近22个交易日）</t>
        </is>
      </c>
      <c r="E70" t="inlineStr">
        <is>
          <t>optional_missing</t>
        </is>
      </c>
      <c r="F70" t="inlineStr">
        <is>
          <t>近一月资金净额（最近22个交易日）：optional_missing</t>
        </is>
      </c>
      <c r="G70" t="b">
        <v>0</v>
      </c>
      <c r="H70" t="b">
        <v>1</v>
      </c>
      <c r="M70" t="b">
        <v>0</v>
      </c>
    </row>
    <row r="71">
      <c r="A71" t="inlineStr">
        <is>
          <t>A股</t>
        </is>
      </c>
      <c r="B71" t="inlineStr">
        <is>
          <t>920906</t>
        </is>
      </c>
      <c r="C71" t="inlineStr">
        <is>
          <t>舜宇精工</t>
        </is>
      </c>
      <c r="D71" t="inlineStr">
        <is>
          <t>资金流</t>
        </is>
      </c>
      <c r="E71" t="inlineStr">
        <is>
          <t>optional_missing</t>
        </is>
      </c>
      <c r="F71" t="inlineStr">
        <is>
          <t>快速模式未发现可靠的批量近五个交易日同口径字段，为避免逐股慢请求，本次留空</t>
        </is>
      </c>
      <c r="G71" t="b">
        <v>0</v>
      </c>
      <c r="H71" t="b">
        <v>1</v>
      </c>
      <c r="I71" t="inlineStr">
        <is>
          <t>东方财富</t>
        </is>
      </c>
      <c r="J71" t="inlineStr">
        <is>
          <t>东方财富</t>
        </is>
      </c>
      <c r="K71" t="inlineStr">
        <is>
          <t>fast-mode-no-reliable-batch-endpoint</t>
        </is>
      </c>
      <c r="L71" s="32" t="n">
        <v>46263.26159564944</v>
      </c>
      <c r="M71" t="b">
        <v>1</v>
      </c>
    </row>
    <row r="72">
      <c r="A72" t="inlineStr">
        <is>
          <t>A股</t>
        </is>
      </c>
      <c r="B72" t="inlineStr">
        <is>
          <t>920906</t>
        </is>
      </c>
      <c r="C72" t="inlineStr">
        <is>
          <t>舜宇精工</t>
        </is>
      </c>
      <c r="D72" t="inlineStr">
        <is>
          <t>近五个交易日资金净额</t>
        </is>
      </c>
      <c r="E72" t="inlineStr">
        <is>
          <t>optional_missing</t>
        </is>
      </c>
      <c r="F72" t="inlineStr">
        <is>
          <t>近五个交易日资金净额：optional_missing</t>
        </is>
      </c>
      <c r="G72" t="b">
        <v>0</v>
      </c>
      <c r="H72" t="b">
        <v>1</v>
      </c>
      <c r="M72" t="b">
        <v>0</v>
      </c>
    </row>
    <row r="73">
      <c r="A73" t="inlineStr">
        <is>
          <t>A股</t>
        </is>
      </c>
      <c r="B73" t="inlineStr">
        <is>
          <t>920906</t>
        </is>
      </c>
      <c r="C73" t="inlineStr">
        <is>
          <t>舜宇精工</t>
        </is>
      </c>
      <c r="D73" t="inlineStr">
        <is>
          <t>近一月资金净额（最近22个交易日）</t>
        </is>
      </c>
      <c r="E73" t="inlineStr">
        <is>
          <t>optional_missing</t>
        </is>
      </c>
      <c r="F73" t="inlineStr">
        <is>
          <t>近一月资金净额（最近22个交易日）：optional_missing</t>
        </is>
      </c>
      <c r="G73" t="b">
        <v>0</v>
      </c>
      <c r="H73" t="b">
        <v>1</v>
      </c>
      <c r="M73" t="b">
        <v>0</v>
      </c>
    </row>
    <row r="74">
      <c r="A74" t="inlineStr">
        <is>
          <t>A股</t>
        </is>
      </c>
      <c r="B74" t="inlineStr">
        <is>
          <t>920896</t>
        </is>
      </c>
      <c r="C74" t="inlineStr">
        <is>
          <t>旺成科技</t>
        </is>
      </c>
      <c r="D74" t="inlineStr">
        <is>
          <t>资金流</t>
        </is>
      </c>
      <c r="E74" t="inlineStr">
        <is>
          <t>optional_missing</t>
        </is>
      </c>
      <c r="F74" t="inlineStr">
        <is>
          <t>快速模式未发现可靠的批量近五个交易日同口径字段，为避免逐股慢请求，本次留空</t>
        </is>
      </c>
      <c r="G74" t="b">
        <v>0</v>
      </c>
      <c r="H74" t="b">
        <v>1</v>
      </c>
      <c r="I74" t="inlineStr">
        <is>
          <t>东方财富</t>
        </is>
      </c>
      <c r="J74" t="inlineStr">
        <is>
          <t>东方财富</t>
        </is>
      </c>
      <c r="K74" t="inlineStr">
        <is>
          <t>fast-mode-no-reliable-batch-endpoint</t>
        </is>
      </c>
      <c r="L74" s="32" t="n">
        <v>46263.26159564944</v>
      </c>
      <c r="M74" t="b">
        <v>1</v>
      </c>
    </row>
    <row r="75">
      <c r="A75" t="inlineStr">
        <is>
          <t>A股</t>
        </is>
      </c>
      <c r="B75" t="inlineStr">
        <is>
          <t>920896</t>
        </is>
      </c>
      <c r="C75" t="inlineStr">
        <is>
          <t>旺成科技</t>
        </is>
      </c>
      <c r="D75" t="inlineStr">
        <is>
          <t>近五个交易日资金净额</t>
        </is>
      </c>
      <c r="E75" t="inlineStr">
        <is>
          <t>optional_missing</t>
        </is>
      </c>
      <c r="F75" t="inlineStr">
        <is>
          <t>近五个交易日资金净额：optional_missing</t>
        </is>
      </c>
      <c r="G75" t="b">
        <v>0</v>
      </c>
      <c r="H75" t="b">
        <v>1</v>
      </c>
      <c r="M75" t="b">
        <v>0</v>
      </c>
    </row>
    <row r="76">
      <c r="A76" t="inlineStr">
        <is>
          <t>A股</t>
        </is>
      </c>
      <c r="B76" t="inlineStr">
        <is>
          <t>920896</t>
        </is>
      </c>
      <c r="C76" t="inlineStr">
        <is>
          <t>旺成科技</t>
        </is>
      </c>
      <c r="D76" t="inlineStr">
        <is>
          <t>近一月资金净额（最近22个交易日）</t>
        </is>
      </c>
      <c r="E76" t="inlineStr">
        <is>
          <t>optional_missing</t>
        </is>
      </c>
      <c r="F76" t="inlineStr">
        <is>
          <t>近一月资金净额（最近22个交易日）：optional_missing</t>
        </is>
      </c>
      <c r="G76" t="b">
        <v>0</v>
      </c>
      <c r="H76" t="b">
        <v>1</v>
      </c>
      <c r="M76" t="b">
        <v>0</v>
      </c>
    </row>
    <row r="77">
      <c r="A77" t="inlineStr">
        <is>
          <t>A股</t>
        </is>
      </c>
      <c r="B77" t="inlineStr">
        <is>
          <t>920895</t>
        </is>
      </c>
      <c r="C77" t="inlineStr">
        <is>
          <t>花溪科技</t>
        </is>
      </c>
      <c r="D77" t="inlineStr">
        <is>
          <t>资金流</t>
        </is>
      </c>
      <c r="E77" t="inlineStr">
        <is>
          <t>optional_missing</t>
        </is>
      </c>
      <c r="F77" t="inlineStr">
        <is>
          <t>快速模式未发现可靠的批量近五个交易日同口径字段，为避免逐股慢请求，本次留空</t>
        </is>
      </c>
      <c r="G77" t="b">
        <v>0</v>
      </c>
      <c r="H77" t="b">
        <v>1</v>
      </c>
      <c r="I77" t="inlineStr">
        <is>
          <t>东方财富</t>
        </is>
      </c>
      <c r="J77" t="inlineStr">
        <is>
          <t>东方财富</t>
        </is>
      </c>
      <c r="K77" t="inlineStr">
        <is>
          <t>fast-mode-no-reliable-batch-endpoint</t>
        </is>
      </c>
      <c r="L77" s="32" t="n">
        <v>46263.26159564944</v>
      </c>
      <c r="M77" t="b">
        <v>1</v>
      </c>
    </row>
    <row r="78">
      <c r="A78" t="inlineStr">
        <is>
          <t>A股</t>
        </is>
      </c>
      <c r="B78" t="inlineStr">
        <is>
          <t>920895</t>
        </is>
      </c>
      <c r="C78" t="inlineStr">
        <is>
          <t>花溪科技</t>
        </is>
      </c>
      <c r="D78" t="inlineStr">
        <is>
          <t>近五个交易日资金净额</t>
        </is>
      </c>
      <c r="E78" t="inlineStr">
        <is>
          <t>optional_missing</t>
        </is>
      </c>
      <c r="F78" t="inlineStr">
        <is>
          <t>近五个交易日资金净额：optional_missing</t>
        </is>
      </c>
      <c r="G78" t="b">
        <v>0</v>
      </c>
      <c r="H78" t="b">
        <v>1</v>
      </c>
      <c r="M78" t="b">
        <v>0</v>
      </c>
    </row>
    <row r="79">
      <c r="A79" t="inlineStr">
        <is>
          <t>A股</t>
        </is>
      </c>
      <c r="B79" t="inlineStr">
        <is>
          <t>920895</t>
        </is>
      </c>
      <c r="C79" t="inlineStr">
        <is>
          <t>花溪科技</t>
        </is>
      </c>
      <c r="D79" t="inlineStr">
        <is>
          <t>近一月资金净额（最近22个交易日）</t>
        </is>
      </c>
      <c r="E79" t="inlineStr">
        <is>
          <t>optional_missing</t>
        </is>
      </c>
      <c r="F79" t="inlineStr">
        <is>
          <t>近一月资金净额（最近22个交易日）：optional_missing</t>
        </is>
      </c>
      <c r="G79" t="b">
        <v>0</v>
      </c>
      <c r="H79" t="b">
        <v>1</v>
      </c>
      <c r="M79" t="b">
        <v>0</v>
      </c>
    </row>
    <row r="80">
      <c r="A80" t="inlineStr">
        <is>
          <t>A股</t>
        </is>
      </c>
      <c r="B80" t="inlineStr">
        <is>
          <t>920892</t>
        </is>
      </c>
      <c r="C80" t="inlineStr">
        <is>
          <t>广咨国际</t>
        </is>
      </c>
      <c r="D80" t="inlineStr">
        <is>
          <t>资金流</t>
        </is>
      </c>
      <c r="E80" t="inlineStr">
        <is>
          <t>optional_missing</t>
        </is>
      </c>
      <c r="F80" t="inlineStr">
        <is>
          <t>快速模式未发现可靠的批量近五个交易日同口径字段，为避免逐股慢请求，本次留空</t>
        </is>
      </c>
      <c r="G80" t="b">
        <v>0</v>
      </c>
      <c r="H80" t="b">
        <v>1</v>
      </c>
      <c r="I80" t="inlineStr">
        <is>
          <t>东方财富</t>
        </is>
      </c>
      <c r="J80" t="inlineStr">
        <is>
          <t>东方财富</t>
        </is>
      </c>
      <c r="K80" t="inlineStr">
        <is>
          <t>fast-mode-no-reliable-batch-endpoint</t>
        </is>
      </c>
      <c r="L80" s="32" t="n">
        <v>46263.26159564944</v>
      </c>
      <c r="M80" t="b">
        <v>1</v>
      </c>
    </row>
    <row r="81">
      <c r="A81" t="inlineStr">
        <is>
          <t>A股</t>
        </is>
      </c>
      <c r="B81" t="inlineStr">
        <is>
          <t>920892</t>
        </is>
      </c>
      <c r="C81" t="inlineStr">
        <is>
          <t>广咨国际</t>
        </is>
      </c>
      <c r="D81" t="inlineStr">
        <is>
          <t>近五个交易日资金净额</t>
        </is>
      </c>
      <c r="E81" t="inlineStr">
        <is>
          <t>optional_missing</t>
        </is>
      </c>
      <c r="F81" t="inlineStr">
        <is>
          <t>近五个交易日资金净额：optional_missing</t>
        </is>
      </c>
      <c r="G81" t="b">
        <v>0</v>
      </c>
      <c r="H81" t="b">
        <v>1</v>
      </c>
      <c r="M81" t="b">
        <v>0</v>
      </c>
    </row>
    <row r="82">
      <c r="A82" t="inlineStr">
        <is>
          <t>A股</t>
        </is>
      </c>
      <c r="B82" t="inlineStr">
        <is>
          <t>920892</t>
        </is>
      </c>
      <c r="C82" t="inlineStr">
        <is>
          <t>广咨国际</t>
        </is>
      </c>
      <c r="D82" t="inlineStr">
        <is>
          <t>近一月资金净额（最近22个交易日）</t>
        </is>
      </c>
      <c r="E82" t="inlineStr">
        <is>
          <t>optional_missing</t>
        </is>
      </c>
      <c r="F82" t="inlineStr">
        <is>
          <t>近一月资金净额（最近22个交易日）：optional_missing</t>
        </is>
      </c>
      <c r="G82" t="b">
        <v>0</v>
      </c>
      <c r="H82" t="b">
        <v>1</v>
      </c>
      <c r="M82" t="b">
        <v>0</v>
      </c>
    </row>
    <row r="83">
      <c r="A83" t="inlineStr">
        <is>
          <t>A股</t>
        </is>
      </c>
      <c r="B83" t="inlineStr">
        <is>
          <t>920885</t>
        </is>
      </c>
      <c r="C83" t="inlineStr">
        <is>
          <t>星辰科技</t>
        </is>
      </c>
      <c r="D83" t="inlineStr">
        <is>
          <t>资金流</t>
        </is>
      </c>
      <c r="E83" t="inlineStr">
        <is>
          <t>optional_missing</t>
        </is>
      </c>
      <c r="F83" t="inlineStr">
        <is>
          <t>快速模式未发现可靠的批量近五个交易日同口径字段，为避免逐股慢请求，本次留空</t>
        </is>
      </c>
      <c r="G83" t="b">
        <v>0</v>
      </c>
      <c r="H83" t="b">
        <v>1</v>
      </c>
      <c r="I83" t="inlineStr">
        <is>
          <t>东方财富</t>
        </is>
      </c>
      <c r="J83" t="inlineStr">
        <is>
          <t>东方财富</t>
        </is>
      </c>
      <c r="K83" t="inlineStr">
        <is>
          <t>fast-mode-no-reliable-batch-endpoint</t>
        </is>
      </c>
      <c r="L83" s="32" t="n">
        <v>46263.26159564944</v>
      </c>
      <c r="M83" t="b">
        <v>1</v>
      </c>
    </row>
    <row r="84">
      <c r="A84" t="inlineStr">
        <is>
          <t>A股</t>
        </is>
      </c>
      <c r="B84" t="inlineStr">
        <is>
          <t>920885</t>
        </is>
      </c>
      <c r="C84" t="inlineStr">
        <is>
          <t>星辰科技</t>
        </is>
      </c>
      <c r="D84" t="inlineStr">
        <is>
          <t>近五个交易日资金净额</t>
        </is>
      </c>
      <c r="E84" t="inlineStr">
        <is>
          <t>optional_missing</t>
        </is>
      </c>
      <c r="F84" t="inlineStr">
        <is>
          <t>近五个交易日资金净额：optional_missing</t>
        </is>
      </c>
      <c r="G84" t="b">
        <v>0</v>
      </c>
      <c r="H84" t="b">
        <v>1</v>
      </c>
      <c r="M84" t="b">
        <v>0</v>
      </c>
    </row>
    <row r="85">
      <c r="A85" t="inlineStr">
        <is>
          <t>A股</t>
        </is>
      </c>
      <c r="B85" t="inlineStr">
        <is>
          <t>920885</t>
        </is>
      </c>
      <c r="C85" t="inlineStr">
        <is>
          <t>星辰科技</t>
        </is>
      </c>
      <c r="D85" t="inlineStr">
        <is>
          <t>近一月资金净额（最近22个交易日）</t>
        </is>
      </c>
      <c r="E85" t="inlineStr">
        <is>
          <t>optional_missing</t>
        </is>
      </c>
      <c r="F85" t="inlineStr">
        <is>
          <t>近一月资金净额（最近22个交易日）：optional_missing</t>
        </is>
      </c>
      <c r="G85" t="b">
        <v>0</v>
      </c>
      <c r="H85" t="b">
        <v>1</v>
      </c>
      <c r="M85" t="b">
        <v>0</v>
      </c>
    </row>
    <row r="86">
      <c r="A86" t="inlineStr">
        <is>
          <t>A股</t>
        </is>
      </c>
      <c r="B86" t="inlineStr">
        <is>
          <t>920879</t>
        </is>
      </c>
      <c r="C86" t="inlineStr">
        <is>
          <t>基康技术</t>
        </is>
      </c>
      <c r="D86" t="inlineStr">
        <is>
          <t>资金流</t>
        </is>
      </c>
      <c r="E86" t="inlineStr">
        <is>
          <t>optional_missing</t>
        </is>
      </c>
      <c r="F86" t="inlineStr">
        <is>
          <t>快速模式未发现可靠的批量近五个交易日同口径字段，为避免逐股慢请求，本次留空</t>
        </is>
      </c>
      <c r="G86" t="b">
        <v>0</v>
      </c>
      <c r="H86" t="b">
        <v>1</v>
      </c>
      <c r="I86" t="inlineStr">
        <is>
          <t>东方财富</t>
        </is>
      </c>
      <c r="J86" t="inlineStr">
        <is>
          <t>东方财富</t>
        </is>
      </c>
      <c r="K86" t="inlineStr">
        <is>
          <t>fast-mode-no-reliable-batch-endpoint</t>
        </is>
      </c>
      <c r="L86" s="32" t="n">
        <v>46263.26159564944</v>
      </c>
      <c r="M86" t="b">
        <v>1</v>
      </c>
    </row>
    <row r="87">
      <c r="A87" t="inlineStr">
        <is>
          <t>A股</t>
        </is>
      </c>
      <c r="B87" t="inlineStr">
        <is>
          <t>920879</t>
        </is>
      </c>
      <c r="C87" t="inlineStr">
        <is>
          <t>基康技术</t>
        </is>
      </c>
      <c r="D87" t="inlineStr">
        <is>
          <t>近五个交易日资金净额</t>
        </is>
      </c>
      <c r="E87" t="inlineStr">
        <is>
          <t>optional_missing</t>
        </is>
      </c>
      <c r="F87" t="inlineStr">
        <is>
          <t>近五个交易日资金净额：optional_missing</t>
        </is>
      </c>
      <c r="G87" t="b">
        <v>0</v>
      </c>
      <c r="H87" t="b">
        <v>1</v>
      </c>
      <c r="M87" t="b">
        <v>0</v>
      </c>
    </row>
    <row r="88">
      <c r="A88" t="inlineStr">
        <is>
          <t>A股</t>
        </is>
      </c>
      <c r="B88" t="inlineStr">
        <is>
          <t>920879</t>
        </is>
      </c>
      <c r="C88" t="inlineStr">
        <is>
          <t>基康技术</t>
        </is>
      </c>
      <c r="D88" t="inlineStr">
        <is>
          <t>近一月资金净额（最近22个交易日）</t>
        </is>
      </c>
      <c r="E88" t="inlineStr">
        <is>
          <t>optional_missing</t>
        </is>
      </c>
      <c r="F88" t="inlineStr">
        <is>
          <t>近一月资金净额（最近22个交易日）：optional_missing</t>
        </is>
      </c>
      <c r="G88" t="b">
        <v>0</v>
      </c>
      <c r="H88" t="b">
        <v>1</v>
      </c>
      <c r="M88" t="b">
        <v>0</v>
      </c>
    </row>
    <row r="89">
      <c r="A89" t="inlineStr">
        <is>
          <t>A股</t>
        </is>
      </c>
      <c r="B89" t="inlineStr">
        <is>
          <t>920876</t>
        </is>
      </c>
      <c r="C89" t="inlineStr">
        <is>
          <t>慧为智能</t>
        </is>
      </c>
      <c r="D89" t="inlineStr">
        <is>
          <t>资金流</t>
        </is>
      </c>
      <c r="E89" t="inlineStr">
        <is>
          <t>optional_missing</t>
        </is>
      </c>
      <c r="F89" t="inlineStr">
        <is>
          <t>快速模式未发现可靠的批量近五个交易日同口径字段，为避免逐股慢请求，本次留空</t>
        </is>
      </c>
      <c r="G89" t="b">
        <v>0</v>
      </c>
      <c r="H89" t="b">
        <v>1</v>
      </c>
      <c r="I89" t="inlineStr">
        <is>
          <t>东方财富</t>
        </is>
      </c>
      <c r="J89" t="inlineStr">
        <is>
          <t>东方财富</t>
        </is>
      </c>
      <c r="K89" t="inlineStr">
        <is>
          <t>fast-mode-no-reliable-batch-endpoint</t>
        </is>
      </c>
      <c r="L89" s="32" t="n">
        <v>46263.26159564944</v>
      </c>
      <c r="M89" t="b">
        <v>1</v>
      </c>
    </row>
    <row r="90">
      <c r="A90" t="inlineStr">
        <is>
          <t>A股</t>
        </is>
      </c>
      <c r="B90" t="inlineStr">
        <is>
          <t>920876</t>
        </is>
      </c>
      <c r="C90" t="inlineStr">
        <is>
          <t>慧为智能</t>
        </is>
      </c>
      <c r="D90" t="inlineStr">
        <is>
          <t>近五个交易日资金净额</t>
        </is>
      </c>
      <c r="E90" t="inlineStr">
        <is>
          <t>optional_missing</t>
        </is>
      </c>
      <c r="F90" t="inlineStr">
        <is>
          <t>近五个交易日资金净额：optional_missing</t>
        </is>
      </c>
      <c r="G90" t="b">
        <v>0</v>
      </c>
      <c r="H90" t="b">
        <v>1</v>
      </c>
      <c r="M90" t="b">
        <v>0</v>
      </c>
    </row>
    <row r="91">
      <c r="A91" t="inlineStr">
        <is>
          <t>A股</t>
        </is>
      </c>
      <c r="B91" t="inlineStr">
        <is>
          <t>920876</t>
        </is>
      </c>
      <c r="C91" t="inlineStr">
        <is>
          <t>慧为智能</t>
        </is>
      </c>
      <c r="D91" t="inlineStr">
        <is>
          <t>近一月资金净额（最近22个交易日）</t>
        </is>
      </c>
      <c r="E91" t="inlineStr">
        <is>
          <t>optional_missing</t>
        </is>
      </c>
      <c r="F91" t="inlineStr">
        <is>
          <t>近一月资金净额（最近22个交易日）：optional_missing</t>
        </is>
      </c>
      <c r="G91" t="b">
        <v>0</v>
      </c>
      <c r="H91" t="b">
        <v>1</v>
      </c>
      <c r="M91" t="b">
        <v>0</v>
      </c>
    </row>
    <row r="92">
      <c r="A92" t="inlineStr">
        <is>
          <t>A股</t>
        </is>
      </c>
      <c r="B92" t="inlineStr">
        <is>
          <t>920873</t>
        </is>
      </c>
      <c r="C92" t="inlineStr">
        <is>
          <t>中设咨询</t>
        </is>
      </c>
      <c r="D92" t="inlineStr">
        <is>
          <t>资金流</t>
        </is>
      </c>
      <c r="E92" t="inlineStr">
        <is>
          <t>optional_missing</t>
        </is>
      </c>
      <c r="F92" t="inlineStr">
        <is>
          <t>快速模式未发现可靠的批量近五个交易日同口径字段，为避免逐股慢请求，本次留空</t>
        </is>
      </c>
      <c r="G92" t="b">
        <v>0</v>
      </c>
      <c r="H92" t="b">
        <v>1</v>
      </c>
      <c r="I92" t="inlineStr">
        <is>
          <t>东方财富</t>
        </is>
      </c>
      <c r="J92" t="inlineStr">
        <is>
          <t>东方财富</t>
        </is>
      </c>
      <c r="K92" t="inlineStr">
        <is>
          <t>fast-mode-no-reliable-batch-endpoint</t>
        </is>
      </c>
      <c r="L92" s="32" t="n">
        <v>46263.26159564944</v>
      </c>
      <c r="M92" t="b">
        <v>1</v>
      </c>
    </row>
    <row r="93">
      <c r="A93" t="inlineStr">
        <is>
          <t>A股</t>
        </is>
      </c>
      <c r="B93" t="inlineStr">
        <is>
          <t>920873</t>
        </is>
      </c>
      <c r="C93" t="inlineStr">
        <is>
          <t>中设咨询</t>
        </is>
      </c>
      <c r="D93" t="inlineStr">
        <is>
          <t>近五个交易日资金净额</t>
        </is>
      </c>
      <c r="E93" t="inlineStr">
        <is>
          <t>optional_missing</t>
        </is>
      </c>
      <c r="F93" t="inlineStr">
        <is>
          <t>近五个交易日资金净额：optional_missing</t>
        </is>
      </c>
      <c r="G93" t="b">
        <v>0</v>
      </c>
      <c r="H93" t="b">
        <v>1</v>
      </c>
      <c r="M93" t="b">
        <v>0</v>
      </c>
    </row>
    <row r="94">
      <c r="A94" t="inlineStr">
        <is>
          <t>A股</t>
        </is>
      </c>
      <c r="B94" t="inlineStr">
        <is>
          <t>920873</t>
        </is>
      </c>
      <c r="C94" t="inlineStr">
        <is>
          <t>中设咨询</t>
        </is>
      </c>
      <c r="D94" t="inlineStr">
        <is>
          <t>近一月资金净额（最近22个交易日）</t>
        </is>
      </c>
      <c r="E94" t="inlineStr">
        <is>
          <t>optional_missing</t>
        </is>
      </c>
      <c r="F94" t="inlineStr">
        <is>
          <t>近一月资金净额（最近22个交易日）：optional_missing</t>
        </is>
      </c>
      <c r="G94" t="b">
        <v>0</v>
      </c>
      <c r="H94" t="b">
        <v>1</v>
      </c>
      <c r="M94" t="b">
        <v>0</v>
      </c>
    </row>
    <row r="95">
      <c r="A95" t="inlineStr">
        <is>
          <t>A股</t>
        </is>
      </c>
      <c r="B95" t="inlineStr">
        <is>
          <t>920871</t>
        </is>
      </c>
      <c r="C95" t="inlineStr">
        <is>
          <t>派特尔</t>
        </is>
      </c>
      <c r="D95" t="inlineStr">
        <is>
          <t>资金流</t>
        </is>
      </c>
      <c r="E95" t="inlineStr">
        <is>
          <t>optional_missing</t>
        </is>
      </c>
      <c r="F95" t="inlineStr">
        <is>
          <t>快速模式未发现可靠的批量近五个交易日同口径字段，为避免逐股慢请求，本次留空</t>
        </is>
      </c>
      <c r="G95" t="b">
        <v>0</v>
      </c>
      <c r="H95" t="b">
        <v>1</v>
      </c>
      <c r="I95" t="inlineStr">
        <is>
          <t>东方财富</t>
        </is>
      </c>
      <c r="J95" t="inlineStr">
        <is>
          <t>东方财富</t>
        </is>
      </c>
      <c r="K95" t="inlineStr">
        <is>
          <t>fast-mode-no-reliable-batch-endpoint</t>
        </is>
      </c>
      <c r="L95" s="32" t="n">
        <v>46263.26159564944</v>
      </c>
      <c r="M95" t="b">
        <v>1</v>
      </c>
    </row>
    <row r="96">
      <c r="A96" t="inlineStr">
        <is>
          <t>A股</t>
        </is>
      </c>
      <c r="B96" t="inlineStr">
        <is>
          <t>920871</t>
        </is>
      </c>
      <c r="C96" t="inlineStr">
        <is>
          <t>派特尔</t>
        </is>
      </c>
      <c r="D96" t="inlineStr">
        <is>
          <t>近五个交易日资金净额</t>
        </is>
      </c>
      <c r="E96" t="inlineStr">
        <is>
          <t>optional_missing</t>
        </is>
      </c>
      <c r="F96" t="inlineStr">
        <is>
          <t>近五个交易日资金净额：optional_missing</t>
        </is>
      </c>
      <c r="G96" t="b">
        <v>0</v>
      </c>
      <c r="H96" t="b">
        <v>1</v>
      </c>
      <c r="M96" t="b">
        <v>0</v>
      </c>
    </row>
    <row r="97">
      <c r="A97" t="inlineStr">
        <is>
          <t>A股</t>
        </is>
      </c>
      <c r="B97" t="inlineStr">
        <is>
          <t>920871</t>
        </is>
      </c>
      <c r="C97" t="inlineStr">
        <is>
          <t>派特尔</t>
        </is>
      </c>
      <c r="D97" t="inlineStr">
        <is>
          <t>近一月资金净额（最近22个交易日）</t>
        </is>
      </c>
      <c r="E97" t="inlineStr">
        <is>
          <t>optional_missing</t>
        </is>
      </c>
      <c r="F97" t="inlineStr">
        <is>
          <t>近一月资金净额（最近22个交易日）：optional_missing</t>
        </is>
      </c>
      <c r="G97" t="b">
        <v>0</v>
      </c>
      <c r="H97" t="b">
        <v>1</v>
      </c>
      <c r="M97" t="b">
        <v>0</v>
      </c>
    </row>
    <row r="98">
      <c r="A98" t="inlineStr">
        <is>
          <t>A股</t>
        </is>
      </c>
      <c r="B98" t="inlineStr">
        <is>
          <t>920870</t>
        </is>
      </c>
      <c r="C98" t="inlineStr">
        <is>
          <t>恒进感应</t>
        </is>
      </c>
      <c r="D98" t="inlineStr">
        <is>
          <t>资金流</t>
        </is>
      </c>
      <c r="E98" t="inlineStr">
        <is>
          <t>optional_missing</t>
        </is>
      </c>
      <c r="F98" t="inlineStr">
        <is>
          <t>快速模式未发现可靠的批量近五个交易日同口径字段，为避免逐股慢请求，本次留空</t>
        </is>
      </c>
      <c r="G98" t="b">
        <v>0</v>
      </c>
      <c r="H98" t="b">
        <v>1</v>
      </c>
      <c r="I98" t="inlineStr">
        <is>
          <t>东方财富</t>
        </is>
      </c>
      <c r="J98" t="inlineStr">
        <is>
          <t>东方财富</t>
        </is>
      </c>
      <c r="K98" t="inlineStr">
        <is>
          <t>fast-mode-no-reliable-batch-endpoint</t>
        </is>
      </c>
      <c r="L98" s="32" t="n">
        <v>46263.26159564944</v>
      </c>
      <c r="M98" t="b">
        <v>1</v>
      </c>
    </row>
    <row r="99">
      <c r="A99" t="inlineStr">
        <is>
          <t>A股</t>
        </is>
      </c>
      <c r="B99" t="inlineStr">
        <is>
          <t>920870</t>
        </is>
      </c>
      <c r="C99" t="inlineStr">
        <is>
          <t>恒进感应</t>
        </is>
      </c>
      <c r="D99" t="inlineStr">
        <is>
          <t>近五个交易日资金净额</t>
        </is>
      </c>
      <c r="E99" t="inlineStr">
        <is>
          <t>optional_missing</t>
        </is>
      </c>
      <c r="F99" t="inlineStr">
        <is>
          <t>近五个交易日资金净额：optional_missing</t>
        </is>
      </c>
      <c r="G99" t="b">
        <v>0</v>
      </c>
      <c r="H99" t="b">
        <v>1</v>
      </c>
      <c r="M99" t="b">
        <v>0</v>
      </c>
    </row>
    <row r="100">
      <c r="A100" t="inlineStr">
        <is>
          <t>A股</t>
        </is>
      </c>
      <c r="B100" t="inlineStr">
        <is>
          <t>920870</t>
        </is>
      </c>
      <c r="C100" t="inlineStr">
        <is>
          <t>恒进感应</t>
        </is>
      </c>
      <c r="D100" t="inlineStr">
        <is>
          <t>近一月资金净额（最近22个交易日）</t>
        </is>
      </c>
      <c r="E100" t="inlineStr">
        <is>
          <t>optional_missing</t>
        </is>
      </c>
      <c r="F100" t="inlineStr">
        <is>
          <t>近一月资金净额（最近22个交易日）：optional_missing</t>
        </is>
      </c>
      <c r="G100" t="b">
        <v>0</v>
      </c>
      <c r="H100" t="b">
        <v>1</v>
      </c>
      <c r="M100" t="b">
        <v>0</v>
      </c>
    </row>
    <row r="101">
      <c r="A101" t="inlineStr">
        <is>
          <t>A股</t>
        </is>
      </c>
      <c r="B101" t="inlineStr">
        <is>
          <t>920866</t>
        </is>
      </c>
      <c r="C101" t="inlineStr">
        <is>
          <t>绿亨科技</t>
        </is>
      </c>
      <c r="D101" t="inlineStr">
        <is>
          <t>资金流</t>
        </is>
      </c>
      <c r="E101" t="inlineStr">
        <is>
          <t>optional_missing</t>
        </is>
      </c>
      <c r="F101" t="inlineStr">
        <is>
          <t>快速模式未发现可靠的批量近五个交易日同口径字段，为避免逐股慢请求，本次留空</t>
        </is>
      </c>
      <c r="G101" t="b">
        <v>0</v>
      </c>
      <c r="H101" t="b">
        <v>1</v>
      </c>
      <c r="I101" t="inlineStr">
        <is>
          <t>东方财富</t>
        </is>
      </c>
      <c r="J101" t="inlineStr">
        <is>
          <t>东方财富</t>
        </is>
      </c>
      <c r="K101" t="inlineStr">
        <is>
          <t>fast-mode-no-reliable-batch-endpoint</t>
        </is>
      </c>
      <c r="L101" s="32" t="n">
        <v>46263.26159564944</v>
      </c>
      <c r="M101" t="b">
        <v>1</v>
      </c>
    </row>
    <row r="102">
      <c r="A102" t="inlineStr">
        <is>
          <t>A股</t>
        </is>
      </c>
      <c r="B102" t="inlineStr">
        <is>
          <t>920866</t>
        </is>
      </c>
      <c r="C102" t="inlineStr">
        <is>
          <t>绿亨科技</t>
        </is>
      </c>
      <c r="D102" t="inlineStr">
        <is>
          <t>近五个交易日资金净额</t>
        </is>
      </c>
      <c r="E102" t="inlineStr">
        <is>
          <t>optional_missing</t>
        </is>
      </c>
      <c r="F102" t="inlineStr">
        <is>
          <t>近五个交易日资金净额：optional_missing</t>
        </is>
      </c>
      <c r="G102" t="b">
        <v>0</v>
      </c>
      <c r="H102" t="b">
        <v>1</v>
      </c>
      <c r="M102" t="b">
        <v>0</v>
      </c>
    </row>
    <row r="103">
      <c r="A103" t="inlineStr">
        <is>
          <t>A股</t>
        </is>
      </c>
      <c r="B103" t="inlineStr">
        <is>
          <t>920866</t>
        </is>
      </c>
      <c r="C103" t="inlineStr">
        <is>
          <t>绿亨科技</t>
        </is>
      </c>
      <c r="D103" t="inlineStr">
        <is>
          <t>近一月资金净额（最近22个交易日）</t>
        </is>
      </c>
      <c r="E103" t="inlineStr">
        <is>
          <t>optional_missing</t>
        </is>
      </c>
      <c r="F103" t="inlineStr">
        <is>
          <t>近一月资金净额（最近22个交易日）：optional_missing</t>
        </is>
      </c>
      <c r="G103" t="b">
        <v>0</v>
      </c>
      <c r="H103" t="b">
        <v>1</v>
      </c>
      <c r="M103" t="b">
        <v>0</v>
      </c>
    </row>
    <row r="104">
      <c r="A104" t="inlineStr">
        <is>
          <t>A股</t>
        </is>
      </c>
      <c r="B104" t="inlineStr">
        <is>
          <t>920857</t>
        </is>
      </c>
      <c r="C104" t="inlineStr">
        <is>
          <t>泓禧科技</t>
        </is>
      </c>
      <c r="D104" t="inlineStr">
        <is>
          <t>资金流</t>
        </is>
      </c>
      <c r="E104" t="inlineStr">
        <is>
          <t>optional_missing</t>
        </is>
      </c>
      <c r="F104" t="inlineStr">
        <is>
          <t>快速模式未发现可靠的批量近五个交易日同口径字段，为避免逐股慢请求，本次留空</t>
        </is>
      </c>
      <c r="G104" t="b">
        <v>0</v>
      </c>
      <c r="H104" t="b">
        <v>1</v>
      </c>
      <c r="I104" t="inlineStr">
        <is>
          <t>东方财富</t>
        </is>
      </c>
      <c r="J104" t="inlineStr">
        <is>
          <t>东方财富</t>
        </is>
      </c>
      <c r="K104" t="inlineStr">
        <is>
          <t>fast-mode-no-reliable-batch-endpoint</t>
        </is>
      </c>
      <c r="L104" s="32" t="n">
        <v>46263.26159564944</v>
      </c>
      <c r="M104" t="b">
        <v>1</v>
      </c>
    </row>
    <row r="105">
      <c r="A105" t="inlineStr">
        <is>
          <t>A股</t>
        </is>
      </c>
      <c r="B105" t="inlineStr">
        <is>
          <t>920857</t>
        </is>
      </c>
      <c r="C105" t="inlineStr">
        <is>
          <t>泓禧科技</t>
        </is>
      </c>
      <c r="D105" t="inlineStr">
        <is>
          <t>近五个交易日资金净额</t>
        </is>
      </c>
      <c r="E105" t="inlineStr">
        <is>
          <t>optional_missing</t>
        </is>
      </c>
      <c r="F105" t="inlineStr">
        <is>
          <t>近五个交易日资金净额：optional_missing</t>
        </is>
      </c>
      <c r="G105" t="b">
        <v>0</v>
      </c>
      <c r="H105" t="b">
        <v>1</v>
      </c>
      <c r="M105" t="b">
        <v>0</v>
      </c>
    </row>
    <row r="106">
      <c r="A106" t="inlineStr">
        <is>
          <t>A股</t>
        </is>
      </c>
      <c r="B106" t="inlineStr">
        <is>
          <t>920857</t>
        </is>
      </c>
      <c r="C106" t="inlineStr">
        <is>
          <t>泓禧科技</t>
        </is>
      </c>
      <c r="D106" t="inlineStr">
        <is>
          <t>近一月资金净额（最近22个交易日）</t>
        </is>
      </c>
      <c r="E106" t="inlineStr">
        <is>
          <t>optional_missing</t>
        </is>
      </c>
      <c r="F106" t="inlineStr">
        <is>
          <t>近一月资金净额（最近22个交易日）：optional_missing</t>
        </is>
      </c>
      <c r="G106" t="b">
        <v>0</v>
      </c>
      <c r="H106" t="b">
        <v>1</v>
      </c>
      <c r="M106" t="b">
        <v>0</v>
      </c>
    </row>
    <row r="107">
      <c r="A107" t="inlineStr">
        <is>
          <t>A股</t>
        </is>
      </c>
      <c r="B107" t="inlineStr">
        <is>
          <t>920856</t>
        </is>
      </c>
      <c r="C107" t="inlineStr">
        <is>
          <t>浩淼科技</t>
        </is>
      </c>
      <c r="D107" t="inlineStr">
        <is>
          <t>资金流</t>
        </is>
      </c>
      <c r="E107" t="inlineStr">
        <is>
          <t>optional_missing</t>
        </is>
      </c>
      <c r="F107" t="inlineStr">
        <is>
          <t>快速模式未发现可靠的批量近五个交易日同口径字段，为避免逐股慢请求，本次留空</t>
        </is>
      </c>
      <c r="G107" t="b">
        <v>0</v>
      </c>
      <c r="H107" t="b">
        <v>1</v>
      </c>
      <c r="I107" t="inlineStr">
        <is>
          <t>东方财富</t>
        </is>
      </c>
      <c r="J107" t="inlineStr">
        <is>
          <t>东方财富</t>
        </is>
      </c>
      <c r="K107" t="inlineStr">
        <is>
          <t>fast-mode-no-reliable-batch-endpoint</t>
        </is>
      </c>
      <c r="L107" s="32" t="n">
        <v>46263.26159564944</v>
      </c>
      <c r="M107" t="b">
        <v>1</v>
      </c>
    </row>
    <row r="108">
      <c r="A108" t="inlineStr">
        <is>
          <t>A股</t>
        </is>
      </c>
      <c r="B108" t="inlineStr">
        <is>
          <t>920856</t>
        </is>
      </c>
      <c r="C108" t="inlineStr">
        <is>
          <t>浩淼科技</t>
        </is>
      </c>
      <c r="D108" t="inlineStr">
        <is>
          <t>近五个交易日资金净额</t>
        </is>
      </c>
      <c r="E108" t="inlineStr">
        <is>
          <t>optional_missing</t>
        </is>
      </c>
      <c r="F108" t="inlineStr">
        <is>
          <t>近五个交易日资金净额：optional_missing</t>
        </is>
      </c>
      <c r="G108" t="b">
        <v>0</v>
      </c>
      <c r="H108" t="b">
        <v>1</v>
      </c>
      <c r="M108" t="b">
        <v>0</v>
      </c>
    </row>
    <row r="109">
      <c r="A109" t="inlineStr">
        <is>
          <t>A股</t>
        </is>
      </c>
      <c r="B109" t="inlineStr">
        <is>
          <t>920856</t>
        </is>
      </c>
      <c r="C109" t="inlineStr">
        <is>
          <t>浩淼科技</t>
        </is>
      </c>
      <c r="D109" t="inlineStr">
        <is>
          <t>近一月资金净额（最近22个交易日）</t>
        </is>
      </c>
      <c r="E109" t="inlineStr">
        <is>
          <t>optional_missing</t>
        </is>
      </c>
      <c r="F109" t="inlineStr">
        <is>
          <t>近一月资金净额（最近22个交易日）：optional_missing</t>
        </is>
      </c>
      <c r="G109" t="b">
        <v>0</v>
      </c>
      <c r="H109" t="b">
        <v>1</v>
      </c>
      <c r="M109" t="b">
        <v>0</v>
      </c>
    </row>
    <row r="110">
      <c r="A110" t="inlineStr">
        <is>
          <t>A股</t>
        </is>
      </c>
      <c r="B110" t="inlineStr">
        <is>
          <t>920855</t>
        </is>
      </c>
      <c r="C110" t="inlineStr">
        <is>
          <t>浙江大农</t>
        </is>
      </c>
      <c r="D110" t="inlineStr">
        <is>
          <t>资金流</t>
        </is>
      </c>
      <c r="E110" t="inlineStr">
        <is>
          <t>optional_missing</t>
        </is>
      </c>
      <c r="F110" t="inlineStr">
        <is>
          <t>快速模式未发现可靠的批量近五个交易日同口径字段，为避免逐股慢请求，本次留空</t>
        </is>
      </c>
      <c r="G110" t="b">
        <v>0</v>
      </c>
      <c r="H110" t="b">
        <v>1</v>
      </c>
      <c r="I110" t="inlineStr">
        <is>
          <t>东方财富</t>
        </is>
      </c>
      <c r="J110" t="inlineStr">
        <is>
          <t>东方财富</t>
        </is>
      </c>
      <c r="K110" t="inlineStr">
        <is>
          <t>fast-mode-no-reliable-batch-endpoint</t>
        </is>
      </c>
      <c r="L110" s="32" t="n">
        <v>46263.26159564944</v>
      </c>
      <c r="M110" t="b">
        <v>1</v>
      </c>
    </row>
    <row r="111">
      <c r="A111" t="inlineStr">
        <is>
          <t>A股</t>
        </is>
      </c>
      <c r="B111" t="inlineStr">
        <is>
          <t>920855</t>
        </is>
      </c>
      <c r="C111" t="inlineStr">
        <is>
          <t>浙江大农</t>
        </is>
      </c>
      <c r="D111" t="inlineStr">
        <is>
          <t>近五个交易日资金净额</t>
        </is>
      </c>
      <c r="E111" t="inlineStr">
        <is>
          <t>optional_missing</t>
        </is>
      </c>
      <c r="F111" t="inlineStr">
        <is>
          <t>近五个交易日资金净额：optional_missing</t>
        </is>
      </c>
      <c r="G111" t="b">
        <v>0</v>
      </c>
      <c r="H111" t="b">
        <v>1</v>
      </c>
      <c r="M111" t="b">
        <v>0</v>
      </c>
    </row>
    <row r="112">
      <c r="A112" t="inlineStr">
        <is>
          <t>A股</t>
        </is>
      </c>
      <c r="B112" t="inlineStr">
        <is>
          <t>920855</t>
        </is>
      </c>
      <c r="C112" t="inlineStr">
        <is>
          <t>浙江大农</t>
        </is>
      </c>
      <c r="D112" t="inlineStr">
        <is>
          <t>近一月资金净额（最近22个交易日）</t>
        </is>
      </c>
      <c r="E112" t="inlineStr">
        <is>
          <t>optional_missing</t>
        </is>
      </c>
      <c r="F112" t="inlineStr">
        <is>
          <t>近一月资金净额（最近22个交易日）：optional_missing</t>
        </is>
      </c>
      <c r="G112" t="b">
        <v>0</v>
      </c>
      <c r="H112" t="b">
        <v>1</v>
      </c>
      <c r="M112" t="b">
        <v>0</v>
      </c>
    </row>
    <row r="113">
      <c r="A113" t="inlineStr">
        <is>
          <t>A股</t>
        </is>
      </c>
      <c r="B113" t="inlineStr">
        <is>
          <t>920839</t>
        </is>
      </c>
      <c r="C113" t="inlineStr">
        <is>
          <t>万通液压</t>
        </is>
      </c>
      <c r="D113" t="inlineStr">
        <is>
          <t>资金流</t>
        </is>
      </c>
      <c r="E113" t="inlineStr">
        <is>
          <t>optional_missing</t>
        </is>
      </c>
      <c r="F113" t="inlineStr">
        <is>
          <t>快速模式未发现可靠的批量近五个交易日同口径字段，为避免逐股慢请求，本次留空</t>
        </is>
      </c>
      <c r="G113" t="b">
        <v>0</v>
      </c>
      <c r="H113" t="b">
        <v>1</v>
      </c>
      <c r="I113" t="inlineStr">
        <is>
          <t>东方财富</t>
        </is>
      </c>
      <c r="J113" t="inlineStr">
        <is>
          <t>东方财富</t>
        </is>
      </c>
      <c r="K113" t="inlineStr">
        <is>
          <t>fast-mode-no-reliable-batch-endpoint</t>
        </is>
      </c>
      <c r="L113" s="32" t="n">
        <v>46263.26159564944</v>
      </c>
      <c r="M113" t="b">
        <v>1</v>
      </c>
    </row>
    <row r="114">
      <c r="A114" t="inlineStr">
        <is>
          <t>A股</t>
        </is>
      </c>
      <c r="B114" t="inlineStr">
        <is>
          <t>920839</t>
        </is>
      </c>
      <c r="C114" t="inlineStr">
        <is>
          <t>万通液压</t>
        </is>
      </c>
      <c r="D114" t="inlineStr">
        <is>
          <t>近五个交易日资金净额</t>
        </is>
      </c>
      <c r="E114" t="inlineStr">
        <is>
          <t>optional_missing</t>
        </is>
      </c>
      <c r="F114" t="inlineStr">
        <is>
          <t>近五个交易日资金净额：optional_missing</t>
        </is>
      </c>
      <c r="G114" t="b">
        <v>0</v>
      </c>
      <c r="H114" t="b">
        <v>1</v>
      </c>
      <c r="M114" t="b">
        <v>0</v>
      </c>
    </row>
    <row r="115">
      <c r="A115" t="inlineStr">
        <is>
          <t>A股</t>
        </is>
      </c>
      <c r="B115" t="inlineStr">
        <is>
          <t>920839</t>
        </is>
      </c>
      <c r="C115" t="inlineStr">
        <is>
          <t>万通液压</t>
        </is>
      </c>
      <c r="D115" t="inlineStr">
        <is>
          <t>近一月资金净额（最近22个交易日）</t>
        </is>
      </c>
      <c r="E115" t="inlineStr">
        <is>
          <t>optional_missing</t>
        </is>
      </c>
      <c r="F115" t="inlineStr">
        <is>
          <t>近一月资金净额（最近22个交易日）：optional_missing</t>
        </is>
      </c>
      <c r="G115" t="b">
        <v>0</v>
      </c>
      <c r="H115" t="b">
        <v>1</v>
      </c>
      <c r="M115" t="b">
        <v>0</v>
      </c>
    </row>
    <row r="116">
      <c r="A116" t="inlineStr">
        <is>
          <t>A股</t>
        </is>
      </c>
      <c r="B116" t="inlineStr">
        <is>
          <t>920837</t>
        </is>
      </c>
      <c r="C116" t="inlineStr">
        <is>
          <t>华原股份</t>
        </is>
      </c>
      <c r="D116" t="inlineStr">
        <is>
          <t>资金流</t>
        </is>
      </c>
      <c r="E116" t="inlineStr">
        <is>
          <t>optional_missing</t>
        </is>
      </c>
      <c r="F116" t="inlineStr">
        <is>
          <t>快速模式未发现可靠的批量近五个交易日同口径字段，为避免逐股慢请求，本次留空</t>
        </is>
      </c>
      <c r="G116" t="b">
        <v>0</v>
      </c>
      <c r="H116" t="b">
        <v>1</v>
      </c>
      <c r="I116" t="inlineStr">
        <is>
          <t>东方财富</t>
        </is>
      </c>
      <c r="J116" t="inlineStr">
        <is>
          <t>东方财富</t>
        </is>
      </c>
      <c r="K116" t="inlineStr">
        <is>
          <t>fast-mode-no-reliable-batch-endpoint</t>
        </is>
      </c>
      <c r="L116" s="32" t="n">
        <v>46263.26159564944</v>
      </c>
      <c r="M116" t="b">
        <v>1</v>
      </c>
    </row>
    <row r="117">
      <c r="A117" t="inlineStr">
        <is>
          <t>A股</t>
        </is>
      </c>
      <c r="B117" t="inlineStr">
        <is>
          <t>920837</t>
        </is>
      </c>
      <c r="C117" t="inlineStr">
        <is>
          <t>华原股份</t>
        </is>
      </c>
      <c r="D117" t="inlineStr">
        <is>
          <t>近五个交易日资金净额</t>
        </is>
      </c>
      <c r="E117" t="inlineStr">
        <is>
          <t>optional_missing</t>
        </is>
      </c>
      <c r="F117" t="inlineStr">
        <is>
          <t>近五个交易日资金净额：optional_missing</t>
        </is>
      </c>
      <c r="G117" t="b">
        <v>0</v>
      </c>
      <c r="H117" t="b">
        <v>1</v>
      </c>
      <c r="M117" t="b">
        <v>0</v>
      </c>
    </row>
    <row r="118">
      <c r="A118" t="inlineStr">
        <is>
          <t>A股</t>
        </is>
      </c>
      <c r="B118" t="inlineStr">
        <is>
          <t>920837</t>
        </is>
      </c>
      <c r="C118" t="inlineStr">
        <is>
          <t>华原股份</t>
        </is>
      </c>
      <c r="D118" t="inlineStr">
        <is>
          <t>近一月资金净额（最近22个交易日）</t>
        </is>
      </c>
      <c r="E118" t="inlineStr">
        <is>
          <t>optional_missing</t>
        </is>
      </c>
      <c r="F118" t="inlineStr">
        <is>
          <t>近一月资金净额（最近22个交易日）：optional_missing</t>
        </is>
      </c>
      <c r="G118" t="b">
        <v>0</v>
      </c>
      <c r="H118" t="b">
        <v>1</v>
      </c>
      <c r="M118" t="b">
        <v>0</v>
      </c>
    </row>
    <row r="119">
      <c r="A119" t="inlineStr">
        <is>
          <t>A股</t>
        </is>
      </c>
      <c r="B119" t="inlineStr">
        <is>
          <t>920834</t>
        </is>
      </c>
      <c r="C119" t="inlineStr">
        <is>
          <t>三维装备</t>
        </is>
      </c>
      <c r="D119" t="inlineStr">
        <is>
          <t>资金流</t>
        </is>
      </c>
      <c r="E119" t="inlineStr">
        <is>
          <t>optional_missing</t>
        </is>
      </c>
      <c r="F119" t="inlineStr">
        <is>
          <t>快速模式未发现可靠的批量近五个交易日同口径字段，为避免逐股慢请求，本次留空</t>
        </is>
      </c>
      <c r="G119" t="b">
        <v>0</v>
      </c>
      <c r="H119" t="b">
        <v>1</v>
      </c>
      <c r="I119" t="inlineStr">
        <is>
          <t>东方财富</t>
        </is>
      </c>
      <c r="J119" t="inlineStr">
        <is>
          <t>东方财富</t>
        </is>
      </c>
      <c r="K119" t="inlineStr">
        <is>
          <t>fast-mode-no-reliable-batch-endpoint</t>
        </is>
      </c>
      <c r="L119" s="32" t="n">
        <v>46263.26159564944</v>
      </c>
      <c r="M119" t="b">
        <v>1</v>
      </c>
    </row>
    <row r="120">
      <c r="A120" t="inlineStr">
        <is>
          <t>A股</t>
        </is>
      </c>
      <c r="B120" t="inlineStr">
        <is>
          <t>920834</t>
        </is>
      </c>
      <c r="C120" t="inlineStr">
        <is>
          <t>三维装备</t>
        </is>
      </c>
      <c r="D120" t="inlineStr">
        <is>
          <t>近五个交易日资金净额</t>
        </is>
      </c>
      <c r="E120" t="inlineStr">
        <is>
          <t>optional_missing</t>
        </is>
      </c>
      <c r="F120" t="inlineStr">
        <is>
          <t>近五个交易日资金净额：optional_missing</t>
        </is>
      </c>
      <c r="G120" t="b">
        <v>0</v>
      </c>
      <c r="H120" t="b">
        <v>1</v>
      </c>
      <c r="M120" t="b">
        <v>0</v>
      </c>
    </row>
    <row r="121">
      <c r="A121" t="inlineStr">
        <is>
          <t>A股</t>
        </is>
      </c>
      <c r="B121" t="inlineStr">
        <is>
          <t>920834</t>
        </is>
      </c>
      <c r="C121" t="inlineStr">
        <is>
          <t>三维装备</t>
        </is>
      </c>
      <c r="D121" t="inlineStr">
        <is>
          <t>近一月资金净额（最近22个交易日）</t>
        </is>
      </c>
      <c r="E121" t="inlineStr">
        <is>
          <t>optional_missing</t>
        </is>
      </c>
      <c r="F121" t="inlineStr">
        <is>
          <t>近一月资金净额（最近22个交易日）：optional_missing</t>
        </is>
      </c>
      <c r="G121" t="b">
        <v>0</v>
      </c>
      <c r="H121" t="b">
        <v>1</v>
      </c>
      <c r="M121" t="b">
        <v>0</v>
      </c>
    </row>
    <row r="122">
      <c r="A122" t="inlineStr">
        <is>
          <t>A股</t>
        </is>
      </c>
      <c r="B122" t="inlineStr">
        <is>
          <t>920833</t>
        </is>
      </c>
      <c r="C122" t="inlineStr">
        <is>
          <t>美心翼申</t>
        </is>
      </c>
      <c r="D122" t="inlineStr">
        <is>
          <t>资金流</t>
        </is>
      </c>
      <c r="E122" t="inlineStr">
        <is>
          <t>optional_missing</t>
        </is>
      </c>
      <c r="F122" t="inlineStr">
        <is>
          <t>快速模式未发现可靠的批量近五个交易日同口径字段，为避免逐股慢请求，本次留空</t>
        </is>
      </c>
      <c r="G122" t="b">
        <v>0</v>
      </c>
      <c r="H122" t="b">
        <v>1</v>
      </c>
      <c r="I122" t="inlineStr">
        <is>
          <t>东方财富</t>
        </is>
      </c>
      <c r="J122" t="inlineStr">
        <is>
          <t>东方财富</t>
        </is>
      </c>
      <c r="K122" t="inlineStr">
        <is>
          <t>fast-mode-no-reliable-batch-endpoint</t>
        </is>
      </c>
      <c r="L122" s="32" t="n">
        <v>46263.26159564944</v>
      </c>
      <c r="M122" t="b">
        <v>1</v>
      </c>
    </row>
    <row r="123">
      <c r="A123" t="inlineStr">
        <is>
          <t>A股</t>
        </is>
      </c>
      <c r="B123" t="inlineStr">
        <is>
          <t>920833</t>
        </is>
      </c>
      <c r="C123" t="inlineStr">
        <is>
          <t>美心翼申</t>
        </is>
      </c>
      <c r="D123" t="inlineStr">
        <is>
          <t>近五个交易日资金净额</t>
        </is>
      </c>
      <c r="E123" t="inlineStr">
        <is>
          <t>optional_missing</t>
        </is>
      </c>
      <c r="F123" t="inlineStr">
        <is>
          <t>近五个交易日资金净额：optional_missing</t>
        </is>
      </c>
      <c r="G123" t="b">
        <v>0</v>
      </c>
      <c r="H123" t="b">
        <v>1</v>
      </c>
      <c r="M123" t="b">
        <v>0</v>
      </c>
    </row>
    <row r="124">
      <c r="A124" t="inlineStr">
        <is>
          <t>A股</t>
        </is>
      </c>
      <c r="B124" t="inlineStr">
        <is>
          <t>920833</t>
        </is>
      </c>
      <c r="C124" t="inlineStr">
        <is>
          <t>美心翼申</t>
        </is>
      </c>
      <c r="D124" t="inlineStr">
        <is>
          <t>近一月资金净额（最近22个交易日）</t>
        </is>
      </c>
      <c r="E124" t="inlineStr">
        <is>
          <t>optional_missing</t>
        </is>
      </c>
      <c r="F124" t="inlineStr">
        <is>
          <t>近一月资金净额（最近22个交易日）：optional_missing</t>
        </is>
      </c>
      <c r="G124" t="b">
        <v>0</v>
      </c>
      <c r="H124" t="b">
        <v>1</v>
      </c>
      <c r="M124" t="b">
        <v>0</v>
      </c>
    </row>
    <row r="125">
      <c r="A125" t="inlineStr">
        <is>
          <t>A股</t>
        </is>
      </c>
      <c r="B125" t="inlineStr">
        <is>
          <t>920832</t>
        </is>
      </c>
      <c r="C125" t="inlineStr">
        <is>
          <t>齐鲁华信</t>
        </is>
      </c>
      <c r="D125" t="inlineStr">
        <is>
          <t>资金流</t>
        </is>
      </c>
      <c r="E125" t="inlineStr">
        <is>
          <t>optional_missing</t>
        </is>
      </c>
      <c r="F125" t="inlineStr">
        <is>
          <t>快速模式未发现可靠的批量近五个交易日同口径字段，为避免逐股慢请求，本次留空</t>
        </is>
      </c>
      <c r="G125" t="b">
        <v>0</v>
      </c>
      <c r="H125" t="b">
        <v>1</v>
      </c>
      <c r="I125" t="inlineStr">
        <is>
          <t>东方财富</t>
        </is>
      </c>
      <c r="J125" t="inlineStr">
        <is>
          <t>东方财富</t>
        </is>
      </c>
      <c r="K125" t="inlineStr">
        <is>
          <t>fast-mode-no-reliable-batch-endpoint</t>
        </is>
      </c>
      <c r="L125" s="32" t="n">
        <v>46263.26159564944</v>
      </c>
      <c r="M125" t="b">
        <v>1</v>
      </c>
    </row>
    <row r="126">
      <c r="A126" t="inlineStr">
        <is>
          <t>A股</t>
        </is>
      </c>
      <c r="B126" t="inlineStr">
        <is>
          <t>920832</t>
        </is>
      </c>
      <c r="C126" t="inlineStr">
        <is>
          <t>齐鲁华信</t>
        </is>
      </c>
      <c r="D126" t="inlineStr">
        <is>
          <t>近五个交易日资金净额</t>
        </is>
      </c>
      <c r="E126" t="inlineStr">
        <is>
          <t>optional_missing</t>
        </is>
      </c>
      <c r="F126" t="inlineStr">
        <is>
          <t>近五个交易日资金净额：optional_missing</t>
        </is>
      </c>
      <c r="G126" t="b">
        <v>0</v>
      </c>
      <c r="H126" t="b">
        <v>1</v>
      </c>
      <c r="M126" t="b">
        <v>0</v>
      </c>
    </row>
    <row r="127">
      <c r="A127" t="inlineStr">
        <is>
          <t>A股</t>
        </is>
      </c>
      <c r="B127" t="inlineStr">
        <is>
          <t>920832</t>
        </is>
      </c>
      <c r="C127" t="inlineStr">
        <is>
          <t>齐鲁华信</t>
        </is>
      </c>
      <c r="D127" t="inlineStr">
        <is>
          <t>近一月资金净额（最近22个交易日）</t>
        </is>
      </c>
      <c r="E127" t="inlineStr">
        <is>
          <t>optional_missing</t>
        </is>
      </c>
      <c r="F127" t="inlineStr">
        <is>
          <t>近一月资金净额（最近22个交易日）：optional_missing</t>
        </is>
      </c>
      <c r="G127" t="b">
        <v>0</v>
      </c>
      <c r="H127" t="b">
        <v>1</v>
      </c>
      <c r="M127" t="b">
        <v>0</v>
      </c>
    </row>
    <row r="128">
      <c r="A128" t="inlineStr">
        <is>
          <t>A股</t>
        </is>
      </c>
      <c r="B128" t="inlineStr">
        <is>
          <t>920826</t>
        </is>
      </c>
      <c r="C128" t="inlineStr">
        <is>
          <t>盖世食品</t>
        </is>
      </c>
      <c r="D128" t="inlineStr">
        <is>
          <t>资金流</t>
        </is>
      </c>
      <c r="E128" t="inlineStr">
        <is>
          <t>optional_missing</t>
        </is>
      </c>
      <c r="F128" t="inlineStr">
        <is>
          <t>快速模式未发现可靠的批量近五个交易日同口径字段，为避免逐股慢请求，本次留空</t>
        </is>
      </c>
      <c r="G128" t="b">
        <v>0</v>
      </c>
      <c r="H128" t="b">
        <v>1</v>
      </c>
      <c r="I128" t="inlineStr">
        <is>
          <t>东方财富</t>
        </is>
      </c>
      <c r="J128" t="inlineStr">
        <is>
          <t>东方财富</t>
        </is>
      </c>
      <c r="K128" t="inlineStr">
        <is>
          <t>fast-mode-no-reliable-batch-endpoint</t>
        </is>
      </c>
      <c r="L128" s="32" t="n">
        <v>46263.26159564944</v>
      </c>
      <c r="M128" t="b">
        <v>1</v>
      </c>
    </row>
    <row r="129">
      <c r="A129" t="inlineStr">
        <is>
          <t>A股</t>
        </is>
      </c>
      <c r="B129" t="inlineStr">
        <is>
          <t>920826</t>
        </is>
      </c>
      <c r="C129" t="inlineStr">
        <is>
          <t>盖世食品</t>
        </is>
      </c>
      <c r="D129" t="inlineStr">
        <is>
          <t>近五个交易日资金净额</t>
        </is>
      </c>
      <c r="E129" t="inlineStr">
        <is>
          <t>optional_missing</t>
        </is>
      </c>
      <c r="F129" t="inlineStr">
        <is>
          <t>近五个交易日资金净额：optional_missing</t>
        </is>
      </c>
      <c r="G129" t="b">
        <v>0</v>
      </c>
      <c r="H129" t="b">
        <v>1</v>
      </c>
      <c r="M129" t="b">
        <v>0</v>
      </c>
    </row>
    <row r="130">
      <c r="A130" t="inlineStr">
        <is>
          <t>A股</t>
        </is>
      </c>
      <c r="B130" t="inlineStr">
        <is>
          <t>920826</t>
        </is>
      </c>
      <c r="C130" t="inlineStr">
        <is>
          <t>盖世食品</t>
        </is>
      </c>
      <c r="D130" t="inlineStr">
        <is>
          <t>近一月资金净额（最近22个交易日）</t>
        </is>
      </c>
      <c r="E130" t="inlineStr">
        <is>
          <t>optional_missing</t>
        </is>
      </c>
      <c r="F130" t="inlineStr">
        <is>
          <t>近一月资金净额（最近22个交易日）：optional_missing</t>
        </is>
      </c>
      <c r="G130" t="b">
        <v>0</v>
      </c>
      <c r="H130" t="b">
        <v>1</v>
      </c>
      <c r="M130" t="b">
        <v>0</v>
      </c>
    </row>
    <row r="131">
      <c r="A131" t="inlineStr">
        <is>
          <t>A股</t>
        </is>
      </c>
      <c r="B131" t="inlineStr">
        <is>
          <t>920821</t>
        </is>
      </c>
      <c r="C131" t="inlineStr">
        <is>
          <t>则成电子</t>
        </is>
      </c>
      <c r="D131" t="inlineStr">
        <is>
          <t>资金流</t>
        </is>
      </c>
      <c r="E131" t="inlineStr">
        <is>
          <t>optional_missing</t>
        </is>
      </c>
      <c r="F131" t="inlineStr">
        <is>
          <t>快速模式未发现可靠的批量近五个交易日同口径字段，为避免逐股慢请求，本次留空</t>
        </is>
      </c>
      <c r="G131" t="b">
        <v>0</v>
      </c>
      <c r="H131" t="b">
        <v>1</v>
      </c>
      <c r="I131" t="inlineStr">
        <is>
          <t>东方财富</t>
        </is>
      </c>
      <c r="J131" t="inlineStr">
        <is>
          <t>东方财富</t>
        </is>
      </c>
      <c r="K131" t="inlineStr">
        <is>
          <t>fast-mode-no-reliable-batch-endpoint</t>
        </is>
      </c>
      <c r="L131" s="32" t="n">
        <v>46263.26159564944</v>
      </c>
      <c r="M131" t="b">
        <v>1</v>
      </c>
    </row>
    <row r="132">
      <c r="A132" t="inlineStr">
        <is>
          <t>A股</t>
        </is>
      </c>
      <c r="B132" t="inlineStr">
        <is>
          <t>920821</t>
        </is>
      </c>
      <c r="C132" t="inlineStr">
        <is>
          <t>则成电子</t>
        </is>
      </c>
      <c r="D132" t="inlineStr">
        <is>
          <t>近五个交易日资金净额</t>
        </is>
      </c>
      <c r="E132" t="inlineStr">
        <is>
          <t>optional_missing</t>
        </is>
      </c>
      <c r="F132" t="inlineStr">
        <is>
          <t>近五个交易日资金净额：optional_missing</t>
        </is>
      </c>
      <c r="G132" t="b">
        <v>0</v>
      </c>
      <c r="H132" t="b">
        <v>1</v>
      </c>
      <c r="M132" t="b">
        <v>0</v>
      </c>
    </row>
    <row r="133">
      <c r="A133" t="inlineStr">
        <is>
          <t>A股</t>
        </is>
      </c>
      <c r="B133" t="inlineStr">
        <is>
          <t>920821</t>
        </is>
      </c>
      <c r="C133" t="inlineStr">
        <is>
          <t>则成电子</t>
        </is>
      </c>
      <c r="D133" t="inlineStr">
        <is>
          <t>近一月资金净额（最近22个交易日）</t>
        </is>
      </c>
      <c r="E133" t="inlineStr">
        <is>
          <t>optional_missing</t>
        </is>
      </c>
      <c r="F133" t="inlineStr">
        <is>
          <t>近一月资金净额（最近22个交易日）：optional_missing</t>
        </is>
      </c>
      <c r="G133" t="b">
        <v>0</v>
      </c>
      <c r="H133" t="b">
        <v>1</v>
      </c>
      <c r="M133" t="b">
        <v>0</v>
      </c>
    </row>
    <row r="134">
      <c r="A134" t="inlineStr">
        <is>
          <t>A股</t>
        </is>
      </c>
      <c r="B134" t="inlineStr">
        <is>
          <t>920819</t>
        </is>
      </c>
      <c r="C134" t="inlineStr">
        <is>
          <t>颖泰生物</t>
        </is>
      </c>
      <c r="D134" t="inlineStr">
        <is>
          <t>资金流</t>
        </is>
      </c>
      <c r="E134" t="inlineStr">
        <is>
          <t>optional_missing</t>
        </is>
      </c>
      <c r="F134" t="inlineStr">
        <is>
          <t>快速模式未发现可靠的批量近五个交易日同口径字段，为避免逐股慢请求，本次留空</t>
        </is>
      </c>
      <c r="G134" t="b">
        <v>0</v>
      </c>
      <c r="H134" t="b">
        <v>1</v>
      </c>
      <c r="I134" t="inlineStr">
        <is>
          <t>东方财富</t>
        </is>
      </c>
      <c r="J134" t="inlineStr">
        <is>
          <t>东方财富</t>
        </is>
      </c>
      <c r="K134" t="inlineStr">
        <is>
          <t>fast-mode-no-reliable-batch-endpoint</t>
        </is>
      </c>
      <c r="L134" s="32" t="n">
        <v>46263.26159564944</v>
      </c>
      <c r="M134" t="b">
        <v>1</v>
      </c>
    </row>
    <row r="135">
      <c r="A135" t="inlineStr">
        <is>
          <t>A股</t>
        </is>
      </c>
      <c r="B135" t="inlineStr">
        <is>
          <t>920819</t>
        </is>
      </c>
      <c r="C135" t="inlineStr">
        <is>
          <t>颖泰生物</t>
        </is>
      </c>
      <c r="D135" t="inlineStr">
        <is>
          <t>近五个交易日资金净额</t>
        </is>
      </c>
      <c r="E135" t="inlineStr">
        <is>
          <t>optional_missing</t>
        </is>
      </c>
      <c r="F135" t="inlineStr">
        <is>
          <t>近五个交易日资金净额：optional_missing</t>
        </is>
      </c>
      <c r="G135" t="b">
        <v>0</v>
      </c>
      <c r="H135" t="b">
        <v>1</v>
      </c>
      <c r="M135" t="b">
        <v>0</v>
      </c>
    </row>
    <row r="136">
      <c r="A136" t="inlineStr">
        <is>
          <t>A股</t>
        </is>
      </c>
      <c r="B136" t="inlineStr">
        <is>
          <t>920819</t>
        </is>
      </c>
      <c r="C136" t="inlineStr">
        <is>
          <t>颖泰生物</t>
        </is>
      </c>
      <c r="D136" t="inlineStr">
        <is>
          <t>近一月资金净额（最近22个交易日）</t>
        </is>
      </c>
      <c r="E136" t="inlineStr">
        <is>
          <t>optional_missing</t>
        </is>
      </c>
      <c r="F136" t="inlineStr">
        <is>
          <t>近一月资金净额（最近22个交易日）：optional_missing</t>
        </is>
      </c>
      <c r="G136" t="b">
        <v>0</v>
      </c>
      <c r="H136" t="b">
        <v>1</v>
      </c>
      <c r="M136" t="b">
        <v>0</v>
      </c>
    </row>
    <row r="137">
      <c r="A137" t="inlineStr">
        <is>
          <t>A股</t>
        </is>
      </c>
      <c r="B137" t="inlineStr">
        <is>
          <t>920810</t>
        </is>
      </c>
      <c r="C137" t="inlineStr">
        <is>
          <t>春光智能</t>
        </is>
      </c>
      <c r="D137" t="inlineStr">
        <is>
          <t>资金流</t>
        </is>
      </c>
      <c r="E137" t="inlineStr">
        <is>
          <t>optional_missing</t>
        </is>
      </c>
      <c r="F137" t="inlineStr">
        <is>
          <t>快速模式未发现可靠的批量近五个交易日同口径字段，为避免逐股慢请求，本次留空</t>
        </is>
      </c>
      <c r="G137" t="b">
        <v>0</v>
      </c>
      <c r="H137" t="b">
        <v>1</v>
      </c>
      <c r="I137" t="inlineStr">
        <is>
          <t>东方财富</t>
        </is>
      </c>
      <c r="J137" t="inlineStr">
        <is>
          <t>东方财富</t>
        </is>
      </c>
      <c r="K137" t="inlineStr">
        <is>
          <t>fast-mode-no-reliable-batch-endpoint</t>
        </is>
      </c>
      <c r="L137" s="32" t="n">
        <v>46263.26159564944</v>
      </c>
      <c r="M137" t="b">
        <v>1</v>
      </c>
    </row>
    <row r="138">
      <c r="A138" t="inlineStr">
        <is>
          <t>A股</t>
        </is>
      </c>
      <c r="B138" t="inlineStr">
        <is>
          <t>920810</t>
        </is>
      </c>
      <c r="C138" t="inlineStr">
        <is>
          <t>春光智能</t>
        </is>
      </c>
      <c r="D138" t="inlineStr">
        <is>
          <t>近五个交易日资金净额</t>
        </is>
      </c>
      <c r="E138" t="inlineStr">
        <is>
          <t>optional_missing</t>
        </is>
      </c>
      <c r="F138" t="inlineStr">
        <is>
          <t>近五个交易日资金净额：optional_missing</t>
        </is>
      </c>
      <c r="G138" t="b">
        <v>0</v>
      </c>
      <c r="H138" t="b">
        <v>1</v>
      </c>
      <c r="M138" t="b">
        <v>0</v>
      </c>
    </row>
    <row r="139">
      <c r="A139" t="inlineStr">
        <is>
          <t>A股</t>
        </is>
      </c>
      <c r="B139" t="inlineStr">
        <is>
          <t>920810</t>
        </is>
      </c>
      <c r="C139" t="inlineStr">
        <is>
          <t>春光智能</t>
        </is>
      </c>
      <c r="D139" t="inlineStr">
        <is>
          <t>近一月资金净额（最近22个交易日）</t>
        </is>
      </c>
      <c r="E139" t="inlineStr">
        <is>
          <t>optional_missing</t>
        </is>
      </c>
      <c r="F139" t="inlineStr">
        <is>
          <t>近一月资金净额（最近22个交易日）：optional_missing</t>
        </is>
      </c>
      <c r="G139" t="b">
        <v>0</v>
      </c>
      <c r="H139" t="b">
        <v>1</v>
      </c>
      <c r="M139" t="b">
        <v>0</v>
      </c>
    </row>
    <row r="140">
      <c r="A140" t="inlineStr">
        <is>
          <t>A股</t>
        </is>
      </c>
      <c r="B140" t="inlineStr">
        <is>
          <t>920809</t>
        </is>
      </c>
      <c r="C140" t="inlineStr">
        <is>
          <t>安达科技</t>
        </is>
      </c>
      <c r="D140" t="inlineStr">
        <is>
          <t>资金流</t>
        </is>
      </c>
      <c r="E140" t="inlineStr">
        <is>
          <t>optional_missing</t>
        </is>
      </c>
      <c r="F140" t="inlineStr">
        <is>
          <t>快速模式未发现可靠的批量近五个交易日同口径字段，为避免逐股慢请求，本次留空</t>
        </is>
      </c>
      <c r="G140" t="b">
        <v>0</v>
      </c>
      <c r="H140" t="b">
        <v>1</v>
      </c>
      <c r="I140" t="inlineStr">
        <is>
          <t>东方财富</t>
        </is>
      </c>
      <c r="J140" t="inlineStr">
        <is>
          <t>东方财富</t>
        </is>
      </c>
      <c r="K140" t="inlineStr">
        <is>
          <t>fast-mode-no-reliable-batch-endpoint</t>
        </is>
      </c>
      <c r="L140" s="32" t="n">
        <v>46263.26159564944</v>
      </c>
      <c r="M140" t="b">
        <v>1</v>
      </c>
    </row>
    <row r="141">
      <c r="A141" t="inlineStr">
        <is>
          <t>A股</t>
        </is>
      </c>
      <c r="B141" t="inlineStr">
        <is>
          <t>920809</t>
        </is>
      </c>
      <c r="C141" t="inlineStr">
        <is>
          <t>安达科技</t>
        </is>
      </c>
      <c r="D141" t="inlineStr">
        <is>
          <t>近五个交易日资金净额</t>
        </is>
      </c>
      <c r="E141" t="inlineStr">
        <is>
          <t>optional_missing</t>
        </is>
      </c>
      <c r="F141" t="inlineStr">
        <is>
          <t>近五个交易日资金净额：optional_missing</t>
        </is>
      </c>
      <c r="G141" t="b">
        <v>0</v>
      </c>
      <c r="H141" t="b">
        <v>1</v>
      </c>
      <c r="M141" t="b">
        <v>0</v>
      </c>
    </row>
    <row r="142">
      <c r="A142" t="inlineStr">
        <is>
          <t>A股</t>
        </is>
      </c>
      <c r="B142" t="inlineStr">
        <is>
          <t>920809</t>
        </is>
      </c>
      <c r="C142" t="inlineStr">
        <is>
          <t>安达科技</t>
        </is>
      </c>
      <c r="D142" t="inlineStr">
        <is>
          <t>近一月资金净额（最近22个交易日）</t>
        </is>
      </c>
      <c r="E142" t="inlineStr">
        <is>
          <t>optional_missing</t>
        </is>
      </c>
      <c r="F142" t="inlineStr">
        <is>
          <t>近一月资金净额（最近22个交易日）：optional_missing</t>
        </is>
      </c>
      <c r="G142" t="b">
        <v>0</v>
      </c>
      <c r="H142" t="b">
        <v>1</v>
      </c>
      <c r="M142" t="b">
        <v>0</v>
      </c>
    </row>
    <row r="143">
      <c r="A143" t="inlineStr">
        <is>
          <t>A股</t>
        </is>
      </c>
      <c r="B143" t="inlineStr">
        <is>
          <t>920808</t>
        </is>
      </c>
      <c r="C143" t="inlineStr">
        <is>
          <t>曙光数创</t>
        </is>
      </c>
      <c r="D143" t="inlineStr">
        <is>
          <t>资金流</t>
        </is>
      </c>
      <c r="E143" t="inlineStr">
        <is>
          <t>optional_missing</t>
        </is>
      </c>
      <c r="F143" t="inlineStr">
        <is>
          <t>快速模式未发现可靠的批量近五个交易日同口径字段，为避免逐股慢请求，本次留空</t>
        </is>
      </c>
      <c r="G143" t="b">
        <v>0</v>
      </c>
      <c r="H143" t="b">
        <v>1</v>
      </c>
      <c r="I143" t="inlineStr">
        <is>
          <t>东方财富</t>
        </is>
      </c>
      <c r="J143" t="inlineStr">
        <is>
          <t>东方财富</t>
        </is>
      </c>
      <c r="K143" t="inlineStr">
        <is>
          <t>fast-mode-no-reliable-batch-endpoint</t>
        </is>
      </c>
      <c r="L143" s="32" t="n">
        <v>46263.26159564944</v>
      </c>
      <c r="M143" t="b">
        <v>1</v>
      </c>
    </row>
    <row r="144">
      <c r="A144" t="inlineStr">
        <is>
          <t>A股</t>
        </is>
      </c>
      <c r="B144" t="inlineStr">
        <is>
          <t>920808</t>
        </is>
      </c>
      <c r="C144" t="inlineStr">
        <is>
          <t>曙光数创</t>
        </is>
      </c>
      <c r="D144" t="inlineStr">
        <is>
          <t>近五个交易日资金净额</t>
        </is>
      </c>
      <c r="E144" t="inlineStr">
        <is>
          <t>optional_missing</t>
        </is>
      </c>
      <c r="F144" t="inlineStr">
        <is>
          <t>近五个交易日资金净额：optional_missing</t>
        </is>
      </c>
      <c r="G144" t="b">
        <v>0</v>
      </c>
      <c r="H144" t="b">
        <v>1</v>
      </c>
      <c r="M144" t="b">
        <v>0</v>
      </c>
    </row>
    <row r="145">
      <c r="A145" t="inlineStr">
        <is>
          <t>A股</t>
        </is>
      </c>
      <c r="B145" t="inlineStr">
        <is>
          <t>920808</t>
        </is>
      </c>
      <c r="C145" t="inlineStr">
        <is>
          <t>曙光数创</t>
        </is>
      </c>
      <c r="D145" t="inlineStr">
        <is>
          <t>近一月资金净额（最近22个交易日）</t>
        </is>
      </c>
      <c r="E145" t="inlineStr">
        <is>
          <t>optional_missing</t>
        </is>
      </c>
      <c r="F145" t="inlineStr">
        <is>
          <t>近一月资金净额（最近22个交易日）：optional_missing</t>
        </is>
      </c>
      <c r="G145" t="b">
        <v>0</v>
      </c>
      <c r="H145" t="b">
        <v>1</v>
      </c>
      <c r="M145" t="b">
        <v>0</v>
      </c>
    </row>
    <row r="146">
      <c r="A146" t="inlineStr">
        <is>
          <t>A股</t>
        </is>
      </c>
      <c r="B146" t="inlineStr">
        <is>
          <t>920807</t>
        </is>
      </c>
      <c r="C146" t="inlineStr">
        <is>
          <t>奔朗新材</t>
        </is>
      </c>
      <c r="D146" t="inlineStr">
        <is>
          <t>资金流</t>
        </is>
      </c>
      <c r="E146" t="inlineStr">
        <is>
          <t>optional_missing</t>
        </is>
      </c>
      <c r="F146" t="inlineStr">
        <is>
          <t>快速模式未发现可靠的批量近五个交易日同口径字段，为避免逐股慢请求，本次留空</t>
        </is>
      </c>
      <c r="G146" t="b">
        <v>0</v>
      </c>
      <c r="H146" t="b">
        <v>1</v>
      </c>
      <c r="I146" t="inlineStr">
        <is>
          <t>东方财富</t>
        </is>
      </c>
      <c r="J146" t="inlineStr">
        <is>
          <t>东方财富</t>
        </is>
      </c>
      <c r="K146" t="inlineStr">
        <is>
          <t>fast-mode-no-reliable-batch-endpoint</t>
        </is>
      </c>
      <c r="L146" s="32" t="n">
        <v>46263.26159564944</v>
      </c>
      <c r="M146" t="b">
        <v>1</v>
      </c>
    </row>
    <row r="147">
      <c r="A147" t="inlineStr">
        <is>
          <t>A股</t>
        </is>
      </c>
      <c r="B147" t="inlineStr">
        <is>
          <t>920807</t>
        </is>
      </c>
      <c r="C147" t="inlineStr">
        <is>
          <t>奔朗新材</t>
        </is>
      </c>
      <c r="D147" t="inlineStr">
        <is>
          <t>近五个交易日资金净额</t>
        </is>
      </c>
      <c r="E147" t="inlineStr">
        <is>
          <t>optional_missing</t>
        </is>
      </c>
      <c r="F147" t="inlineStr">
        <is>
          <t>近五个交易日资金净额：optional_missing</t>
        </is>
      </c>
      <c r="G147" t="b">
        <v>0</v>
      </c>
      <c r="H147" t="b">
        <v>1</v>
      </c>
      <c r="M147" t="b">
        <v>0</v>
      </c>
    </row>
    <row r="148">
      <c r="A148" t="inlineStr">
        <is>
          <t>A股</t>
        </is>
      </c>
      <c r="B148" t="inlineStr">
        <is>
          <t>920807</t>
        </is>
      </c>
      <c r="C148" t="inlineStr">
        <is>
          <t>奔朗新材</t>
        </is>
      </c>
      <c r="D148" t="inlineStr">
        <is>
          <t>近一月资金净额（最近22个交易日）</t>
        </is>
      </c>
      <c r="E148" t="inlineStr">
        <is>
          <t>optional_missing</t>
        </is>
      </c>
      <c r="F148" t="inlineStr">
        <is>
          <t>近一月资金净额（最近22个交易日）：optional_missing</t>
        </is>
      </c>
      <c r="G148" t="b">
        <v>0</v>
      </c>
      <c r="H148" t="b">
        <v>1</v>
      </c>
      <c r="M148" t="b">
        <v>0</v>
      </c>
    </row>
    <row r="149">
      <c r="A149" t="inlineStr">
        <is>
          <t>A股</t>
        </is>
      </c>
      <c r="B149" t="inlineStr">
        <is>
          <t>920806</t>
        </is>
      </c>
      <c r="C149" t="inlineStr">
        <is>
          <t>云星宇</t>
        </is>
      </c>
      <c r="D149" t="inlineStr">
        <is>
          <t>资金流</t>
        </is>
      </c>
      <c r="E149" t="inlineStr">
        <is>
          <t>optional_missing</t>
        </is>
      </c>
      <c r="F149" t="inlineStr">
        <is>
          <t>快速模式未发现可靠的批量近五个交易日同口径字段，为避免逐股慢请求，本次留空</t>
        </is>
      </c>
      <c r="G149" t="b">
        <v>0</v>
      </c>
      <c r="H149" t="b">
        <v>1</v>
      </c>
      <c r="I149" t="inlineStr">
        <is>
          <t>东方财富</t>
        </is>
      </c>
      <c r="J149" t="inlineStr">
        <is>
          <t>东方财富</t>
        </is>
      </c>
      <c r="K149" t="inlineStr">
        <is>
          <t>fast-mode-no-reliable-batch-endpoint</t>
        </is>
      </c>
      <c r="L149" s="32" t="n">
        <v>46263.26159565565</v>
      </c>
      <c r="M149" t="b">
        <v>1</v>
      </c>
    </row>
    <row r="150">
      <c r="A150" t="inlineStr">
        <is>
          <t>A股</t>
        </is>
      </c>
      <c r="B150" t="inlineStr">
        <is>
          <t>920806</t>
        </is>
      </c>
      <c r="C150" t="inlineStr">
        <is>
          <t>云星宇</t>
        </is>
      </c>
      <c r="D150" t="inlineStr">
        <is>
          <t>近五个交易日资金净额</t>
        </is>
      </c>
      <c r="E150" t="inlineStr">
        <is>
          <t>optional_missing</t>
        </is>
      </c>
      <c r="F150" t="inlineStr">
        <is>
          <t>近五个交易日资金净额：optional_missing</t>
        </is>
      </c>
      <c r="G150" t="b">
        <v>0</v>
      </c>
      <c r="H150" t="b">
        <v>1</v>
      </c>
      <c r="M150" t="b">
        <v>0</v>
      </c>
    </row>
    <row r="151">
      <c r="A151" t="inlineStr">
        <is>
          <t>A股</t>
        </is>
      </c>
      <c r="B151" t="inlineStr">
        <is>
          <t>920806</t>
        </is>
      </c>
      <c r="C151" t="inlineStr">
        <is>
          <t>云星宇</t>
        </is>
      </c>
      <c r="D151" t="inlineStr">
        <is>
          <t>近一月资金净额（最近22个交易日）</t>
        </is>
      </c>
      <c r="E151" t="inlineStr">
        <is>
          <t>optional_missing</t>
        </is>
      </c>
      <c r="F151" t="inlineStr">
        <is>
          <t>近一月资金净额（最近22个交易日）：optional_missing</t>
        </is>
      </c>
      <c r="G151" t="b">
        <v>0</v>
      </c>
      <c r="H151" t="b">
        <v>1</v>
      </c>
      <c r="M151" t="b">
        <v>0</v>
      </c>
    </row>
    <row r="152">
      <c r="A152" t="inlineStr">
        <is>
          <t>A股</t>
        </is>
      </c>
      <c r="B152" t="inlineStr">
        <is>
          <t>920802</t>
        </is>
      </c>
      <c r="C152" t="inlineStr">
        <is>
          <t>保丽洁</t>
        </is>
      </c>
      <c r="D152" t="inlineStr">
        <is>
          <t>资金流</t>
        </is>
      </c>
      <c r="E152" t="inlineStr">
        <is>
          <t>optional_missing</t>
        </is>
      </c>
      <c r="F152" t="inlineStr">
        <is>
          <t>快速模式未发现可靠的批量近五个交易日同口径字段，为避免逐股慢请求，本次留空</t>
        </is>
      </c>
      <c r="G152" t="b">
        <v>0</v>
      </c>
      <c r="H152" t="b">
        <v>1</v>
      </c>
      <c r="I152" t="inlineStr">
        <is>
          <t>东方财富</t>
        </is>
      </c>
      <c r="J152" t="inlineStr">
        <is>
          <t>东方财富</t>
        </is>
      </c>
      <c r="K152" t="inlineStr">
        <is>
          <t>fast-mode-no-reliable-batch-endpoint</t>
        </is>
      </c>
      <c r="L152" s="32" t="n">
        <v>46263.26159565565</v>
      </c>
      <c r="M152" t="b">
        <v>1</v>
      </c>
    </row>
    <row r="153">
      <c r="A153" t="inlineStr">
        <is>
          <t>A股</t>
        </is>
      </c>
      <c r="B153" t="inlineStr">
        <is>
          <t>920802</t>
        </is>
      </c>
      <c r="C153" t="inlineStr">
        <is>
          <t>保丽洁</t>
        </is>
      </c>
      <c r="D153" t="inlineStr">
        <is>
          <t>近五个交易日资金净额</t>
        </is>
      </c>
      <c r="E153" t="inlineStr">
        <is>
          <t>optional_missing</t>
        </is>
      </c>
      <c r="F153" t="inlineStr">
        <is>
          <t>近五个交易日资金净额：optional_missing</t>
        </is>
      </c>
      <c r="G153" t="b">
        <v>0</v>
      </c>
      <c r="H153" t="b">
        <v>1</v>
      </c>
      <c r="M153" t="b">
        <v>0</v>
      </c>
    </row>
    <row r="154">
      <c r="A154" t="inlineStr">
        <is>
          <t>A股</t>
        </is>
      </c>
      <c r="B154" t="inlineStr">
        <is>
          <t>920802</t>
        </is>
      </c>
      <c r="C154" t="inlineStr">
        <is>
          <t>保丽洁</t>
        </is>
      </c>
      <c r="D154" t="inlineStr">
        <is>
          <t>近一月资金净额（最近22个交易日）</t>
        </is>
      </c>
      <c r="E154" t="inlineStr">
        <is>
          <t>optional_missing</t>
        </is>
      </c>
      <c r="F154" t="inlineStr">
        <is>
          <t>近一月资金净额（最近22个交易日）：optional_missing</t>
        </is>
      </c>
      <c r="G154" t="b">
        <v>0</v>
      </c>
      <c r="H154" t="b">
        <v>1</v>
      </c>
      <c r="M154" t="b">
        <v>0</v>
      </c>
    </row>
    <row r="155">
      <c r="A155" t="inlineStr">
        <is>
          <t>A股</t>
        </is>
      </c>
      <c r="B155" t="inlineStr">
        <is>
          <t>920799</t>
        </is>
      </c>
      <c r="C155" t="inlineStr">
        <is>
          <t>艾融软件</t>
        </is>
      </c>
      <c r="D155" t="inlineStr">
        <is>
          <t>资金流</t>
        </is>
      </c>
      <c r="E155" t="inlineStr">
        <is>
          <t>optional_missing</t>
        </is>
      </c>
      <c r="F155" t="inlineStr">
        <is>
          <t>快速模式未发现可靠的批量近五个交易日同口径字段，为避免逐股慢请求，本次留空</t>
        </is>
      </c>
      <c r="G155" t="b">
        <v>0</v>
      </c>
      <c r="H155" t="b">
        <v>1</v>
      </c>
      <c r="I155" t="inlineStr">
        <is>
          <t>东方财富</t>
        </is>
      </c>
      <c r="J155" t="inlineStr">
        <is>
          <t>东方财富</t>
        </is>
      </c>
      <c r="K155" t="inlineStr">
        <is>
          <t>fast-mode-no-reliable-batch-endpoint</t>
        </is>
      </c>
      <c r="L155" s="32" t="n">
        <v>46263.26159565565</v>
      </c>
      <c r="M155" t="b">
        <v>1</v>
      </c>
    </row>
    <row r="156">
      <c r="A156" t="inlineStr">
        <is>
          <t>A股</t>
        </is>
      </c>
      <c r="B156" t="inlineStr">
        <is>
          <t>920799</t>
        </is>
      </c>
      <c r="C156" t="inlineStr">
        <is>
          <t>艾融软件</t>
        </is>
      </c>
      <c r="D156" t="inlineStr">
        <is>
          <t>近五个交易日资金净额</t>
        </is>
      </c>
      <c r="E156" t="inlineStr">
        <is>
          <t>optional_missing</t>
        </is>
      </c>
      <c r="F156" t="inlineStr">
        <is>
          <t>近五个交易日资金净额：optional_missing</t>
        </is>
      </c>
      <c r="G156" t="b">
        <v>0</v>
      </c>
      <c r="H156" t="b">
        <v>1</v>
      </c>
      <c r="M156" t="b">
        <v>0</v>
      </c>
    </row>
    <row r="157">
      <c r="A157" t="inlineStr">
        <is>
          <t>A股</t>
        </is>
      </c>
      <c r="B157" t="inlineStr">
        <is>
          <t>920799</t>
        </is>
      </c>
      <c r="C157" t="inlineStr">
        <is>
          <t>艾融软件</t>
        </is>
      </c>
      <c r="D157" t="inlineStr">
        <is>
          <t>近一月资金净额（最近22个交易日）</t>
        </is>
      </c>
      <c r="E157" t="inlineStr">
        <is>
          <t>optional_missing</t>
        </is>
      </c>
      <c r="F157" t="inlineStr">
        <is>
          <t>近一月资金净额（最近22个交易日）：optional_missing</t>
        </is>
      </c>
      <c r="G157" t="b">
        <v>0</v>
      </c>
      <c r="H157" t="b">
        <v>1</v>
      </c>
      <c r="M157" t="b">
        <v>0</v>
      </c>
    </row>
    <row r="158">
      <c r="A158" t="inlineStr">
        <is>
          <t>A股</t>
        </is>
      </c>
      <c r="B158" t="inlineStr">
        <is>
          <t>920792</t>
        </is>
      </c>
      <c r="C158" t="inlineStr">
        <is>
          <t>东和新材</t>
        </is>
      </c>
      <c r="D158" t="inlineStr">
        <is>
          <t>资金流</t>
        </is>
      </c>
      <c r="E158" t="inlineStr">
        <is>
          <t>optional_missing</t>
        </is>
      </c>
      <c r="F158" t="inlineStr">
        <is>
          <t>快速模式未发现可靠的批量近五个交易日同口径字段，为避免逐股慢请求，本次留空</t>
        </is>
      </c>
      <c r="G158" t="b">
        <v>0</v>
      </c>
      <c r="H158" t="b">
        <v>1</v>
      </c>
      <c r="I158" t="inlineStr">
        <is>
          <t>东方财富</t>
        </is>
      </c>
      <c r="J158" t="inlineStr">
        <is>
          <t>东方财富</t>
        </is>
      </c>
      <c r="K158" t="inlineStr">
        <is>
          <t>fast-mode-no-reliable-batch-endpoint</t>
        </is>
      </c>
      <c r="L158" s="32" t="n">
        <v>46263.26159565565</v>
      </c>
      <c r="M158" t="b">
        <v>1</v>
      </c>
    </row>
    <row r="159">
      <c r="A159" t="inlineStr">
        <is>
          <t>A股</t>
        </is>
      </c>
      <c r="B159" t="inlineStr">
        <is>
          <t>920792</t>
        </is>
      </c>
      <c r="C159" t="inlineStr">
        <is>
          <t>东和新材</t>
        </is>
      </c>
      <c r="D159" t="inlineStr">
        <is>
          <t>近五个交易日资金净额</t>
        </is>
      </c>
      <c r="E159" t="inlineStr">
        <is>
          <t>optional_missing</t>
        </is>
      </c>
      <c r="F159" t="inlineStr">
        <is>
          <t>近五个交易日资金净额：optional_missing</t>
        </is>
      </c>
      <c r="G159" t="b">
        <v>0</v>
      </c>
      <c r="H159" t="b">
        <v>1</v>
      </c>
      <c r="M159" t="b">
        <v>0</v>
      </c>
    </row>
    <row r="160">
      <c r="A160" t="inlineStr">
        <is>
          <t>A股</t>
        </is>
      </c>
      <c r="B160" t="inlineStr">
        <is>
          <t>920792</t>
        </is>
      </c>
      <c r="C160" t="inlineStr">
        <is>
          <t>东和新材</t>
        </is>
      </c>
      <c r="D160" t="inlineStr">
        <is>
          <t>近一月资金净额（最近22个交易日）</t>
        </is>
      </c>
      <c r="E160" t="inlineStr">
        <is>
          <t>optional_missing</t>
        </is>
      </c>
      <c r="F160" t="inlineStr">
        <is>
          <t>近一月资金净额（最近22个交易日）：optional_missing</t>
        </is>
      </c>
      <c r="G160" t="b">
        <v>0</v>
      </c>
      <c r="H160" t="b">
        <v>1</v>
      </c>
      <c r="M160" t="b">
        <v>0</v>
      </c>
    </row>
    <row r="161">
      <c r="A161" t="inlineStr">
        <is>
          <t>A股</t>
        </is>
      </c>
      <c r="B161" t="inlineStr">
        <is>
          <t>920790</t>
        </is>
      </c>
      <c r="C161" t="inlineStr">
        <is>
          <t>联迪信息</t>
        </is>
      </c>
      <c r="D161" t="inlineStr">
        <is>
          <t>资金流</t>
        </is>
      </c>
      <c r="E161" t="inlineStr">
        <is>
          <t>optional_missing</t>
        </is>
      </c>
      <c r="F161" t="inlineStr">
        <is>
          <t>快速模式未发现可靠的批量近五个交易日同口径字段，为避免逐股慢请求，本次留空</t>
        </is>
      </c>
      <c r="G161" t="b">
        <v>0</v>
      </c>
      <c r="H161" t="b">
        <v>1</v>
      </c>
      <c r="I161" t="inlineStr">
        <is>
          <t>东方财富</t>
        </is>
      </c>
      <c r="J161" t="inlineStr">
        <is>
          <t>东方财富</t>
        </is>
      </c>
      <c r="K161" t="inlineStr">
        <is>
          <t>fast-mode-no-reliable-batch-endpoint</t>
        </is>
      </c>
      <c r="L161" s="32" t="n">
        <v>46263.26159565565</v>
      </c>
      <c r="M161" t="b">
        <v>1</v>
      </c>
    </row>
    <row r="162">
      <c r="A162" t="inlineStr">
        <is>
          <t>A股</t>
        </is>
      </c>
      <c r="B162" t="inlineStr">
        <is>
          <t>920790</t>
        </is>
      </c>
      <c r="C162" t="inlineStr">
        <is>
          <t>联迪信息</t>
        </is>
      </c>
      <c r="D162" t="inlineStr">
        <is>
          <t>近五个交易日资金净额</t>
        </is>
      </c>
      <c r="E162" t="inlineStr">
        <is>
          <t>optional_missing</t>
        </is>
      </c>
      <c r="F162" t="inlineStr">
        <is>
          <t>近五个交易日资金净额：optional_missing</t>
        </is>
      </c>
      <c r="G162" t="b">
        <v>0</v>
      </c>
      <c r="H162" t="b">
        <v>1</v>
      </c>
      <c r="M162" t="b">
        <v>0</v>
      </c>
    </row>
    <row r="163">
      <c r="A163" t="inlineStr">
        <is>
          <t>A股</t>
        </is>
      </c>
      <c r="B163" t="inlineStr">
        <is>
          <t>920790</t>
        </is>
      </c>
      <c r="C163" t="inlineStr">
        <is>
          <t>联迪信息</t>
        </is>
      </c>
      <c r="D163" t="inlineStr">
        <is>
          <t>近一月资金净额（最近22个交易日）</t>
        </is>
      </c>
      <c r="E163" t="inlineStr">
        <is>
          <t>optional_missing</t>
        </is>
      </c>
      <c r="F163" t="inlineStr">
        <is>
          <t>近一月资金净额（最近22个交易日）：optional_missing</t>
        </is>
      </c>
      <c r="G163" t="b">
        <v>0</v>
      </c>
      <c r="H163" t="b">
        <v>1</v>
      </c>
      <c r="M163" t="b">
        <v>0</v>
      </c>
    </row>
    <row r="164">
      <c r="A164" t="inlineStr">
        <is>
          <t>A股</t>
        </is>
      </c>
      <c r="B164" t="inlineStr">
        <is>
          <t>920786</t>
        </is>
      </c>
      <c r="C164" t="inlineStr">
        <is>
          <t>骑士乳业</t>
        </is>
      </c>
      <c r="D164" t="inlineStr">
        <is>
          <t>资金流</t>
        </is>
      </c>
      <c r="E164" t="inlineStr">
        <is>
          <t>optional_missing</t>
        </is>
      </c>
      <c r="F164" t="inlineStr">
        <is>
          <t>快速模式未发现可靠的批量近五个交易日同口径字段，为避免逐股慢请求，本次留空</t>
        </is>
      </c>
      <c r="G164" t="b">
        <v>0</v>
      </c>
      <c r="H164" t="b">
        <v>1</v>
      </c>
      <c r="I164" t="inlineStr">
        <is>
          <t>东方财富</t>
        </is>
      </c>
      <c r="J164" t="inlineStr">
        <is>
          <t>东方财富</t>
        </is>
      </c>
      <c r="K164" t="inlineStr">
        <is>
          <t>fast-mode-no-reliable-batch-endpoint</t>
        </is>
      </c>
      <c r="L164" s="32" t="n">
        <v>46263.26159565565</v>
      </c>
      <c r="M164" t="b">
        <v>1</v>
      </c>
    </row>
    <row r="165">
      <c r="A165" t="inlineStr">
        <is>
          <t>A股</t>
        </is>
      </c>
      <c r="B165" t="inlineStr">
        <is>
          <t>920786</t>
        </is>
      </c>
      <c r="C165" t="inlineStr">
        <is>
          <t>骑士乳业</t>
        </is>
      </c>
      <c r="D165" t="inlineStr">
        <is>
          <t>近五个交易日资金净额</t>
        </is>
      </c>
      <c r="E165" t="inlineStr">
        <is>
          <t>optional_missing</t>
        </is>
      </c>
      <c r="F165" t="inlineStr">
        <is>
          <t>近五个交易日资金净额：optional_missing</t>
        </is>
      </c>
      <c r="G165" t="b">
        <v>0</v>
      </c>
      <c r="H165" t="b">
        <v>1</v>
      </c>
      <c r="M165" t="b">
        <v>0</v>
      </c>
    </row>
    <row r="166">
      <c r="A166" t="inlineStr">
        <is>
          <t>A股</t>
        </is>
      </c>
      <c r="B166" t="inlineStr">
        <is>
          <t>920786</t>
        </is>
      </c>
      <c r="C166" t="inlineStr">
        <is>
          <t>骑士乳业</t>
        </is>
      </c>
      <c r="D166" t="inlineStr">
        <is>
          <t>近一月资金净额（最近22个交易日）</t>
        </is>
      </c>
      <c r="E166" t="inlineStr">
        <is>
          <t>optional_missing</t>
        </is>
      </c>
      <c r="F166" t="inlineStr">
        <is>
          <t>近一月资金净额（最近22个交易日）：optional_missing</t>
        </is>
      </c>
      <c r="G166" t="b">
        <v>0</v>
      </c>
      <c r="H166" t="b">
        <v>1</v>
      </c>
      <c r="M166" t="b">
        <v>0</v>
      </c>
    </row>
    <row r="167">
      <c r="A167" t="inlineStr">
        <is>
          <t>A股</t>
        </is>
      </c>
      <c r="B167" t="inlineStr">
        <is>
          <t>920781</t>
        </is>
      </c>
      <c r="C167" t="inlineStr">
        <is>
          <t>瑞奇智造</t>
        </is>
      </c>
      <c r="D167" t="inlineStr">
        <is>
          <t>资金流</t>
        </is>
      </c>
      <c r="E167" t="inlineStr">
        <is>
          <t>optional_missing</t>
        </is>
      </c>
      <c r="F167" t="inlineStr">
        <is>
          <t>快速模式未发现可靠的批量近五个交易日同口径字段，为避免逐股慢请求，本次留空</t>
        </is>
      </c>
      <c r="G167" t="b">
        <v>0</v>
      </c>
      <c r="H167" t="b">
        <v>1</v>
      </c>
      <c r="I167" t="inlineStr">
        <is>
          <t>东方财富</t>
        </is>
      </c>
      <c r="J167" t="inlineStr">
        <is>
          <t>东方财富</t>
        </is>
      </c>
      <c r="K167" t="inlineStr">
        <is>
          <t>fast-mode-no-reliable-batch-endpoint</t>
        </is>
      </c>
      <c r="L167" s="32" t="n">
        <v>46263.26159565565</v>
      </c>
      <c r="M167" t="b">
        <v>1</v>
      </c>
    </row>
    <row r="168">
      <c r="A168" t="inlineStr">
        <is>
          <t>A股</t>
        </is>
      </c>
      <c r="B168" t="inlineStr">
        <is>
          <t>920781</t>
        </is>
      </c>
      <c r="C168" t="inlineStr">
        <is>
          <t>瑞奇智造</t>
        </is>
      </c>
      <c r="D168" t="inlineStr">
        <is>
          <t>近五个交易日资金净额</t>
        </is>
      </c>
      <c r="E168" t="inlineStr">
        <is>
          <t>optional_missing</t>
        </is>
      </c>
      <c r="F168" t="inlineStr">
        <is>
          <t>近五个交易日资金净额：optional_missing</t>
        </is>
      </c>
      <c r="G168" t="b">
        <v>0</v>
      </c>
      <c r="H168" t="b">
        <v>1</v>
      </c>
      <c r="M168" t="b">
        <v>0</v>
      </c>
    </row>
    <row r="169">
      <c r="A169" t="inlineStr">
        <is>
          <t>A股</t>
        </is>
      </c>
      <c r="B169" t="inlineStr">
        <is>
          <t>920781</t>
        </is>
      </c>
      <c r="C169" t="inlineStr">
        <is>
          <t>瑞奇智造</t>
        </is>
      </c>
      <c r="D169" t="inlineStr">
        <is>
          <t>近一月资金净额（最近22个交易日）</t>
        </is>
      </c>
      <c r="E169" t="inlineStr">
        <is>
          <t>optional_missing</t>
        </is>
      </c>
      <c r="F169" t="inlineStr">
        <is>
          <t>近一月资金净额（最近22个交易日）：optional_missing</t>
        </is>
      </c>
      <c r="G169" t="b">
        <v>0</v>
      </c>
      <c r="H169" t="b">
        <v>1</v>
      </c>
      <c r="M169" t="b">
        <v>0</v>
      </c>
    </row>
    <row r="170">
      <c r="A170" t="inlineStr">
        <is>
          <t>A股</t>
        </is>
      </c>
      <c r="B170" t="inlineStr">
        <is>
          <t>920779</t>
        </is>
      </c>
      <c r="C170" t="inlineStr">
        <is>
          <t>武汉蓝电</t>
        </is>
      </c>
      <c r="D170" t="inlineStr">
        <is>
          <t>资金流</t>
        </is>
      </c>
      <c r="E170" t="inlineStr">
        <is>
          <t>optional_missing</t>
        </is>
      </c>
      <c r="F170" t="inlineStr">
        <is>
          <t>快速模式未发现可靠的批量近五个交易日同口径字段，为避免逐股慢请求，本次留空</t>
        </is>
      </c>
      <c r="G170" t="b">
        <v>0</v>
      </c>
      <c r="H170" t="b">
        <v>1</v>
      </c>
      <c r="I170" t="inlineStr">
        <is>
          <t>东方财富</t>
        </is>
      </c>
      <c r="J170" t="inlineStr">
        <is>
          <t>东方财富</t>
        </is>
      </c>
      <c r="K170" t="inlineStr">
        <is>
          <t>fast-mode-no-reliable-batch-endpoint</t>
        </is>
      </c>
      <c r="L170" s="32" t="n">
        <v>46263.26159565565</v>
      </c>
      <c r="M170" t="b">
        <v>1</v>
      </c>
    </row>
    <row r="171">
      <c r="A171" t="inlineStr">
        <is>
          <t>A股</t>
        </is>
      </c>
      <c r="B171" t="inlineStr">
        <is>
          <t>920779</t>
        </is>
      </c>
      <c r="C171" t="inlineStr">
        <is>
          <t>武汉蓝电</t>
        </is>
      </c>
      <c r="D171" t="inlineStr">
        <is>
          <t>近五个交易日资金净额</t>
        </is>
      </c>
      <c r="E171" t="inlineStr">
        <is>
          <t>optional_missing</t>
        </is>
      </c>
      <c r="F171" t="inlineStr">
        <is>
          <t>近五个交易日资金净额：optional_missing</t>
        </is>
      </c>
      <c r="G171" t="b">
        <v>0</v>
      </c>
      <c r="H171" t="b">
        <v>1</v>
      </c>
      <c r="M171" t="b">
        <v>0</v>
      </c>
    </row>
    <row r="172">
      <c r="A172" t="inlineStr">
        <is>
          <t>A股</t>
        </is>
      </c>
      <c r="B172" t="inlineStr">
        <is>
          <t>920779</t>
        </is>
      </c>
      <c r="C172" t="inlineStr">
        <is>
          <t>武汉蓝电</t>
        </is>
      </c>
      <c r="D172" t="inlineStr">
        <is>
          <t>近一月资金净额（最近22个交易日）</t>
        </is>
      </c>
      <c r="E172" t="inlineStr">
        <is>
          <t>optional_missing</t>
        </is>
      </c>
      <c r="F172" t="inlineStr">
        <is>
          <t>近一月资金净额（最近22个交易日）：optional_missing</t>
        </is>
      </c>
      <c r="G172" t="b">
        <v>0</v>
      </c>
      <c r="H172" t="b">
        <v>1</v>
      </c>
      <c r="M172" t="b">
        <v>0</v>
      </c>
    </row>
    <row r="173">
      <c r="A173" t="inlineStr">
        <is>
          <t>A股</t>
        </is>
      </c>
      <c r="B173" t="inlineStr">
        <is>
          <t>920770</t>
        </is>
      </c>
      <c r="C173" t="inlineStr">
        <is>
          <t>艾能聚</t>
        </is>
      </c>
      <c r="D173" t="inlineStr">
        <is>
          <t>资金流</t>
        </is>
      </c>
      <c r="E173" t="inlineStr">
        <is>
          <t>optional_missing</t>
        </is>
      </c>
      <c r="F173" t="inlineStr">
        <is>
          <t>快速模式未发现可靠的批量近五个交易日同口径字段，为避免逐股慢请求，本次留空</t>
        </is>
      </c>
      <c r="G173" t="b">
        <v>0</v>
      </c>
      <c r="H173" t="b">
        <v>1</v>
      </c>
      <c r="I173" t="inlineStr">
        <is>
          <t>东方财富</t>
        </is>
      </c>
      <c r="J173" t="inlineStr">
        <is>
          <t>东方财富</t>
        </is>
      </c>
      <c r="K173" t="inlineStr">
        <is>
          <t>fast-mode-no-reliable-batch-endpoint</t>
        </is>
      </c>
      <c r="L173" s="32" t="n">
        <v>46263.26159565565</v>
      </c>
      <c r="M173" t="b">
        <v>1</v>
      </c>
    </row>
    <row r="174">
      <c r="A174" t="inlineStr">
        <is>
          <t>A股</t>
        </is>
      </c>
      <c r="B174" t="inlineStr">
        <is>
          <t>920770</t>
        </is>
      </c>
      <c r="C174" t="inlineStr">
        <is>
          <t>艾能聚</t>
        </is>
      </c>
      <c r="D174" t="inlineStr">
        <is>
          <t>近五个交易日资金净额</t>
        </is>
      </c>
      <c r="E174" t="inlineStr">
        <is>
          <t>optional_missing</t>
        </is>
      </c>
      <c r="F174" t="inlineStr">
        <is>
          <t>近五个交易日资金净额：optional_missing</t>
        </is>
      </c>
      <c r="G174" t="b">
        <v>0</v>
      </c>
      <c r="H174" t="b">
        <v>1</v>
      </c>
      <c r="M174" t="b">
        <v>0</v>
      </c>
    </row>
    <row r="175">
      <c r="A175" t="inlineStr">
        <is>
          <t>A股</t>
        </is>
      </c>
      <c r="B175" t="inlineStr">
        <is>
          <t>920770</t>
        </is>
      </c>
      <c r="C175" t="inlineStr">
        <is>
          <t>艾能聚</t>
        </is>
      </c>
      <c r="D175" t="inlineStr">
        <is>
          <t>近一月资金净额（最近22个交易日）</t>
        </is>
      </c>
      <c r="E175" t="inlineStr">
        <is>
          <t>optional_missing</t>
        </is>
      </c>
      <c r="F175" t="inlineStr">
        <is>
          <t>近一月资金净额（最近22个交易日）：optional_missing</t>
        </is>
      </c>
      <c r="G175" t="b">
        <v>0</v>
      </c>
      <c r="H175" t="b">
        <v>1</v>
      </c>
      <c r="M175" t="b">
        <v>0</v>
      </c>
    </row>
    <row r="176">
      <c r="A176" t="inlineStr">
        <is>
          <t>A股</t>
        </is>
      </c>
      <c r="B176" t="inlineStr">
        <is>
          <t>920768</t>
        </is>
      </c>
      <c r="C176" t="inlineStr">
        <is>
          <t>拾比佰</t>
        </is>
      </c>
      <c r="D176" t="inlineStr">
        <is>
          <t>资金流</t>
        </is>
      </c>
      <c r="E176" t="inlineStr">
        <is>
          <t>optional_missing</t>
        </is>
      </c>
      <c r="F176" t="inlineStr">
        <is>
          <t>快速模式未发现可靠的批量近五个交易日同口径字段，为避免逐股慢请求，本次留空</t>
        </is>
      </c>
      <c r="G176" t="b">
        <v>0</v>
      </c>
      <c r="H176" t="b">
        <v>1</v>
      </c>
      <c r="I176" t="inlineStr">
        <is>
          <t>东方财富</t>
        </is>
      </c>
      <c r="J176" t="inlineStr">
        <is>
          <t>东方财富</t>
        </is>
      </c>
      <c r="K176" t="inlineStr">
        <is>
          <t>fast-mode-no-reliable-batch-endpoint</t>
        </is>
      </c>
      <c r="L176" s="32" t="n">
        <v>46263.26159565565</v>
      </c>
      <c r="M176" t="b">
        <v>1</v>
      </c>
    </row>
    <row r="177">
      <c r="A177" t="inlineStr">
        <is>
          <t>A股</t>
        </is>
      </c>
      <c r="B177" t="inlineStr">
        <is>
          <t>920768</t>
        </is>
      </c>
      <c r="C177" t="inlineStr">
        <is>
          <t>拾比佰</t>
        </is>
      </c>
      <c r="D177" t="inlineStr">
        <is>
          <t>近五个交易日资金净额</t>
        </is>
      </c>
      <c r="E177" t="inlineStr">
        <is>
          <t>optional_missing</t>
        </is>
      </c>
      <c r="F177" t="inlineStr">
        <is>
          <t>近五个交易日资金净额：optional_missing</t>
        </is>
      </c>
      <c r="G177" t="b">
        <v>0</v>
      </c>
      <c r="H177" t="b">
        <v>1</v>
      </c>
      <c r="M177" t="b">
        <v>0</v>
      </c>
    </row>
    <row r="178">
      <c r="A178" t="inlineStr">
        <is>
          <t>A股</t>
        </is>
      </c>
      <c r="B178" t="inlineStr">
        <is>
          <t>920768</t>
        </is>
      </c>
      <c r="C178" t="inlineStr">
        <is>
          <t>拾比佰</t>
        </is>
      </c>
      <c r="D178" t="inlineStr">
        <is>
          <t>近一月资金净额（最近22个交易日）</t>
        </is>
      </c>
      <c r="E178" t="inlineStr">
        <is>
          <t>optional_missing</t>
        </is>
      </c>
      <c r="F178" t="inlineStr">
        <is>
          <t>近一月资金净额（最近22个交易日）：optional_missing</t>
        </is>
      </c>
      <c r="G178" t="b">
        <v>0</v>
      </c>
      <c r="H178" t="b">
        <v>1</v>
      </c>
      <c r="M178" t="b">
        <v>0</v>
      </c>
    </row>
    <row r="179">
      <c r="A179" t="inlineStr">
        <is>
          <t>A股</t>
        </is>
      </c>
      <c r="B179" t="inlineStr">
        <is>
          <t>920765</t>
        </is>
      </c>
      <c r="C179" t="inlineStr">
        <is>
          <t>美之高</t>
        </is>
      </c>
      <c r="D179" t="inlineStr">
        <is>
          <t>资金流</t>
        </is>
      </c>
      <c r="E179" t="inlineStr">
        <is>
          <t>optional_missing</t>
        </is>
      </c>
      <c r="F179" t="inlineStr">
        <is>
          <t>快速模式未发现可靠的批量近五个交易日同口径字段，为避免逐股慢请求，本次留空</t>
        </is>
      </c>
      <c r="G179" t="b">
        <v>0</v>
      </c>
      <c r="H179" t="b">
        <v>1</v>
      </c>
      <c r="I179" t="inlineStr">
        <is>
          <t>东方财富</t>
        </is>
      </c>
      <c r="J179" t="inlineStr">
        <is>
          <t>东方财富</t>
        </is>
      </c>
      <c r="K179" t="inlineStr">
        <is>
          <t>fast-mode-no-reliable-batch-endpoint</t>
        </is>
      </c>
      <c r="L179" s="32" t="n">
        <v>46263.26159565565</v>
      </c>
      <c r="M179" t="b">
        <v>1</v>
      </c>
    </row>
    <row r="180">
      <c r="A180" t="inlineStr">
        <is>
          <t>A股</t>
        </is>
      </c>
      <c r="B180" t="inlineStr">
        <is>
          <t>920765</t>
        </is>
      </c>
      <c r="C180" t="inlineStr">
        <is>
          <t>美之高</t>
        </is>
      </c>
      <c r="D180" t="inlineStr">
        <is>
          <t>近五个交易日资金净额</t>
        </is>
      </c>
      <c r="E180" t="inlineStr">
        <is>
          <t>optional_missing</t>
        </is>
      </c>
      <c r="F180" t="inlineStr">
        <is>
          <t>近五个交易日资金净额：optional_missing</t>
        </is>
      </c>
      <c r="G180" t="b">
        <v>0</v>
      </c>
      <c r="H180" t="b">
        <v>1</v>
      </c>
      <c r="M180" t="b">
        <v>0</v>
      </c>
    </row>
    <row r="181">
      <c r="A181" t="inlineStr">
        <is>
          <t>A股</t>
        </is>
      </c>
      <c r="B181" t="inlineStr">
        <is>
          <t>920765</t>
        </is>
      </c>
      <c r="C181" t="inlineStr">
        <is>
          <t>美之高</t>
        </is>
      </c>
      <c r="D181" t="inlineStr">
        <is>
          <t>近一月资金净额（最近22个交易日）</t>
        </is>
      </c>
      <c r="E181" t="inlineStr">
        <is>
          <t>optional_missing</t>
        </is>
      </c>
      <c r="F181" t="inlineStr">
        <is>
          <t>近一月资金净额（最近22个交易日）：optional_missing</t>
        </is>
      </c>
      <c r="G181" t="b">
        <v>0</v>
      </c>
      <c r="H181" t="b">
        <v>1</v>
      </c>
      <c r="M181" t="b">
        <v>0</v>
      </c>
    </row>
    <row r="182">
      <c r="A182" t="inlineStr">
        <is>
          <t>A股</t>
        </is>
      </c>
      <c r="B182" t="inlineStr">
        <is>
          <t>920753</t>
        </is>
      </c>
      <c r="C182" t="inlineStr">
        <is>
          <t>天纺标</t>
        </is>
      </c>
      <c r="D182" t="inlineStr">
        <is>
          <t>资金流</t>
        </is>
      </c>
      <c r="E182" t="inlineStr">
        <is>
          <t>optional_missing</t>
        </is>
      </c>
      <c r="F182" t="inlineStr">
        <is>
          <t>快速模式未发现可靠的批量近五个交易日同口径字段，为避免逐股慢请求，本次留空</t>
        </is>
      </c>
      <c r="G182" t="b">
        <v>0</v>
      </c>
      <c r="H182" t="b">
        <v>1</v>
      </c>
      <c r="I182" t="inlineStr">
        <is>
          <t>东方财富</t>
        </is>
      </c>
      <c r="J182" t="inlineStr">
        <is>
          <t>东方财富</t>
        </is>
      </c>
      <c r="K182" t="inlineStr">
        <is>
          <t>fast-mode-no-reliable-batch-endpoint</t>
        </is>
      </c>
      <c r="L182" s="32" t="n">
        <v>46263.26159565565</v>
      </c>
      <c r="M182" t="b">
        <v>1</v>
      </c>
    </row>
    <row r="183">
      <c r="A183" t="inlineStr">
        <is>
          <t>A股</t>
        </is>
      </c>
      <c r="B183" t="inlineStr">
        <is>
          <t>920753</t>
        </is>
      </c>
      <c r="C183" t="inlineStr">
        <is>
          <t>天纺标</t>
        </is>
      </c>
      <c r="D183" t="inlineStr">
        <is>
          <t>近五个交易日资金净额</t>
        </is>
      </c>
      <c r="E183" t="inlineStr">
        <is>
          <t>optional_missing</t>
        </is>
      </c>
      <c r="F183" t="inlineStr">
        <is>
          <t>近五个交易日资金净额：optional_missing</t>
        </is>
      </c>
      <c r="G183" t="b">
        <v>0</v>
      </c>
      <c r="H183" t="b">
        <v>1</v>
      </c>
      <c r="M183" t="b">
        <v>0</v>
      </c>
    </row>
    <row r="184">
      <c r="A184" t="inlineStr">
        <is>
          <t>A股</t>
        </is>
      </c>
      <c r="B184" t="inlineStr">
        <is>
          <t>920753</t>
        </is>
      </c>
      <c r="C184" t="inlineStr">
        <is>
          <t>天纺标</t>
        </is>
      </c>
      <c r="D184" t="inlineStr">
        <is>
          <t>近一月资金净额（最近22个交易日）</t>
        </is>
      </c>
      <c r="E184" t="inlineStr">
        <is>
          <t>optional_missing</t>
        </is>
      </c>
      <c r="F184" t="inlineStr">
        <is>
          <t>近一月资金净额（最近22个交易日）：optional_missing</t>
        </is>
      </c>
      <c r="G184" t="b">
        <v>0</v>
      </c>
      <c r="H184" t="b">
        <v>1</v>
      </c>
      <c r="M184" t="b">
        <v>0</v>
      </c>
    </row>
    <row r="185">
      <c r="A185" t="inlineStr">
        <is>
          <t>A股</t>
        </is>
      </c>
      <c r="B185" t="inlineStr">
        <is>
          <t>920751</t>
        </is>
      </c>
      <c r="C185" t="inlineStr">
        <is>
          <t>惠同新材</t>
        </is>
      </c>
      <c r="D185" t="inlineStr">
        <is>
          <t>资金流</t>
        </is>
      </c>
      <c r="E185" t="inlineStr">
        <is>
          <t>optional_missing</t>
        </is>
      </c>
      <c r="F185" t="inlineStr">
        <is>
          <t>快速模式未发现可靠的批量近五个交易日同口径字段，为避免逐股慢请求，本次留空</t>
        </is>
      </c>
      <c r="G185" t="b">
        <v>0</v>
      </c>
      <c r="H185" t="b">
        <v>1</v>
      </c>
      <c r="I185" t="inlineStr">
        <is>
          <t>东方财富</t>
        </is>
      </c>
      <c r="J185" t="inlineStr">
        <is>
          <t>东方财富</t>
        </is>
      </c>
      <c r="K185" t="inlineStr">
        <is>
          <t>fast-mode-no-reliable-batch-endpoint</t>
        </is>
      </c>
      <c r="L185" s="32" t="n">
        <v>46263.26159565565</v>
      </c>
      <c r="M185" t="b">
        <v>1</v>
      </c>
    </row>
    <row r="186">
      <c r="A186" t="inlineStr">
        <is>
          <t>A股</t>
        </is>
      </c>
      <c r="B186" t="inlineStr">
        <is>
          <t>920751</t>
        </is>
      </c>
      <c r="C186" t="inlineStr">
        <is>
          <t>惠同新材</t>
        </is>
      </c>
      <c r="D186" t="inlineStr">
        <is>
          <t>近五个交易日资金净额</t>
        </is>
      </c>
      <c r="E186" t="inlineStr">
        <is>
          <t>optional_missing</t>
        </is>
      </c>
      <c r="F186" t="inlineStr">
        <is>
          <t>近五个交易日资金净额：optional_missing</t>
        </is>
      </c>
      <c r="G186" t="b">
        <v>0</v>
      </c>
      <c r="H186" t="b">
        <v>1</v>
      </c>
      <c r="M186" t="b">
        <v>0</v>
      </c>
    </row>
    <row r="187">
      <c r="A187" t="inlineStr">
        <is>
          <t>A股</t>
        </is>
      </c>
      <c r="B187" t="inlineStr">
        <is>
          <t>920751</t>
        </is>
      </c>
      <c r="C187" t="inlineStr">
        <is>
          <t>惠同新材</t>
        </is>
      </c>
      <c r="D187" t="inlineStr">
        <is>
          <t>近一月资金净额（最近22个交易日）</t>
        </is>
      </c>
      <c r="E187" t="inlineStr">
        <is>
          <t>optional_missing</t>
        </is>
      </c>
      <c r="F187" t="inlineStr">
        <is>
          <t>近一月资金净额（最近22个交易日）：optional_missing</t>
        </is>
      </c>
      <c r="G187" t="b">
        <v>0</v>
      </c>
      <c r="H187" t="b">
        <v>1</v>
      </c>
      <c r="M187" t="b">
        <v>0</v>
      </c>
    </row>
    <row r="188">
      <c r="A188" t="inlineStr">
        <is>
          <t>A股</t>
        </is>
      </c>
      <c r="B188" t="inlineStr">
        <is>
          <t>920748</t>
        </is>
      </c>
      <c r="C188" t="inlineStr">
        <is>
          <t>路桥信息</t>
        </is>
      </c>
      <c r="D188" t="inlineStr">
        <is>
          <t>资金流</t>
        </is>
      </c>
      <c r="E188" t="inlineStr">
        <is>
          <t>optional_missing</t>
        </is>
      </c>
      <c r="F188" t="inlineStr">
        <is>
          <t>快速模式未发现可靠的批量近五个交易日同口径字段，为避免逐股慢请求，本次留空</t>
        </is>
      </c>
      <c r="G188" t="b">
        <v>0</v>
      </c>
      <c r="H188" t="b">
        <v>1</v>
      </c>
      <c r="I188" t="inlineStr">
        <is>
          <t>东方财富</t>
        </is>
      </c>
      <c r="J188" t="inlineStr">
        <is>
          <t>东方财富</t>
        </is>
      </c>
      <c r="K188" t="inlineStr">
        <is>
          <t>fast-mode-no-reliable-batch-endpoint</t>
        </is>
      </c>
      <c r="L188" s="32" t="n">
        <v>46263.26159565565</v>
      </c>
      <c r="M188" t="b">
        <v>1</v>
      </c>
    </row>
    <row r="189">
      <c r="A189" t="inlineStr">
        <is>
          <t>A股</t>
        </is>
      </c>
      <c r="B189" t="inlineStr">
        <is>
          <t>920748</t>
        </is>
      </c>
      <c r="C189" t="inlineStr">
        <is>
          <t>路桥信息</t>
        </is>
      </c>
      <c r="D189" t="inlineStr">
        <is>
          <t>近五个交易日资金净额</t>
        </is>
      </c>
      <c r="E189" t="inlineStr">
        <is>
          <t>optional_missing</t>
        </is>
      </c>
      <c r="F189" t="inlineStr">
        <is>
          <t>近五个交易日资金净额：optional_missing</t>
        </is>
      </c>
      <c r="G189" t="b">
        <v>0</v>
      </c>
      <c r="H189" t="b">
        <v>1</v>
      </c>
      <c r="M189" t="b">
        <v>0</v>
      </c>
    </row>
    <row r="190">
      <c r="A190" t="inlineStr">
        <is>
          <t>A股</t>
        </is>
      </c>
      <c r="B190" t="inlineStr">
        <is>
          <t>920748</t>
        </is>
      </c>
      <c r="C190" t="inlineStr">
        <is>
          <t>路桥信息</t>
        </is>
      </c>
      <c r="D190" t="inlineStr">
        <is>
          <t>近一月资金净额（最近22个交易日）</t>
        </is>
      </c>
      <c r="E190" t="inlineStr">
        <is>
          <t>optional_missing</t>
        </is>
      </c>
      <c r="F190" t="inlineStr">
        <is>
          <t>近一月资金净额（最近22个交易日）：optional_missing</t>
        </is>
      </c>
      <c r="G190" t="b">
        <v>0</v>
      </c>
      <c r="H190" t="b">
        <v>1</v>
      </c>
      <c r="M190" t="b">
        <v>0</v>
      </c>
    </row>
    <row r="191">
      <c r="A191" t="inlineStr">
        <is>
          <t>A股</t>
        </is>
      </c>
      <c r="B191" t="inlineStr">
        <is>
          <t>920735</t>
        </is>
      </c>
      <c r="C191" t="inlineStr">
        <is>
          <t>德源药业</t>
        </is>
      </c>
      <c r="D191" t="inlineStr">
        <is>
          <t>资金流</t>
        </is>
      </c>
      <c r="E191" t="inlineStr">
        <is>
          <t>optional_missing</t>
        </is>
      </c>
      <c r="F191" t="inlineStr">
        <is>
          <t>快速模式未发现可靠的批量近五个交易日同口径字段，为避免逐股慢请求，本次留空</t>
        </is>
      </c>
      <c r="G191" t="b">
        <v>0</v>
      </c>
      <c r="H191" t="b">
        <v>1</v>
      </c>
      <c r="I191" t="inlineStr">
        <is>
          <t>东方财富</t>
        </is>
      </c>
      <c r="J191" t="inlineStr">
        <is>
          <t>东方财富</t>
        </is>
      </c>
      <c r="K191" t="inlineStr">
        <is>
          <t>fast-mode-no-reliable-batch-endpoint</t>
        </is>
      </c>
      <c r="L191" s="32" t="n">
        <v>46263.26159565565</v>
      </c>
      <c r="M191" t="b">
        <v>1</v>
      </c>
    </row>
    <row r="192">
      <c r="A192" t="inlineStr">
        <is>
          <t>A股</t>
        </is>
      </c>
      <c r="B192" t="inlineStr">
        <is>
          <t>920735</t>
        </is>
      </c>
      <c r="C192" t="inlineStr">
        <is>
          <t>德源药业</t>
        </is>
      </c>
      <c r="D192" t="inlineStr">
        <is>
          <t>近五个交易日资金净额</t>
        </is>
      </c>
      <c r="E192" t="inlineStr">
        <is>
          <t>optional_missing</t>
        </is>
      </c>
      <c r="F192" t="inlineStr">
        <is>
          <t>近五个交易日资金净额：optional_missing</t>
        </is>
      </c>
      <c r="G192" t="b">
        <v>0</v>
      </c>
      <c r="H192" t="b">
        <v>1</v>
      </c>
      <c r="M192" t="b">
        <v>0</v>
      </c>
    </row>
    <row r="193">
      <c r="A193" t="inlineStr">
        <is>
          <t>A股</t>
        </is>
      </c>
      <c r="B193" t="inlineStr">
        <is>
          <t>920735</t>
        </is>
      </c>
      <c r="C193" t="inlineStr">
        <is>
          <t>德源药业</t>
        </is>
      </c>
      <c r="D193" t="inlineStr">
        <is>
          <t>近一月资金净额（最近22个交易日）</t>
        </is>
      </c>
      <c r="E193" t="inlineStr">
        <is>
          <t>optional_missing</t>
        </is>
      </c>
      <c r="F193" t="inlineStr">
        <is>
          <t>近一月资金净额（最近22个交易日）：optional_missing</t>
        </is>
      </c>
      <c r="G193" t="b">
        <v>0</v>
      </c>
      <c r="H193" t="b">
        <v>1</v>
      </c>
      <c r="M193" t="b">
        <v>0</v>
      </c>
    </row>
    <row r="194">
      <c r="A194" t="inlineStr">
        <is>
          <t>A股</t>
        </is>
      </c>
      <c r="B194" t="inlineStr">
        <is>
          <t>920729</t>
        </is>
      </c>
      <c r="C194" t="inlineStr">
        <is>
          <t>永顺生物</t>
        </is>
      </c>
      <c r="D194" t="inlineStr">
        <is>
          <t>资金流</t>
        </is>
      </c>
      <c r="E194" t="inlineStr">
        <is>
          <t>optional_missing</t>
        </is>
      </c>
      <c r="F194" t="inlineStr">
        <is>
          <t>快速模式未发现可靠的批量近五个交易日同口径字段，为避免逐股慢请求，本次留空</t>
        </is>
      </c>
      <c r="G194" t="b">
        <v>0</v>
      </c>
      <c r="H194" t="b">
        <v>1</v>
      </c>
      <c r="I194" t="inlineStr">
        <is>
          <t>东方财富</t>
        </is>
      </c>
      <c r="J194" t="inlineStr">
        <is>
          <t>东方财富</t>
        </is>
      </c>
      <c r="K194" t="inlineStr">
        <is>
          <t>fast-mode-no-reliable-batch-endpoint</t>
        </is>
      </c>
      <c r="L194" s="32" t="n">
        <v>46263.26159565565</v>
      </c>
      <c r="M194" t="b">
        <v>1</v>
      </c>
    </row>
    <row r="195">
      <c r="A195" t="inlineStr">
        <is>
          <t>A股</t>
        </is>
      </c>
      <c r="B195" t="inlineStr">
        <is>
          <t>920729</t>
        </is>
      </c>
      <c r="C195" t="inlineStr">
        <is>
          <t>永顺生物</t>
        </is>
      </c>
      <c r="D195" t="inlineStr">
        <is>
          <t>近五个交易日资金净额</t>
        </is>
      </c>
      <c r="E195" t="inlineStr">
        <is>
          <t>optional_missing</t>
        </is>
      </c>
      <c r="F195" t="inlineStr">
        <is>
          <t>近五个交易日资金净额：optional_missing</t>
        </is>
      </c>
      <c r="G195" t="b">
        <v>0</v>
      </c>
      <c r="H195" t="b">
        <v>1</v>
      </c>
      <c r="M195" t="b">
        <v>0</v>
      </c>
    </row>
    <row r="196">
      <c r="A196" t="inlineStr">
        <is>
          <t>A股</t>
        </is>
      </c>
      <c r="B196" t="inlineStr">
        <is>
          <t>920729</t>
        </is>
      </c>
      <c r="C196" t="inlineStr">
        <is>
          <t>永顺生物</t>
        </is>
      </c>
      <c r="D196" t="inlineStr">
        <is>
          <t>近一月资金净额（最近22个交易日）</t>
        </is>
      </c>
      <c r="E196" t="inlineStr">
        <is>
          <t>optional_missing</t>
        </is>
      </c>
      <c r="F196" t="inlineStr">
        <is>
          <t>近一月资金净额（最近22个交易日）：optional_missing</t>
        </is>
      </c>
      <c r="G196" t="b">
        <v>0</v>
      </c>
      <c r="H196" t="b">
        <v>1</v>
      </c>
      <c r="M196" t="b">
        <v>0</v>
      </c>
    </row>
    <row r="197">
      <c r="A197" t="inlineStr">
        <is>
          <t>A股</t>
        </is>
      </c>
      <c r="B197" t="inlineStr">
        <is>
          <t>920726</t>
        </is>
      </c>
      <c r="C197" t="inlineStr">
        <is>
          <t>朱老六</t>
        </is>
      </c>
      <c r="D197" t="inlineStr">
        <is>
          <t>资金流</t>
        </is>
      </c>
      <c r="E197" t="inlineStr">
        <is>
          <t>optional_missing</t>
        </is>
      </c>
      <c r="F197" t="inlineStr">
        <is>
          <t>快速模式未发现可靠的批量近五个交易日同口径字段，为避免逐股慢请求，本次留空</t>
        </is>
      </c>
      <c r="G197" t="b">
        <v>0</v>
      </c>
      <c r="H197" t="b">
        <v>1</v>
      </c>
      <c r="I197" t="inlineStr">
        <is>
          <t>东方财富</t>
        </is>
      </c>
      <c r="J197" t="inlineStr">
        <is>
          <t>东方财富</t>
        </is>
      </c>
      <c r="K197" t="inlineStr">
        <is>
          <t>fast-mode-no-reliable-batch-endpoint</t>
        </is>
      </c>
      <c r="L197" s="32" t="n">
        <v>46263.26159565565</v>
      </c>
      <c r="M197" t="b">
        <v>1</v>
      </c>
    </row>
    <row r="198">
      <c r="A198" t="inlineStr">
        <is>
          <t>A股</t>
        </is>
      </c>
      <c r="B198" t="inlineStr">
        <is>
          <t>920726</t>
        </is>
      </c>
      <c r="C198" t="inlineStr">
        <is>
          <t>朱老六</t>
        </is>
      </c>
      <c r="D198" t="inlineStr">
        <is>
          <t>近五个交易日资金净额</t>
        </is>
      </c>
      <c r="E198" t="inlineStr">
        <is>
          <t>optional_missing</t>
        </is>
      </c>
      <c r="F198" t="inlineStr">
        <is>
          <t>近五个交易日资金净额：optional_missing</t>
        </is>
      </c>
      <c r="G198" t="b">
        <v>0</v>
      </c>
      <c r="H198" t="b">
        <v>1</v>
      </c>
      <c r="M198" t="b">
        <v>0</v>
      </c>
    </row>
    <row r="199">
      <c r="A199" t="inlineStr">
        <is>
          <t>A股</t>
        </is>
      </c>
      <c r="B199" t="inlineStr">
        <is>
          <t>920726</t>
        </is>
      </c>
      <c r="C199" t="inlineStr">
        <is>
          <t>朱老六</t>
        </is>
      </c>
      <c r="D199" t="inlineStr">
        <is>
          <t>近一月资金净额（最近22个交易日）</t>
        </is>
      </c>
      <c r="E199" t="inlineStr">
        <is>
          <t>optional_missing</t>
        </is>
      </c>
      <c r="F199" t="inlineStr">
        <is>
          <t>近一月资金净额（最近22个交易日）：optional_missing</t>
        </is>
      </c>
      <c r="G199" t="b">
        <v>0</v>
      </c>
      <c r="H199" t="b">
        <v>1</v>
      </c>
      <c r="M199" t="b">
        <v>0</v>
      </c>
    </row>
    <row r="200">
      <c r="A200" t="inlineStr">
        <is>
          <t>A股</t>
        </is>
      </c>
      <c r="B200" t="inlineStr">
        <is>
          <t>920725</t>
        </is>
      </c>
      <c r="C200" t="inlineStr">
        <is>
          <t>惠丰钻石</t>
        </is>
      </c>
      <c r="D200" t="inlineStr">
        <is>
          <t>资金流</t>
        </is>
      </c>
      <c r="E200" t="inlineStr">
        <is>
          <t>optional_missing</t>
        </is>
      </c>
      <c r="F200" t="inlineStr">
        <is>
          <t>快速模式未发现可靠的批量近五个交易日同口径字段，为避免逐股慢请求，本次留空</t>
        </is>
      </c>
      <c r="G200" t="b">
        <v>0</v>
      </c>
      <c r="H200" t="b">
        <v>1</v>
      </c>
      <c r="I200" t="inlineStr">
        <is>
          <t>东方财富</t>
        </is>
      </c>
      <c r="J200" t="inlineStr">
        <is>
          <t>东方财富</t>
        </is>
      </c>
      <c r="K200" t="inlineStr">
        <is>
          <t>fast-mode-no-reliable-batch-endpoint</t>
        </is>
      </c>
      <c r="L200" s="32" t="n">
        <v>46263.26159565565</v>
      </c>
      <c r="M200" t="b">
        <v>1</v>
      </c>
    </row>
    <row r="201">
      <c r="A201" t="inlineStr">
        <is>
          <t>A股</t>
        </is>
      </c>
      <c r="B201" t="inlineStr">
        <is>
          <t>920725</t>
        </is>
      </c>
      <c r="C201" t="inlineStr">
        <is>
          <t>惠丰钻石</t>
        </is>
      </c>
      <c r="D201" t="inlineStr">
        <is>
          <t>近五个交易日资金净额</t>
        </is>
      </c>
      <c r="E201" t="inlineStr">
        <is>
          <t>optional_missing</t>
        </is>
      </c>
      <c r="F201" t="inlineStr">
        <is>
          <t>近五个交易日资金净额：optional_missing</t>
        </is>
      </c>
      <c r="G201" t="b">
        <v>0</v>
      </c>
      <c r="H201" t="b">
        <v>1</v>
      </c>
      <c r="M201" t="b">
        <v>0</v>
      </c>
    </row>
    <row r="202">
      <c r="A202" t="inlineStr">
        <is>
          <t>A股</t>
        </is>
      </c>
      <c r="B202" t="inlineStr">
        <is>
          <t>920725</t>
        </is>
      </c>
      <c r="C202" t="inlineStr">
        <is>
          <t>惠丰钻石</t>
        </is>
      </c>
      <c r="D202" t="inlineStr">
        <is>
          <t>近一月资金净额（最近22个交易日）</t>
        </is>
      </c>
      <c r="E202" t="inlineStr">
        <is>
          <t>optional_missing</t>
        </is>
      </c>
      <c r="F202" t="inlineStr">
        <is>
          <t>近一月资金净额（最近22个交易日）：optional_missing</t>
        </is>
      </c>
      <c r="G202" t="b">
        <v>0</v>
      </c>
      <c r="H202" t="b">
        <v>1</v>
      </c>
      <c r="M202" t="b">
        <v>0</v>
      </c>
    </row>
    <row r="203">
      <c r="A203" t="inlineStr">
        <is>
          <t>A股</t>
        </is>
      </c>
      <c r="B203" t="inlineStr">
        <is>
          <t>920720</t>
        </is>
      </c>
      <c r="C203" t="inlineStr">
        <is>
          <t>吉冈精密</t>
        </is>
      </c>
      <c r="D203" t="inlineStr">
        <is>
          <t>资金流</t>
        </is>
      </c>
      <c r="E203" t="inlineStr">
        <is>
          <t>optional_missing</t>
        </is>
      </c>
      <c r="F203" t="inlineStr">
        <is>
          <t>快速模式未发现可靠的批量近五个交易日同口径字段，为避免逐股慢请求，本次留空</t>
        </is>
      </c>
      <c r="G203" t="b">
        <v>0</v>
      </c>
      <c r="H203" t="b">
        <v>1</v>
      </c>
      <c r="I203" t="inlineStr">
        <is>
          <t>东方财富</t>
        </is>
      </c>
      <c r="J203" t="inlineStr">
        <is>
          <t>东方财富</t>
        </is>
      </c>
      <c r="K203" t="inlineStr">
        <is>
          <t>fast-mode-no-reliable-batch-endpoint</t>
        </is>
      </c>
      <c r="L203" s="32" t="n">
        <v>46263.26159565565</v>
      </c>
      <c r="M203" t="b">
        <v>1</v>
      </c>
    </row>
    <row r="204">
      <c r="A204" t="inlineStr">
        <is>
          <t>A股</t>
        </is>
      </c>
      <c r="B204" t="inlineStr">
        <is>
          <t>920720</t>
        </is>
      </c>
      <c r="C204" t="inlineStr">
        <is>
          <t>吉冈精密</t>
        </is>
      </c>
      <c r="D204" t="inlineStr">
        <is>
          <t>近五个交易日资金净额</t>
        </is>
      </c>
      <c r="E204" t="inlineStr">
        <is>
          <t>optional_missing</t>
        </is>
      </c>
      <c r="F204" t="inlineStr">
        <is>
          <t>近五个交易日资金净额：optional_missing</t>
        </is>
      </c>
      <c r="G204" t="b">
        <v>0</v>
      </c>
      <c r="H204" t="b">
        <v>1</v>
      </c>
      <c r="M204" t="b">
        <v>0</v>
      </c>
    </row>
    <row r="205">
      <c r="A205" t="inlineStr">
        <is>
          <t>A股</t>
        </is>
      </c>
      <c r="B205" t="inlineStr">
        <is>
          <t>920720</t>
        </is>
      </c>
      <c r="C205" t="inlineStr">
        <is>
          <t>吉冈精密</t>
        </is>
      </c>
      <c r="D205" t="inlineStr">
        <is>
          <t>近一月资金净额（最近22个交易日）</t>
        </is>
      </c>
      <c r="E205" t="inlineStr">
        <is>
          <t>optional_missing</t>
        </is>
      </c>
      <c r="F205" t="inlineStr">
        <is>
          <t>近一月资金净额（最近22个交易日）：optional_missing</t>
        </is>
      </c>
      <c r="G205" t="b">
        <v>0</v>
      </c>
      <c r="H205" t="b">
        <v>1</v>
      </c>
      <c r="M205" t="b">
        <v>0</v>
      </c>
    </row>
    <row r="206">
      <c r="A206" t="inlineStr">
        <is>
          <t>A股</t>
        </is>
      </c>
      <c r="B206" t="inlineStr">
        <is>
          <t>920719</t>
        </is>
      </c>
      <c r="C206" t="inlineStr">
        <is>
          <t>宁新新材</t>
        </is>
      </c>
      <c r="D206" t="inlineStr">
        <is>
          <t>资金流</t>
        </is>
      </c>
      <c r="E206" t="inlineStr">
        <is>
          <t>optional_missing</t>
        </is>
      </c>
      <c r="F206" t="inlineStr">
        <is>
          <t>快速模式未发现可靠的批量近五个交易日同口径字段，为避免逐股慢请求，本次留空</t>
        </is>
      </c>
      <c r="G206" t="b">
        <v>0</v>
      </c>
      <c r="H206" t="b">
        <v>1</v>
      </c>
      <c r="I206" t="inlineStr">
        <is>
          <t>东方财富</t>
        </is>
      </c>
      <c r="J206" t="inlineStr">
        <is>
          <t>东方财富</t>
        </is>
      </c>
      <c r="K206" t="inlineStr">
        <is>
          <t>fast-mode-no-reliable-batch-endpoint</t>
        </is>
      </c>
      <c r="L206" s="32" t="n">
        <v>46263.26159565565</v>
      </c>
      <c r="M206" t="b">
        <v>1</v>
      </c>
    </row>
    <row r="207">
      <c r="A207" t="inlineStr">
        <is>
          <t>A股</t>
        </is>
      </c>
      <c r="B207" t="inlineStr">
        <is>
          <t>920719</t>
        </is>
      </c>
      <c r="C207" t="inlineStr">
        <is>
          <t>宁新新材</t>
        </is>
      </c>
      <c r="D207" t="inlineStr">
        <is>
          <t>近五个交易日资金净额</t>
        </is>
      </c>
      <c r="E207" t="inlineStr">
        <is>
          <t>optional_missing</t>
        </is>
      </c>
      <c r="F207" t="inlineStr">
        <is>
          <t>近五个交易日资金净额：optional_missing</t>
        </is>
      </c>
      <c r="G207" t="b">
        <v>0</v>
      </c>
      <c r="H207" t="b">
        <v>1</v>
      </c>
      <c r="M207" t="b">
        <v>0</v>
      </c>
    </row>
    <row r="208">
      <c r="A208" t="inlineStr">
        <is>
          <t>A股</t>
        </is>
      </c>
      <c r="B208" t="inlineStr">
        <is>
          <t>920719</t>
        </is>
      </c>
      <c r="C208" t="inlineStr">
        <is>
          <t>宁新新材</t>
        </is>
      </c>
      <c r="D208" t="inlineStr">
        <is>
          <t>近一月资金净额（最近22个交易日）</t>
        </is>
      </c>
      <c r="E208" t="inlineStr">
        <is>
          <t>optional_missing</t>
        </is>
      </c>
      <c r="F208" t="inlineStr">
        <is>
          <t>近一月资金净额（最近22个交易日）：optional_missing</t>
        </is>
      </c>
      <c r="G208" t="b">
        <v>0</v>
      </c>
      <c r="H208" t="b">
        <v>1</v>
      </c>
      <c r="M208" t="b">
        <v>0</v>
      </c>
    </row>
    <row r="209">
      <c r="A209" t="inlineStr">
        <is>
          <t>A股</t>
        </is>
      </c>
      <c r="B209" t="inlineStr">
        <is>
          <t>920718</t>
        </is>
      </c>
      <c r="C209" t="inlineStr">
        <is>
          <t>合肥高科</t>
        </is>
      </c>
      <c r="D209" t="inlineStr">
        <is>
          <t>资金流</t>
        </is>
      </c>
      <c r="E209" t="inlineStr">
        <is>
          <t>optional_missing</t>
        </is>
      </c>
      <c r="F209" t="inlineStr">
        <is>
          <t>快速模式未发现可靠的批量近五个交易日同口径字段，为避免逐股慢请求，本次留空</t>
        </is>
      </c>
      <c r="G209" t="b">
        <v>0</v>
      </c>
      <c r="H209" t="b">
        <v>1</v>
      </c>
      <c r="I209" t="inlineStr">
        <is>
          <t>东方财富</t>
        </is>
      </c>
      <c r="J209" t="inlineStr">
        <is>
          <t>东方财富</t>
        </is>
      </c>
      <c r="K209" t="inlineStr">
        <is>
          <t>fast-mode-no-reliable-batch-endpoint</t>
        </is>
      </c>
      <c r="L209" s="32" t="n">
        <v>46263.26159565565</v>
      </c>
      <c r="M209" t="b">
        <v>1</v>
      </c>
    </row>
    <row r="210">
      <c r="A210" t="inlineStr">
        <is>
          <t>A股</t>
        </is>
      </c>
      <c r="B210" t="inlineStr">
        <is>
          <t>920718</t>
        </is>
      </c>
      <c r="C210" t="inlineStr">
        <is>
          <t>合肥高科</t>
        </is>
      </c>
      <c r="D210" t="inlineStr">
        <is>
          <t>近五个交易日资金净额</t>
        </is>
      </c>
      <c r="E210" t="inlineStr">
        <is>
          <t>optional_missing</t>
        </is>
      </c>
      <c r="F210" t="inlineStr">
        <is>
          <t>近五个交易日资金净额：optional_missing</t>
        </is>
      </c>
      <c r="G210" t="b">
        <v>0</v>
      </c>
      <c r="H210" t="b">
        <v>1</v>
      </c>
      <c r="M210" t="b">
        <v>0</v>
      </c>
    </row>
    <row r="211">
      <c r="A211" t="inlineStr">
        <is>
          <t>A股</t>
        </is>
      </c>
      <c r="B211" t="inlineStr">
        <is>
          <t>920718</t>
        </is>
      </c>
      <c r="C211" t="inlineStr">
        <is>
          <t>合肥高科</t>
        </is>
      </c>
      <c r="D211" t="inlineStr">
        <is>
          <t>近一月资金净额（最近22个交易日）</t>
        </is>
      </c>
      <c r="E211" t="inlineStr">
        <is>
          <t>optional_missing</t>
        </is>
      </c>
      <c r="F211" t="inlineStr">
        <is>
          <t>近一月资金净额（最近22个交易日）：optional_missing</t>
        </is>
      </c>
      <c r="G211" t="b">
        <v>0</v>
      </c>
      <c r="H211" t="b">
        <v>1</v>
      </c>
      <c r="M211" t="b">
        <v>0</v>
      </c>
    </row>
    <row r="212">
      <c r="A212" t="inlineStr">
        <is>
          <t>A股</t>
        </is>
      </c>
      <c r="B212" t="inlineStr">
        <is>
          <t>920717</t>
        </is>
      </c>
      <c r="C212" t="inlineStr">
        <is>
          <t>瑞星股份</t>
        </is>
      </c>
      <c r="D212" t="inlineStr">
        <is>
          <t>资金流</t>
        </is>
      </c>
      <c r="E212" t="inlineStr">
        <is>
          <t>optional_missing</t>
        </is>
      </c>
      <c r="F212" t="inlineStr">
        <is>
          <t>快速模式未发现可靠的批量近五个交易日同口径字段，为避免逐股慢请求，本次留空</t>
        </is>
      </c>
      <c r="G212" t="b">
        <v>0</v>
      </c>
      <c r="H212" t="b">
        <v>1</v>
      </c>
      <c r="I212" t="inlineStr">
        <is>
          <t>东方财富</t>
        </is>
      </c>
      <c r="J212" t="inlineStr">
        <is>
          <t>东方财富</t>
        </is>
      </c>
      <c r="K212" t="inlineStr">
        <is>
          <t>fast-mode-no-reliable-batch-endpoint</t>
        </is>
      </c>
      <c r="L212" s="32" t="n">
        <v>46263.26159565565</v>
      </c>
      <c r="M212" t="b">
        <v>1</v>
      </c>
    </row>
    <row r="213">
      <c r="A213" t="inlineStr">
        <is>
          <t>A股</t>
        </is>
      </c>
      <c r="B213" t="inlineStr">
        <is>
          <t>920717</t>
        </is>
      </c>
      <c r="C213" t="inlineStr">
        <is>
          <t>瑞星股份</t>
        </is>
      </c>
      <c r="D213" t="inlineStr">
        <is>
          <t>近五个交易日资金净额</t>
        </is>
      </c>
      <c r="E213" t="inlineStr">
        <is>
          <t>optional_missing</t>
        </is>
      </c>
      <c r="F213" t="inlineStr">
        <is>
          <t>近五个交易日资金净额：optional_missing</t>
        </is>
      </c>
      <c r="G213" t="b">
        <v>0</v>
      </c>
      <c r="H213" t="b">
        <v>1</v>
      </c>
      <c r="M213" t="b">
        <v>0</v>
      </c>
    </row>
    <row r="214">
      <c r="A214" t="inlineStr">
        <is>
          <t>A股</t>
        </is>
      </c>
      <c r="B214" t="inlineStr">
        <is>
          <t>920717</t>
        </is>
      </c>
      <c r="C214" t="inlineStr">
        <is>
          <t>瑞星股份</t>
        </is>
      </c>
      <c r="D214" t="inlineStr">
        <is>
          <t>近一月资金净额（最近22个交易日）</t>
        </is>
      </c>
      <c r="E214" t="inlineStr">
        <is>
          <t>optional_missing</t>
        </is>
      </c>
      <c r="F214" t="inlineStr">
        <is>
          <t>近一月资金净额（最近22个交易日）：optional_missing</t>
        </is>
      </c>
      <c r="G214" t="b">
        <v>0</v>
      </c>
      <c r="H214" t="b">
        <v>1</v>
      </c>
      <c r="M214" t="b">
        <v>0</v>
      </c>
    </row>
    <row r="215">
      <c r="A215" t="inlineStr">
        <is>
          <t>A股</t>
        </is>
      </c>
      <c r="B215" t="inlineStr">
        <is>
          <t>920706</t>
        </is>
      </c>
      <c r="C215" t="inlineStr">
        <is>
          <t>铁拓机械</t>
        </is>
      </c>
      <c r="D215" t="inlineStr">
        <is>
          <t>资金流</t>
        </is>
      </c>
      <c r="E215" t="inlineStr">
        <is>
          <t>optional_missing</t>
        </is>
      </c>
      <c r="F215" t="inlineStr">
        <is>
          <t>快速模式未发现可靠的批量近五个交易日同口径字段，为避免逐股慢请求，本次留空</t>
        </is>
      </c>
      <c r="G215" t="b">
        <v>0</v>
      </c>
      <c r="H215" t="b">
        <v>1</v>
      </c>
      <c r="I215" t="inlineStr">
        <is>
          <t>东方财富</t>
        </is>
      </c>
      <c r="J215" t="inlineStr">
        <is>
          <t>东方财富</t>
        </is>
      </c>
      <c r="K215" t="inlineStr">
        <is>
          <t>fast-mode-no-reliable-batch-endpoint</t>
        </is>
      </c>
      <c r="L215" s="32" t="n">
        <v>46263.26159565565</v>
      </c>
      <c r="M215" t="b">
        <v>1</v>
      </c>
    </row>
    <row r="216">
      <c r="A216" t="inlineStr">
        <is>
          <t>A股</t>
        </is>
      </c>
      <c r="B216" t="inlineStr">
        <is>
          <t>920706</t>
        </is>
      </c>
      <c r="C216" t="inlineStr">
        <is>
          <t>铁拓机械</t>
        </is>
      </c>
      <c r="D216" t="inlineStr">
        <is>
          <t>近五个交易日资金净额</t>
        </is>
      </c>
      <c r="E216" t="inlineStr">
        <is>
          <t>optional_missing</t>
        </is>
      </c>
      <c r="F216" t="inlineStr">
        <is>
          <t>近五个交易日资金净额：optional_missing</t>
        </is>
      </c>
      <c r="G216" t="b">
        <v>0</v>
      </c>
      <c r="H216" t="b">
        <v>1</v>
      </c>
      <c r="M216" t="b">
        <v>0</v>
      </c>
    </row>
    <row r="217">
      <c r="A217" t="inlineStr">
        <is>
          <t>A股</t>
        </is>
      </c>
      <c r="B217" t="inlineStr">
        <is>
          <t>920706</t>
        </is>
      </c>
      <c r="C217" t="inlineStr">
        <is>
          <t>铁拓机械</t>
        </is>
      </c>
      <c r="D217" t="inlineStr">
        <is>
          <t>近一月资金净额（最近22个交易日）</t>
        </is>
      </c>
      <c r="E217" t="inlineStr">
        <is>
          <t>optional_missing</t>
        </is>
      </c>
      <c r="F217" t="inlineStr">
        <is>
          <t>近一月资金净额（最近22个交易日）：optional_missing</t>
        </is>
      </c>
      <c r="G217" t="b">
        <v>0</v>
      </c>
      <c r="H217" t="b">
        <v>1</v>
      </c>
      <c r="M217" t="b">
        <v>0</v>
      </c>
    </row>
    <row r="218">
      <c r="A218" t="inlineStr">
        <is>
          <t>A股</t>
        </is>
      </c>
      <c r="B218" t="inlineStr">
        <is>
          <t>920703</t>
        </is>
      </c>
      <c r="C218" t="inlineStr">
        <is>
          <t>广厦环能</t>
        </is>
      </c>
      <c r="D218" t="inlineStr">
        <is>
          <t>资金流</t>
        </is>
      </c>
      <c r="E218" t="inlineStr">
        <is>
          <t>optional_missing</t>
        </is>
      </c>
      <c r="F218" t="inlineStr">
        <is>
          <t>快速模式未发现可靠的批量近五个交易日同口径字段，为避免逐股慢请求，本次留空</t>
        </is>
      </c>
      <c r="G218" t="b">
        <v>0</v>
      </c>
      <c r="H218" t="b">
        <v>1</v>
      </c>
      <c r="I218" t="inlineStr">
        <is>
          <t>东方财富</t>
        </is>
      </c>
      <c r="J218" t="inlineStr">
        <is>
          <t>东方财富</t>
        </is>
      </c>
      <c r="K218" t="inlineStr">
        <is>
          <t>fast-mode-no-reliable-batch-endpoint</t>
        </is>
      </c>
      <c r="L218" s="32" t="n">
        <v>46263.26159565565</v>
      </c>
      <c r="M218" t="b">
        <v>1</v>
      </c>
    </row>
    <row r="219">
      <c r="A219" t="inlineStr">
        <is>
          <t>A股</t>
        </is>
      </c>
      <c r="B219" t="inlineStr">
        <is>
          <t>920703</t>
        </is>
      </c>
      <c r="C219" t="inlineStr">
        <is>
          <t>广厦环能</t>
        </is>
      </c>
      <c r="D219" t="inlineStr">
        <is>
          <t>近五个交易日资金净额</t>
        </is>
      </c>
      <c r="E219" t="inlineStr">
        <is>
          <t>optional_missing</t>
        </is>
      </c>
      <c r="F219" t="inlineStr">
        <is>
          <t>近五个交易日资金净额：optional_missing</t>
        </is>
      </c>
      <c r="G219" t="b">
        <v>0</v>
      </c>
      <c r="H219" t="b">
        <v>1</v>
      </c>
      <c r="M219" t="b">
        <v>0</v>
      </c>
    </row>
    <row r="220">
      <c r="A220" t="inlineStr">
        <is>
          <t>A股</t>
        </is>
      </c>
      <c r="B220" t="inlineStr">
        <is>
          <t>920703</t>
        </is>
      </c>
      <c r="C220" t="inlineStr">
        <is>
          <t>广厦环能</t>
        </is>
      </c>
      <c r="D220" t="inlineStr">
        <is>
          <t>近一月资金净额（最近22个交易日）</t>
        </is>
      </c>
      <c r="E220" t="inlineStr">
        <is>
          <t>optional_missing</t>
        </is>
      </c>
      <c r="F220" t="inlineStr">
        <is>
          <t>近一月资金净额（最近22个交易日）：optional_missing</t>
        </is>
      </c>
      <c r="G220" t="b">
        <v>0</v>
      </c>
      <c r="H220" t="b">
        <v>1</v>
      </c>
      <c r="M220" t="b">
        <v>0</v>
      </c>
    </row>
    <row r="221">
      <c r="A221" t="inlineStr">
        <is>
          <t>A股</t>
        </is>
      </c>
      <c r="B221" t="inlineStr">
        <is>
          <t>920701</t>
        </is>
      </c>
      <c r="C221" t="inlineStr">
        <is>
          <t>豪声电子</t>
        </is>
      </c>
      <c r="D221" t="inlineStr">
        <is>
          <t>资金流</t>
        </is>
      </c>
      <c r="E221" t="inlineStr">
        <is>
          <t>optional_missing</t>
        </is>
      </c>
      <c r="F221" t="inlineStr">
        <is>
          <t>快速模式未发现可靠的批量近五个交易日同口径字段，为避免逐股慢请求，本次留空</t>
        </is>
      </c>
      <c r="G221" t="b">
        <v>0</v>
      </c>
      <c r="H221" t="b">
        <v>1</v>
      </c>
      <c r="I221" t="inlineStr">
        <is>
          <t>东方财富</t>
        </is>
      </c>
      <c r="J221" t="inlineStr">
        <is>
          <t>东方财富</t>
        </is>
      </c>
      <c r="K221" t="inlineStr">
        <is>
          <t>fast-mode-no-reliable-batch-endpoint</t>
        </is>
      </c>
      <c r="L221" s="32" t="n">
        <v>46263.26159565565</v>
      </c>
      <c r="M221" t="b">
        <v>1</v>
      </c>
    </row>
    <row r="222">
      <c r="A222" t="inlineStr">
        <is>
          <t>A股</t>
        </is>
      </c>
      <c r="B222" t="inlineStr">
        <is>
          <t>920701</t>
        </is>
      </c>
      <c r="C222" t="inlineStr">
        <is>
          <t>豪声电子</t>
        </is>
      </c>
      <c r="D222" t="inlineStr">
        <is>
          <t>近五个交易日资金净额</t>
        </is>
      </c>
      <c r="E222" t="inlineStr">
        <is>
          <t>optional_missing</t>
        </is>
      </c>
      <c r="F222" t="inlineStr">
        <is>
          <t>近五个交易日资金净额：optional_missing</t>
        </is>
      </c>
      <c r="G222" t="b">
        <v>0</v>
      </c>
      <c r="H222" t="b">
        <v>1</v>
      </c>
      <c r="M222" t="b">
        <v>0</v>
      </c>
    </row>
    <row r="223">
      <c r="A223" t="inlineStr">
        <is>
          <t>A股</t>
        </is>
      </c>
      <c r="B223" t="inlineStr">
        <is>
          <t>920701</t>
        </is>
      </c>
      <c r="C223" t="inlineStr">
        <is>
          <t>豪声电子</t>
        </is>
      </c>
      <c r="D223" t="inlineStr">
        <is>
          <t>近一月资金净额（最近22个交易日）</t>
        </is>
      </c>
      <c r="E223" t="inlineStr">
        <is>
          <t>optional_missing</t>
        </is>
      </c>
      <c r="F223" t="inlineStr">
        <is>
          <t>近一月资金净额（最近22个交易日）：optional_missing</t>
        </is>
      </c>
      <c r="G223" t="b">
        <v>0</v>
      </c>
      <c r="H223" t="b">
        <v>1</v>
      </c>
      <c r="M223" t="b">
        <v>0</v>
      </c>
    </row>
    <row r="224">
      <c r="A224" t="inlineStr">
        <is>
          <t>A股</t>
        </is>
      </c>
      <c r="B224" t="inlineStr">
        <is>
          <t>920699</t>
        </is>
      </c>
      <c r="C224" t="inlineStr">
        <is>
          <t>海达尔</t>
        </is>
      </c>
      <c r="D224" t="inlineStr">
        <is>
          <t>资金流</t>
        </is>
      </c>
      <c r="E224" t="inlineStr">
        <is>
          <t>optional_missing</t>
        </is>
      </c>
      <c r="F224" t="inlineStr">
        <is>
          <t>快速模式未发现可靠的批量近五个交易日同口径字段，为避免逐股慢请求，本次留空</t>
        </is>
      </c>
      <c r="G224" t="b">
        <v>0</v>
      </c>
      <c r="H224" t="b">
        <v>1</v>
      </c>
      <c r="I224" t="inlineStr">
        <is>
          <t>东方财富</t>
        </is>
      </c>
      <c r="J224" t="inlineStr">
        <is>
          <t>东方财富</t>
        </is>
      </c>
      <c r="K224" t="inlineStr">
        <is>
          <t>fast-mode-no-reliable-batch-endpoint</t>
        </is>
      </c>
      <c r="L224" s="32" t="n">
        <v>46263.26159565565</v>
      </c>
      <c r="M224" t="b">
        <v>1</v>
      </c>
    </row>
    <row r="225">
      <c r="A225" t="inlineStr">
        <is>
          <t>A股</t>
        </is>
      </c>
      <c r="B225" t="inlineStr">
        <is>
          <t>920699</t>
        </is>
      </c>
      <c r="C225" t="inlineStr">
        <is>
          <t>海达尔</t>
        </is>
      </c>
      <c r="D225" t="inlineStr">
        <is>
          <t>近五个交易日资金净额</t>
        </is>
      </c>
      <c r="E225" t="inlineStr">
        <is>
          <t>optional_missing</t>
        </is>
      </c>
      <c r="F225" t="inlineStr">
        <is>
          <t>近五个交易日资金净额：optional_missing</t>
        </is>
      </c>
      <c r="G225" t="b">
        <v>0</v>
      </c>
      <c r="H225" t="b">
        <v>1</v>
      </c>
      <c r="M225" t="b">
        <v>0</v>
      </c>
    </row>
    <row r="226">
      <c r="A226" t="inlineStr">
        <is>
          <t>A股</t>
        </is>
      </c>
      <c r="B226" t="inlineStr">
        <is>
          <t>920699</t>
        </is>
      </c>
      <c r="C226" t="inlineStr">
        <is>
          <t>海达尔</t>
        </is>
      </c>
      <c r="D226" t="inlineStr">
        <is>
          <t>近一月资金净额（最近22个交易日）</t>
        </is>
      </c>
      <c r="E226" t="inlineStr">
        <is>
          <t>optional_missing</t>
        </is>
      </c>
      <c r="F226" t="inlineStr">
        <is>
          <t>近一月资金净额（最近22个交易日）：optional_missing</t>
        </is>
      </c>
      <c r="G226" t="b">
        <v>0</v>
      </c>
      <c r="H226" t="b">
        <v>1</v>
      </c>
      <c r="M226" t="b">
        <v>0</v>
      </c>
    </row>
    <row r="227">
      <c r="A227" t="inlineStr">
        <is>
          <t>A股</t>
        </is>
      </c>
      <c r="B227" t="inlineStr">
        <is>
          <t>920694</t>
        </is>
      </c>
      <c r="C227" t="inlineStr">
        <is>
          <t>中裕科技</t>
        </is>
      </c>
      <c r="D227" t="inlineStr">
        <is>
          <t>资金流</t>
        </is>
      </c>
      <c r="E227" t="inlineStr">
        <is>
          <t>optional_missing</t>
        </is>
      </c>
      <c r="F227" t="inlineStr">
        <is>
          <t>快速模式未发现可靠的批量近五个交易日同口径字段，为避免逐股慢请求，本次留空</t>
        </is>
      </c>
      <c r="G227" t="b">
        <v>0</v>
      </c>
      <c r="H227" t="b">
        <v>1</v>
      </c>
      <c r="I227" t="inlineStr">
        <is>
          <t>东方财富</t>
        </is>
      </c>
      <c r="J227" t="inlineStr">
        <is>
          <t>东方财富</t>
        </is>
      </c>
      <c r="K227" t="inlineStr">
        <is>
          <t>fast-mode-no-reliable-batch-endpoint</t>
        </is>
      </c>
      <c r="L227" s="32" t="n">
        <v>46263.26159565565</v>
      </c>
      <c r="M227" t="b">
        <v>1</v>
      </c>
    </row>
    <row r="228">
      <c r="A228" t="inlineStr">
        <is>
          <t>A股</t>
        </is>
      </c>
      <c r="B228" t="inlineStr">
        <is>
          <t>920694</t>
        </is>
      </c>
      <c r="C228" t="inlineStr">
        <is>
          <t>中裕科技</t>
        </is>
      </c>
      <c r="D228" t="inlineStr">
        <is>
          <t>近五个交易日资金净额</t>
        </is>
      </c>
      <c r="E228" t="inlineStr">
        <is>
          <t>optional_missing</t>
        </is>
      </c>
      <c r="F228" t="inlineStr">
        <is>
          <t>近五个交易日资金净额：optional_missing</t>
        </is>
      </c>
      <c r="G228" t="b">
        <v>0</v>
      </c>
      <c r="H228" t="b">
        <v>1</v>
      </c>
      <c r="M228" t="b">
        <v>0</v>
      </c>
    </row>
    <row r="229">
      <c r="A229" t="inlineStr">
        <is>
          <t>A股</t>
        </is>
      </c>
      <c r="B229" t="inlineStr">
        <is>
          <t>920694</t>
        </is>
      </c>
      <c r="C229" t="inlineStr">
        <is>
          <t>中裕科技</t>
        </is>
      </c>
      <c r="D229" t="inlineStr">
        <is>
          <t>近一月资金净额（最近22个交易日）</t>
        </is>
      </c>
      <c r="E229" t="inlineStr">
        <is>
          <t>optional_missing</t>
        </is>
      </c>
      <c r="F229" t="inlineStr">
        <is>
          <t>近一月资金净额（最近22个交易日）：optional_missing</t>
        </is>
      </c>
      <c r="G229" t="b">
        <v>0</v>
      </c>
      <c r="H229" t="b">
        <v>1</v>
      </c>
      <c r="M229" t="b">
        <v>0</v>
      </c>
    </row>
    <row r="230">
      <c r="A230" t="inlineStr">
        <is>
          <t>A股</t>
        </is>
      </c>
      <c r="B230" t="inlineStr">
        <is>
          <t>920693</t>
        </is>
      </c>
      <c r="C230" t="inlineStr">
        <is>
          <t>阿为特</t>
        </is>
      </c>
      <c r="D230" t="inlineStr">
        <is>
          <t>资金流</t>
        </is>
      </c>
      <c r="E230" t="inlineStr">
        <is>
          <t>optional_missing</t>
        </is>
      </c>
      <c r="F230" t="inlineStr">
        <is>
          <t>快速模式未发现可靠的批量近五个交易日同口径字段，为避免逐股慢请求，本次留空</t>
        </is>
      </c>
      <c r="G230" t="b">
        <v>0</v>
      </c>
      <c r="H230" t="b">
        <v>1</v>
      </c>
      <c r="I230" t="inlineStr">
        <is>
          <t>东方财富</t>
        </is>
      </c>
      <c r="J230" t="inlineStr">
        <is>
          <t>东方财富</t>
        </is>
      </c>
      <c r="K230" t="inlineStr">
        <is>
          <t>fast-mode-no-reliable-batch-endpoint</t>
        </is>
      </c>
      <c r="L230" s="32" t="n">
        <v>46263.26159565565</v>
      </c>
      <c r="M230" t="b">
        <v>1</v>
      </c>
    </row>
    <row r="231">
      <c r="A231" t="inlineStr">
        <is>
          <t>A股</t>
        </is>
      </c>
      <c r="B231" t="inlineStr">
        <is>
          <t>920693</t>
        </is>
      </c>
      <c r="C231" t="inlineStr">
        <is>
          <t>阿为特</t>
        </is>
      </c>
      <c r="D231" t="inlineStr">
        <is>
          <t>近五个交易日资金净额</t>
        </is>
      </c>
      <c r="E231" t="inlineStr">
        <is>
          <t>optional_missing</t>
        </is>
      </c>
      <c r="F231" t="inlineStr">
        <is>
          <t>近五个交易日资金净额：optional_missing</t>
        </is>
      </c>
      <c r="G231" t="b">
        <v>0</v>
      </c>
      <c r="H231" t="b">
        <v>1</v>
      </c>
      <c r="M231" t="b">
        <v>0</v>
      </c>
    </row>
    <row r="232">
      <c r="A232" t="inlineStr">
        <is>
          <t>A股</t>
        </is>
      </c>
      <c r="B232" t="inlineStr">
        <is>
          <t>920693</t>
        </is>
      </c>
      <c r="C232" t="inlineStr">
        <is>
          <t>阿为特</t>
        </is>
      </c>
      <c r="D232" t="inlineStr">
        <is>
          <t>近一月资金净额（最近22个交易日）</t>
        </is>
      </c>
      <c r="E232" t="inlineStr">
        <is>
          <t>optional_missing</t>
        </is>
      </c>
      <c r="F232" t="inlineStr">
        <is>
          <t>近一月资金净额（最近22个交易日）：optional_missing</t>
        </is>
      </c>
      <c r="G232" t="b">
        <v>0</v>
      </c>
      <c r="H232" t="b">
        <v>1</v>
      </c>
      <c r="M232" t="b">
        <v>0</v>
      </c>
    </row>
    <row r="233">
      <c r="A233" t="inlineStr">
        <is>
          <t>A股</t>
        </is>
      </c>
      <c r="B233" t="inlineStr">
        <is>
          <t>920690</t>
        </is>
      </c>
      <c r="C233" t="inlineStr">
        <is>
          <t>捷众科技</t>
        </is>
      </c>
      <c r="D233" t="inlineStr">
        <is>
          <t>资金流</t>
        </is>
      </c>
      <c r="E233" t="inlineStr">
        <is>
          <t>optional_missing</t>
        </is>
      </c>
      <c r="F233" t="inlineStr">
        <is>
          <t>快速模式未发现可靠的批量近五个交易日同口径字段，为避免逐股慢请求，本次留空</t>
        </is>
      </c>
      <c r="G233" t="b">
        <v>0</v>
      </c>
      <c r="H233" t="b">
        <v>1</v>
      </c>
      <c r="I233" t="inlineStr">
        <is>
          <t>东方财富</t>
        </is>
      </c>
      <c r="J233" t="inlineStr">
        <is>
          <t>东方财富</t>
        </is>
      </c>
      <c r="K233" t="inlineStr">
        <is>
          <t>fast-mode-no-reliable-batch-endpoint</t>
        </is>
      </c>
      <c r="L233" s="32" t="n">
        <v>46263.26159565565</v>
      </c>
      <c r="M233" t="b">
        <v>1</v>
      </c>
    </row>
    <row r="234">
      <c r="A234" t="inlineStr">
        <is>
          <t>A股</t>
        </is>
      </c>
      <c r="B234" t="inlineStr">
        <is>
          <t>920690</t>
        </is>
      </c>
      <c r="C234" t="inlineStr">
        <is>
          <t>捷众科技</t>
        </is>
      </c>
      <c r="D234" t="inlineStr">
        <is>
          <t>近五个交易日资金净额</t>
        </is>
      </c>
      <c r="E234" t="inlineStr">
        <is>
          <t>optional_missing</t>
        </is>
      </c>
      <c r="F234" t="inlineStr">
        <is>
          <t>近五个交易日资金净额：optional_missing</t>
        </is>
      </c>
      <c r="G234" t="b">
        <v>0</v>
      </c>
      <c r="H234" t="b">
        <v>1</v>
      </c>
      <c r="M234" t="b">
        <v>0</v>
      </c>
    </row>
    <row r="235">
      <c r="A235" t="inlineStr">
        <is>
          <t>A股</t>
        </is>
      </c>
      <c r="B235" t="inlineStr">
        <is>
          <t>920690</t>
        </is>
      </c>
      <c r="C235" t="inlineStr">
        <is>
          <t>捷众科技</t>
        </is>
      </c>
      <c r="D235" t="inlineStr">
        <is>
          <t>近一月资金净额（最近22个交易日）</t>
        </is>
      </c>
      <c r="E235" t="inlineStr">
        <is>
          <t>optional_missing</t>
        </is>
      </c>
      <c r="F235" t="inlineStr">
        <is>
          <t>近一月资金净额（最近22个交易日）：optional_missing</t>
        </is>
      </c>
      <c r="G235" t="b">
        <v>0</v>
      </c>
      <c r="H235" t="b">
        <v>1</v>
      </c>
      <c r="M235" t="b">
        <v>0</v>
      </c>
    </row>
    <row r="236">
      <c r="A236" t="inlineStr">
        <is>
          <t>A股</t>
        </is>
      </c>
      <c r="B236" t="inlineStr">
        <is>
          <t>920689</t>
        </is>
      </c>
      <c r="C236" t="inlineStr">
        <is>
          <t>克莱特</t>
        </is>
      </c>
      <c r="D236" t="inlineStr">
        <is>
          <t>资金流</t>
        </is>
      </c>
      <c r="E236" t="inlineStr">
        <is>
          <t>optional_missing</t>
        </is>
      </c>
      <c r="F236" t="inlineStr">
        <is>
          <t>快速模式未发现可靠的批量近五个交易日同口径字段，为避免逐股慢请求，本次留空</t>
        </is>
      </c>
      <c r="G236" t="b">
        <v>0</v>
      </c>
      <c r="H236" t="b">
        <v>1</v>
      </c>
      <c r="I236" t="inlineStr">
        <is>
          <t>东方财富</t>
        </is>
      </c>
      <c r="J236" t="inlineStr">
        <is>
          <t>东方财富</t>
        </is>
      </c>
      <c r="K236" t="inlineStr">
        <is>
          <t>fast-mode-no-reliable-batch-endpoint</t>
        </is>
      </c>
      <c r="L236" s="32" t="n">
        <v>46263.26159565565</v>
      </c>
      <c r="M236" t="b">
        <v>1</v>
      </c>
    </row>
    <row r="237">
      <c r="A237" t="inlineStr">
        <is>
          <t>A股</t>
        </is>
      </c>
      <c r="B237" t="inlineStr">
        <is>
          <t>920689</t>
        </is>
      </c>
      <c r="C237" t="inlineStr">
        <is>
          <t>克莱特</t>
        </is>
      </c>
      <c r="D237" t="inlineStr">
        <is>
          <t>近五个交易日资金净额</t>
        </is>
      </c>
      <c r="E237" t="inlineStr">
        <is>
          <t>optional_missing</t>
        </is>
      </c>
      <c r="F237" t="inlineStr">
        <is>
          <t>近五个交易日资金净额：optional_missing</t>
        </is>
      </c>
      <c r="G237" t="b">
        <v>0</v>
      </c>
      <c r="H237" t="b">
        <v>1</v>
      </c>
      <c r="M237" t="b">
        <v>0</v>
      </c>
    </row>
    <row r="238">
      <c r="A238" t="inlineStr">
        <is>
          <t>A股</t>
        </is>
      </c>
      <c r="B238" t="inlineStr">
        <is>
          <t>920689</t>
        </is>
      </c>
      <c r="C238" t="inlineStr">
        <is>
          <t>克莱特</t>
        </is>
      </c>
      <c r="D238" t="inlineStr">
        <is>
          <t>近一月资金净额（最近22个交易日）</t>
        </is>
      </c>
      <c r="E238" t="inlineStr">
        <is>
          <t>optional_missing</t>
        </is>
      </c>
      <c r="F238" t="inlineStr">
        <is>
          <t>近一月资金净额（最近22个交易日）：optional_missing</t>
        </is>
      </c>
      <c r="G238" t="b">
        <v>0</v>
      </c>
      <c r="H238" t="b">
        <v>1</v>
      </c>
      <c r="M238" t="b">
        <v>0</v>
      </c>
    </row>
    <row r="239">
      <c r="A239" t="inlineStr">
        <is>
          <t>A股</t>
        </is>
      </c>
      <c r="B239" t="inlineStr">
        <is>
          <t>920685</t>
        </is>
      </c>
      <c r="C239" t="inlineStr">
        <is>
          <t>新芝生物</t>
        </is>
      </c>
      <c r="D239" t="inlineStr">
        <is>
          <t>资金流</t>
        </is>
      </c>
      <c r="E239" t="inlineStr">
        <is>
          <t>optional_missing</t>
        </is>
      </c>
      <c r="F239" t="inlineStr">
        <is>
          <t>快速模式未发现可靠的批量近五个交易日同口径字段，为避免逐股慢请求，本次留空</t>
        </is>
      </c>
      <c r="G239" t="b">
        <v>0</v>
      </c>
      <c r="H239" t="b">
        <v>1</v>
      </c>
      <c r="I239" t="inlineStr">
        <is>
          <t>东方财富</t>
        </is>
      </c>
      <c r="J239" t="inlineStr">
        <is>
          <t>东方财富</t>
        </is>
      </c>
      <c r="K239" t="inlineStr">
        <is>
          <t>fast-mode-no-reliable-batch-endpoint</t>
        </is>
      </c>
      <c r="L239" s="32" t="n">
        <v>46263.26159565565</v>
      </c>
      <c r="M239" t="b">
        <v>1</v>
      </c>
    </row>
    <row r="240">
      <c r="A240" t="inlineStr">
        <is>
          <t>A股</t>
        </is>
      </c>
      <c r="B240" t="inlineStr">
        <is>
          <t>920685</t>
        </is>
      </c>
      <c r="C240" t="inlineStr">
        <is>
          <t>新芝生物</t>
        </is>
      </c>
      <c r="D240" t="inlineStr">
        <is>
          <t>近五个交易日资金净额</t>
        </is>
      </c>
      <c r="E240" t="inlineStr">
        <is>
          <t>optional_missing</t>
        </is>
      </c>
      <c r="F240" t="inlineStr">
        <is>
          <t>近五个交易日资金净额：optional_missing</t>
        </is>
      </c>
      <c r="G240" t="b">
        <v>0</v>
      </c>
      <c r="H240" t="b">
        <v>1</v>
      </c>
      <c r="M240" t="b">
        <v>0</v>
      </c>
    </row>
    <row r="241">
      <c r="A241" t="inlineStr">
        <is>
          <t>A股</t>
        </is>
      </c>
      <c r="B241" t="inlineStr">
        <is>
          <t>920685</t>
        </is>
      </c>
      <c r="C241" t="inlineStr">
        <is>
          <t>新芝生物</t>
        </is>
      </c>
      <c r="D241" t="inlineStr">
        <is>
          <t>近一月资金净额（最近22个交易日）</t>
        </is>
      </c>
      <c r="E241" t="inlineStr">
        <is>
          <t>optional_missing</t>
        </is>
      </c>
      <c r="F241" t="inlineStr">
        <is>
          <t>近一月资金净额（最近22个交易日）：optional_missing</t>
        </is>
      </c>
      <c r="G241" t="b">
        <v>0</v>
      </c>
      <c r="H241" t="b">
        <v>1</v>
      </c>
      <c r="M241" t="b">
        <v>0</v>
      </c>
    </row>
    <row r="242">
      <c r="A242" t="inlineStr">
        <is>
          <t>A股</t>
        </is>
      </c>
      <c r="B242" t="inlineStr">
        <is>
          <t>920682</t>
        </is>
      </c>
      <c r="C242" t="inlineStr">
        <is>
          <t>球冠电缆</t>
        </is>
      </c>
      <c r="D242" t="inlineStr">
        <is>
          <t>资金流</t>
        </is>
      </c>
      <c r="E242" t="inlineStr">
        <is>
          <t>optional_missing</t>
        </is>
      </c>
      <c r="F242" t="inlineStr">
        <is>
          <t>快速模式未发现可靠的批量近五个交易日同口径字段，为避免逐股慢请求，本次留空</t>
        </is>
      </c>
      <c r="G242" t="b">
        <v>0</v>
      </c>
      <c r="H242" t="b">
        <v>1</v>
      </c>
      <c r="I242" t="inlineStr">
        <is>
          <t>东方财富</t>
        </is>
      </c>
      <c r="J242" t="inlineStr">
        <is>
          <t>东方财富</t>
        </is>
      </c>
      <c r="K242" t="inlineStr">
        <is>
          <t>fast-mode-no-reliable-batch-endpoint</t>
        </is>
      </c>
      <c r="L242" s="32" t="n">
        <v>46263.26159565565</v>
      </c>
      <c r="M242" t="b">
        <v>1</v>
      </c>
    </row>
    <row r="243">
      <c r="A243" t="inlineStr">
        <is>
          <t>A股</t>
        </is>
      </c>
      <c r="B243" t="inlineStr">
        <is>
          <t>920682</t>
        </is>
      </c>
      <c r="C243" t="inlineStr">
        <is>
          <t>球冠电缆</t>
        </is>
      </c>
      <c r="D243" t="inlineStr">
        <is>
          <t>近五个交易日资金净额</t>
        </is>
      </c>
      <c r="E243" t="inlineStr">
        <is>
          <t>optional_missing</t>
        </is>
      </c>
      <c r="F243" t="inlineStr">
        <is>
          <t>近五个交易日资金净额：optional_missing</t>
        </is>
      </c>
      <c r="G243" t="b">
        <v>0</v>
      </c>
      <c r="H243" t="b">
        <v>1</v>
      </c>
      <c r="M243" t="b">
        <v>0</v>
      </c>
    </row>
    <row r="244">
      <c r="A244" t="inlineStr">
        <is>
          <t>A股</t>
        </is>
      </c>
      <c r="B244" t="inlineStr">
        <is>
          <t>920682</t>
        </is>
      </c>
      <c r="C244" t="inlineStr">
        <is>
          <t>球冠电缆</t>
        </is>
      </c>
      <c r="D244" t="inlineStr">
        <is>
          <t>近一月资金净额（最近22个交易日）</t>
        </is>
      </c>
      <c r="E244" t="inlineStr">
        <is>
          <t>optional_missing</t>
        </is>
      </c>
      <c r="F244" t="inlineStr">
        <is>
          <t>近一月资金净额（最近22个交易日）：optional_missing</t>
        </is>
      </c>
      <c r="G244" t="b">
        <v>0</v>
      </c>
      <c r="H244" t="b">
        <v>1</v>
      </c>
      <c r="M244" t="b">
        <v>0</v>
      </c>
    </row>
    <row r="245">
      <c r="A245" t="inlineStr">
        <is>
          <t>A股</t>
        </is>
      </c>
      <c r="B245" t="inlineStr">
        <is>
          <t>920680</t>
        </is>
      </c>
      <c r="C245" t="inlineStr">
        <is>
          <t>广道退</t>
        </is>
      </c>
      <c r="D245" t="inlineStr">
        <is>
          <t>最新行情</t>
        </is>
      </c>
      <c r="E245" t="inlineStr">
        <is>
          <t>missing</t>
        </is>
      </c>
      <c r="F245" t="inlineStr">
        <is>
          <t>指定证券批量行情中的最新价和总市值均缺失</t>
        </is>
      </c>
      <c r="G245" t="b">
        <v>0</v>
      </c>
      <c r="H245" t="b">
        <v>0</v>
      </c>
      <c r="I245" t="inlineStr">
        <is>
          <t>东方财富</t>
        </is>
      </c>
      <c r="J245" t="inlineStr">
        <is>
          <t>东方财富</t>
        </is>
      </c>
      <c r="K245" t="inlineStr">
        <is>
          <t>push2 ulist.np/get f2,f20（按指定证券分批）</t>
        </is>
      </c>
      <c r="L245" s="32" t="n">
        <v>46263.26140913873</v>
      </c>
      <c r="M245" t="b">
        <v>1</v>
      </c>
    </row>
    <row r="246">
      <c r="A246" t="inlineStr">
        <is>
          <t>A股</t>
        </is>
      </c>
      <c r="B246" t="inlineStr">
        <is>
          <t>920680</t>
        </is>
      </c>
      <c r="C246" t="inlineStr">
        <is>
          <t>广道退</t>
        </is>
      </c>
      <c r="D246" t="inlineStr">
        <is>
          <t>年度财务</t>
        </is>
      </c>
      <c r="E246" t="inlineStr">
        <is>
          <t>missing</t>
        </is>
      </c>
      <c r="F246" t="inlineStr">
        <is>
          <t>没有找到所选完整年度的结构化 A 股财务数据</t>
        </is>
      </c>
      <c r="G246" t="b">
        <v>1</v>
      </c>
      <c r="H246" t="b">
        <v>0</v>
      </c>
      <c r="I246" t="inlineStr">
        <is>
          <t>巨潮资讯（CNINFO Data Service）</t>
        </is>
      </c>
      <c r="J246" t="inlineStr">
        <is>
          <t>东方财富</t>
        </is>
      </c>
      <c r="K246" t="inlineStr">
        <is>
          <t>RPT_LICO_FN_CPD + RPT_DMSK_FN_CASHFLOW；巨潮回退原因：未配置巨潮官方 API 凭证/端点（CNINFO_ACCESS_TOKEN、CNINFO_INCOME_API_URL、CNINFO_CASHFLOW_API_URL）</t>
        </is>
      </c>
      <c r="L246" s="32" t="n">
        <v>46263.26151360759</v>
      </c>
      <c r="M246" t="b">
        <v>1</v>
      </c>
    </row>
    <row r="247">
      <c r="A247" t="inlineStr">
        <is>
          <t>A股</t>
        </is>
      </c>
      <c r="B247" t="inlineStr">
        <is>
          <t>920680</t>
        </is>
      </c>
      <c r="C247" t="inlineStr">
        <is>
          <t>广道退</t>
        </is>
      </c>
      <c r="D247" t="inlineStr">
        <is>
          <t>资金流</t>
        </is>
      </c>
      <c r="E247" t="inlineStr">
        <is>
          <t>optional_missing</t>
        </is>
      </c>
      <c r="F247" t="inlineStr">
        <is>
          <t>快速模式未发现可靠的批量近五个交易日同口径字段，为避免逐股慢请求，本次留空</t>
        </is>
      </c>
      <c r="G247" t="b">
        <v>0</v>
      </c>
      <c r="H247" t="b">
        <v>1</v>
      </c>
      <c r="I247" t="inlineStr">
        <is>
          <t>东方财富</t>
        </is>
      </c>
      <c r="J247" t="inlineStr">
        <is>
          <t>东方财富</t>
        </is>
      </c>
      <c r="K247" t="inlineStr">
        <is>
          <t>fast-mode-no-reliable-batch-endpoint</t>
        </is>
      </c>
      <c r="L247" s="32" t="n">
        <v>46263.26159565565</v>
      </c>
      <c r="M247" t="b">
        <v>1</v>
      </c>
    </row>
    <row r="248">
      <c r="A248" t="inlineStr">
        <is>
          <t>A股</t>
        </is>
      </c>
      <c r="B248" t="inlineStr">
        <is>
          <t>920680</t>
        </is>
      </c>
      <c r="C248" t="inlineStr">
        <is>
          <t>广道退</t>
        </is>
      </c>
      <c r="D248" t="inlineStr">
        <is>
          <t>营业收入</t>
        </is>
      </c>
      <c r="E248" t="inlineStr">
        <is>
          <t>missing</t>
        </is>
      </c>
      <c r="F248" t="inlineStr">
        <is>
          <t>缺少所选年度营业收入</t>
        </is>
      </c>
      <c r="G248" t="b">
        <v>1</v>
      </c>
      <c r="H248" t="b">
        <v>0</v>
      </c>
      <c r="M248" t="b">
        <v>0</v>
      </c>
    </row>
    <row r="249">
      <c r="A249" t="inlineStr">
        <is>
          <t>A股</t>
        </is>
      </c>
      <c r="B249" t="inlineStr">
        <is>
          <t>920680</t>
        </is>
      </c>
      <c r="C249" t="inlineStr">
        <is>
          <t>广道退</t>
        </is>
      </c>
      <c r="D249" t="inlineStr">
        <is>
          <t>营业收入同比</t>
        </is>
      </c>
      <c r="E249" t="inlineStr">
        <is>
          <t>missing</t>
        </is>
      </c>
      <c r="F249" t="inlineStr">
        <is>
          <t>营业收入同比：missing</t>
        </is>
      </c>
      <c r="G249" t="b">
        <v>0</v>
      </c>
      <c r="H249" t="b">
        <v>0</v>
      </c>
      <c r="M249" t="b">
        <v>0</v>
      </c>
    </row>
    <row r="250">
      <c r="A250" t="inlineStr">
        <is>
          <t>A股</t>
        </is>
      </c>
      <c r="B250" t="inlineStr">
        <is>
          <t>920680</t>
        </is>
      </c>
      <c r="C250" t="inlineStr">
        <is>
          <t>广道退</t>
        </is>
      </c>
      <c r="D250" t="inlineStr">
        <is>
          <t>营业收入三年 CAGR</t>
        </is>
      </c>
      <c r="E250" t="inlineStr">
        <is>
          <t>missing</t>
        </is>
      </c>
      <c r="F250" t="inlineStr">
        <is>
          <t>营业收入三年 CAGR：missing</t>
        </is>
      </c>
      <c r="G250" t="b">
        <v>0</v>
      </c>
      <c r="H250" t="b">
        <v>0</v>
      </c>
      <c r="M250" t="b">
        <v>0</v>
      </c>
    </row>
    <row r="251">
      <c r="A251" t="inlineStr">
        <is>
          <t>A股</t>
        </is>
      </c>
      <c r="B251" t="inlineStr">
        <is>
          <t>920680</t>
        </is>
      </c>
      <c r="C251" t="inlineStr">
        <is>
          <t>广道退</t>
        </is>
      </c>
      <c r="D251" t="inlineStr">
        <is>
          <t>毛利率</t>
        </is>
      </c>
      <c r="E251" t="inlineStr">
        <is>
          <t>missing</t>
        </is>
      </c>
      <c r="F251" t="inlineStr">
        <is>
          <t>毛利率：missing</t>
        </is>
      </c>
      <c r="G251" t="b">
        <v>0</v>
      </c>
      <c r="H251" t="b">
        <v>0</v>
      </c>
      <c r="M251" t="b">
        <v>0</v>
      </c>
    </row>
    <row r="252">
      <c r="A252" t="inlineStr">
        <is>
          <t>A股</t>
        </is>
      </c>
      <c r="B252" t="inlineStr">
        <is>
          <t>920680</t>
        </is>
      </c>
      <c r="C252" t="inlineStr">
        <is>
          <t>广道退</t>
        </is>
      </c>
      <c r="D252" t="inlineStr">
        <is>
          <t>毛利率同比变化（百分点）</t>
        </is>
      </c>
      <c r="E252" t="inlineStr">
        <is>
          <t>missing</t>
        </is>
      </c>
      <c r="F252" t="inlineStr">
        <is>
          <t>毛利率同比变化（百分点）：missing</t>
        </is>
      </c>
      <c r="G252" t="b">
        <v>0</v>
      </c>
      <c r="H252" t="b">
        <v>0</v>
      </c>
      <c r="M252" t="b">
        <v>0</v>
      </c>
    </row>
    <row r="253">
      <c r="A253" t="inlineStr">
        <is>
          <t>A股</t>
        </is>
      </c>
      <c r="B253" t="inlineStr">
        <is>
          <t>920680</t>
        </is>
      </c>
      <c r="C253" t="inlineStr">
        <is>
          <t>广道退</t>
        </is>
      </c>
      <c r="D253" t="inlineStr">
        <is>
          <t>毛利率三年变化（百分点）</t>
        </is>
      </c>
      <c r="E253" t="inlineStr">
        <is>
          <t>missing</t>
        </is>
      </c>
      <c r="F253" t="inlineStr">
        <is>
          <t>毛利率三年变化（百分点）：missing</t>
        </is>
      </c>
      <c r="G253" t="b">
        <v>0</v>
      </c>
      <c r="H253" t="b">
        <v>0</v>
      </c>
      <c r="M253" t="b">
        <v>0</v>
      </c>
    </row>
    <row r="254">
      <c r="A254" t="inlineStr">
        <is>
          <t>A股</t>
        </is>
      </c>
      <c r="B254" t="inlineStr">
        <is>
          <t>920680</t>
        </is>
      </c>
      <c r="C254" t="inlineStr">
        <is>
          <t>广道退</t>
        </is>
      </c>
      <c r="D254" t="inlineStr">
        <is>
          <t>归母净利润</t>
        </is>
      </c>
      <c r="E254" t="inlineStr">
        <is>
          <t>missing</t>
        </is>
      </c>
      <c r="F254" t="inlineStr">
        <is>
          <t>归母净利润：missing</t>
        </is>
      </c>
      <c r="G254" t="b">
        <v>0</v>
      </c>
      <c r="H254" t="b">
        <v>0</v>
      </c>
      <c r="M254" t="b">
        <v>0</v>
      </c>
    </row>
    <row r="255">
      <c r="A255" t="inlineStr">
        <is>
          <t>A股</t>
        </is>
      </c>
      <c r="B255" t="inlineStr">
        <is>
          <t>920680</t>
        </is>
      </c>
      <c r="C255" t="inlineStr">
        <is>
          <t>广道退</t>
        </is>
      </c>
      <c r="D255" t="inlineStr">
        <is>
          <t>归母净利率</t>
        </is>
      </c>
      <c r="E255" t="inlineStr">
        <is>
          <t>missing</t>
        </is>
      </c>
      <c r="F255" t="inlineStr">
        <is>
          <t>归母净利率：missing</t>
        </is>
      </c>
      <c r="G255" t="b">
        <v>0</v>
      </c>
      <c r="H255" t="b">
        <v>0</v>
      </c>
      <c r="M255" t="b">
        <v>0</v>
      </c>
    </row>
    <row r="256">
      <c r="A256" t="inlineStr">
        <is>
          <t>A股</t>
        </is>
      </c>
      <c r="B256" t="inlineStr">
        <is>
          <t>920680</t>
        </is>
      </c>
      <c r="C256" t="inlineStr">
        <is>
          <t>广道退</t>
        </is>
      </c>
      <c r="D256" t="inlineStr">
        <is>
          <t>归母净利润同比</t>
        </is>
      </c>
      <c r="E256" t="inlineStr">
        <is>
          <t>missing</t>
        </is>
      </c>
      <c r="F256" t="inlineStr">
        <is>
          <t>归母净利润同比：missing</t>
        </is>
      </c>
      <c r="G256" t="b">
        <v>0</v>
      </c>
      <c r="H256" t="b">
        <v>0</v>
      </c>
      <c r="M256" t="b">
        <v>0</v>
      </c>
    </row>
    <row r="257">
      <c r="A257" t="inlineStr">
        <is>
          <t>A股</t>
        </is>
      </c>
      <c r="B257" t="inlineStr">
        <is>
          <t>920680</t>
        </is>
      </c>
      <c r="C257" t="inlineStr">
        <is>
          <t>广道退</t>
        </is>
      </c>
      <c r="D257" t="inlineStr">
        <is>
          <t>归母净利润三年 CAGR</t>
        </is>
      </c>
      <c r="E257" t="inlineStr">
        <is>
          <t>missing</t>
        </is>
      </c>
      <c r="F257" t="inlineStr">
        <is>
          <t>归母净利润三年 CAGR：missing</t>
        </is>
      </c>
      <c r="G257" t="b">
        <v>0</v>
      </c>
      <c r="H257" t="b">
        <v>0</v>
      </c>
      <c r="M257" t="b">
        <v>0</v>
      </c>
    </row>
    <row r="258">
      <c r="A258" t="inlineStr">
        <is>
          <t>A股</t>
        </is>
      </c>
      <c r="B258" t="inlineStr">
        <is>
          <t>920680</t>
        </is>
      </c>
      <c r="C258" t="inlineStr">
        <is>
          <t>广道退</t>
        </is>
      </c>
      <c r="D258" t="inlineStr">
        <is>
          <t>经营活动现金流净额</t>
        </is>
      </c>
      <c r="E258" t="inlineStr">
        <is>
          <t>missing</t>
        </is>
      </c>
      <c r="F258" t="inlineStr">
        <is>
          <t>经营活动现金流净额：missing</t>
        </is>
      </c>
      <c r="G258" t="b">
        <v>0</v>
      </c>
      <c r="H258" t="b">
        <v>0</v>
      </c>
      <c r="M258" t="b">
        <v>0</v>
      </c>
    </row>
    <row r="259">
      <c r="A259" t="inlineStr">
        <is>
          <t>A股</t>
        </is>
      </c>
      <c r="B259" t="inlineStr">
        <is>
          <t>920680</t>
        </is>
      </c>
      <c r="C259" t="inlineStr">
        <is>
          <t>广道退</t>
        </is>
      </c>
      <c r="D259" t="inlineStr">
        <is>
          <t>经营活动现金流同比</t>
        </is>
      </c>
      <c r="E259" t="inlineStr">
        <is>
          <t>missing</t>
        </is>
      </c>
      <c r="F259" t="inlineStr">
        <is>
          <t>经营活动现金流同比：missing</t>
        </is>
      </c>
      <c r="G259" t="b">
        <v>0</v>
      </c>
      <c r="H259" t="b">
        <v>0</v>
      </c>
      <c r="M259" t="b">
        <v>0</v>
      </c>
    </row>
    <row r="260">
      <c r="A260" t="inlineStr">
        <is>
          <t>A股</t>
        </is>
      </c>
      <c r="B260" t="inlineStr">
        <is>
          <t>920680</t>
        </is>
      </c>
      <c r="C260" t="inlineStr">
        <is>
          <t>广道退</t>
        </is>
      </c>
      <c r="D260" t="inlineStr">
        <is>
          <t>经营活动现金流三年 CAGR</t>
        </is>
      </c>
      <c r="E260" t="inlineStr">
        <is>
          <t>missing</t>
        </is>
      </c>
      <c r="F260" t="inlineStr">
        <is>
          <t>经营活动现金流三年 CAGR：missing</t>
        </is>
      </c>
      <c r="G260" t="b">
        <v>0</v>
      </c>
      <c r="H260" t="b">
        <v>0</v>
      </c>
      <c r="M260" t="b">
        <v>0</v>
      </c>
    </row>
    <row r="261">
      <c r="A261" t="inlineStr">
        <is>
          <t>A股</t>
        </is>
      </c>
      <c r="B261" t="inlineStr">
        <is>
          <t>920680</t>
        </is>
      </c>
      <c r="C261" t="inlineStr">
        <is>
          <t>广道退</t>
        </is>
      </c>
      <c r="D261" t="inlineStr">
        <is>
          <t>市值增长率</t>
        </is>
      </c>
      <c r="E261" t="inlineStr">
        <is>
          <t>missing</t>
        </is>
      </c>
      <c r="F261" t="inlineStr">
        <is>
          <t>市值增长率：missing</t>
        </is>
      </c>
      <c r="G261" t="b">
        <v>0</v>
      </c>
      <c r="H261" t="b">
        <v>0</v>
      </c>
      <c r="M261" t="b">
        <v>0</v>
      </c>
    </row>
    <row r="262">
      <c r="A262" t="inlineStr">
        <is>
          <t>A股</t>
        </is>
      </c>
      <c r="B262" t="inlineStr">
        <is>
          <t>920680</t>
        </is>
      </c>
      <c r="C262" t="inlineStr">
        <is>
          <t>广道退</t>
        </is>
      </c>
      <c r="D262" t="inlineStr">
        <is>
          <t>最新总市值</t>
        </is>
      </c>
      <c r="E262" t="inlineStr">
        <is>
          <t>missing</t>
        </is>
      </c>
      <c r="F262" t="inlineStr">
        <is>
          <t>最新总市值：missing</t>
        </is>
      </c>
      <c r="G262" t="b">
        <v>0</v>
      </c>
      <c r="H262" t="b">
        <v>0</v>
      </c>
      <c r="M262" t="b">
        <v>0</v>
      </c>
    </row>
    <row r="263">
      <c r="A263" t="inlineStr">
        <is>
          <t>A股</t>
        </is>
      </c>
      <c r="B263" t="inlineStr">
        <is>
          <t>920680</t>
        </is>
      </c>
      <c r="C263" t="inlineStr">
        <is>
          <t>广道退</t>
        </is>
      </c>
      <c r="D263" t="inlineStr">
        <is>
          <t>最新价</t>
        </is>
      </c>
      <c r="E263" t="inlineStr">
        <is>
          <t>missing</t>
        </is>
      </c>
      <c r="F263" t="inlineStr">
        <is>
          <t>最新价：missing</t>
        </is>
      </c>
      <c r="G263" t="b">
        <v>0</v>
      </c>
      <c r="H263" t="b">
        <v>0</v>
      </c>
      <c r="M263" t="b">
        <v>0</v>
      </c>
    </row>
    <row r="264">
      <c r="A264" t="inlineStr">
        <is>
          <t>A股</t>
        </is>
      </c>
      <c r="B264" t="inlineStr">
        <is>
          <t>920680</t>
        </is>
      </c>
      <c r="C264" t="inlineStr">
        <is>
          <t>广道退</t>
        </is>
      </c>
      <c r="D264" t="inlineStr">
        <is>
          <t>近五个交易日资金净额</t>
        </is>
      </c>
      <c r="E264" t="inlineStr">
        <is>
          <t>optional_missing</t>
        </is>
      </c>
      <c r="F264" t="inlineStr">
        <is>
          <t>近五个交易日资金净额：optional_missing</t>
        </is>
      </c>
      <c r="G264" t="b">
        <v>0</v>
      </c>
      <c r="H264" t="b">
        <v>1</v>
      </c>
      <c r="M264" t="b">
        <v>0</v>
      </c>
    </row>
    <row r="265">
      <c r="A265" t="inlineStr">
        <is>
          <t>A股</t>
        </is>
      </c>
      <c r="B265" t="inlineStr">
        <is>
          <t>920680</t>
        </is>
      </c>
      <c r="C265" t="inlineStr">
        <is>
          <t>广道退</t>
        </is>
      </c>
      <c r="D265" t="inlineStr">
        <is>
          <t>近一月资金净额（最近22个交易日）</t>
        </is>
      </c>
      <c r="E265" t="inlineStr">
        <is>
          <t>optional_missing</t>
        </is>
      </c>
      <c r="F265" t="inlineStr">
        <is>
          <t>近一月资金净额（最近22个交易日）：optional_missing</t>
        </is>
      </c>
      <c r="G265" t="b">
        <v>0</v>
      </c>
      <c r="H265" t="b">
        <v>1</v>
      </c>
      <c r="M265" t="b">
        <v>0</v>
      </c>
    </row>
    <row r="266">
      <c r="A266" t="inlineStr">
        <is>
          <t>A股</t>
        </is>
      </c>
      <c r="B266" t="inlineStr">
        <is>
          <t>920679</t>
        </is>
      </c>
      <c r="C266" t="inlineStr">
        <is>
          <t>前进科技</t>
        </is>
      </c>
      <c r="D266" t="inlineStr">
        <is>
          <t>资金流</t>
        </is>
      </c>
      <c r="E266" t="inlineStr">
        <is>
          <t>optional_missing</t>
        </is>
      </c>
      <c r="F266" t="inlineStr">
        <is>
          <t>快速模式未发现可靠的批量近五个交易日同口径字段，为避免逐股慢请求，本次留空</t>
        </is>
      </c>
      <c r="G266" t="b">
        <v>0</v>
      </c>
      <c r="H266" t="b">
        <v>1</v>
      </c>
      <c r="I266" t="inlineStr">
        <is>
          <t>东方财富</t>
        </is>
      </c>
      <c r="J266" t="inlineStr">
        <is>
          <t>东方财富</t>
        </is>
      </c>
      <c r="K266" t="inlineStr">
        <is>
          <t>fast-mode-no-reliable-batch-endpoint</t>
        </is>
      </c>
      <c r="L266" s="32" t="n">
        <v>46263.26159565565</v>
      </c>
      <c r="M266" t="b">
        <v>1</v>
      </c>
    </row>
    <row r="267">
      <c r="A267" t="inlineStr">
        <is>
          <t>A股</t>
        </is>
      </c>
      <c r="B267" t="inlineStr">
        <is>
          <t>920679</t>
        </is>
      </c>
      <c r="C267" t="inlineStr">
        <is>
          <t>前进科技</t>
        </is>
      </c>
      <c r="D267" t="inlineStr">
        <is>
          <t>近五个交易日资金净额</t>
        </is>
      </c>
      <c r="E267" t="inlineStr">
        <is>
          <t>optional_missing</t>
        </is>
      </c>
      <c r="F267" t="inlineStr">
        <is>
          <t>近五个交易日资金净额：optional_missing</t>
        </is>
      </c>
      <c r="G267" t="b">
        <v>0</v>
      </c>
      <c r="H267" t="b">
        <v>1</v>
      </c>
      <c r="M267" t="b">
        <v>0</v>
      </c>
    </row>
    <row r="268">
      <c r="A268" t="inlineStr">
        <is>
          <t>A股</t>
        </is>
      </c>
      <c r="B268" t="inlineStr">
        <is>
          <t>920679</t>
        </is>
      </c>
      <c r="C268" t="inlineStr">
        <is>
          <t>前进科技</t>
        </is>
      </c>
      <c r="D268" t="inlineStr">
        <is>
          <t>近一月资金净额（最近22个交易日）</t>
        </is>
      </c>
      <c r="E268" t="inlineStr">
        <is>
          <t>optional_missing</t>
        </is>
      </c>
      <c r="F268" t="inlineStr">
        <is>
          <t>近一月资金净额（最近22个交易日）：optional_missing</t>
        </is>
      </c>
      <c r="G268" t="b">
        <v>0</v>
      </c>
      <c r="H268" t="b">
        <v>1</v>
      </c>
      <c r="M268" t="b">
        <v>0</v>
      </c>
    </row>
    <row r="269">
      <c r="A269" t="inlineStr">
        <is>
          <t>A股</t>
        </is>
      </c>
      <c r="B269" t="inlineStr">
        <is>
          <t>920675</t>
        </is>
      </c>
      <c r="C269" t="inlineStr">
        <is>
          <t>秉扬科技</t>
        </is>
      </c>
      <c r="D269" t="inlineStr">
        <is>
          <t>资金流</t>
        </is>
      </c>
      <c r="E269" t="inlineStr">
        <is>
          <t>optional_missing</t>
        </is>
      </c>
      <c r="F269" t="inlineStr">
        <is>
          <t>快速模式未发现可靠的批量近五个交易日同口径字段，为避免逐股慢请求，本次留空</t>
        </is>
      </c>
      <c r="G269" t="b">
        <v>0</v>
      </c>
      <c r="H269" t="b">
        <v>1</v>
      </c>
      <c r="I269" t="inlineStr">
        <is>
          <t>东方财富</t>
        </is>
      </c>
      <c r="J269" t="inlineStr">
        <is>
          <t>东方财富</t>
        </is>
      </c>
      <c r="K269" t="inlineStr">
        <is>
          <t>fast-mode-no-reliable-batch-endpoint</t>
        </is>
      </c>
      <c r="L269" s="32" t="n">
        <v>46263.26159565565</v>
      </c>
      <c r="M269" t="b">
        <v>1</v>
      </c>
    </row>
    <row r="270">
      <c r="A270" t="inlineStr">
        <is>
          <t>A股</t>
        </is>
      </c>
      <c r="B270" t="inlineStr">
        <is>
          <t>920675</t>
        </is>
      </c>
      <c r="C270" t="inlineStr">
        <is>
          <t>秉扬科技</t>
        </is>
      </c>
      <c r="D270" t="inlineStr">
        <is>
          <t>近五个交易日资金净额</t>
        </is>
      </c>
      <c r="E270" t="inlineStr">
        <is>
          <t>optional_missing</t>
        </is>
      </c>
      <c r="F270" t="inlineStr">
        <is>
          <t>近五个交易日资金净额：optional_missing</t>
        </is>
      </c>
      <c r="G270" t="b">
        <v>0</v>
      </c>
      <c r="H270" t="b">
        <v>1</v>
      </c>
      <c r="M270" t="b">
        <v>0</v>
      </c>
    </row>
    <row r="271">
      <c r="A271" t="inlineStr">
        <is>
          <t>A股</t>
        </is>
      </c>
      <c r="B271" t="inlineStr">
        <is>
          <t>920675</t>
        </is>
      </c>
      <c r="C271" t="inlineStr">
        <is>
          <t>秉扬科技</t>
        </is>
      </c>
      <c r="D271" t="inlineStr">
        <is>
          <t>近一月资金净额（最近22个交易日）</t>
        </is>
      </c>
      <c r="E271" t="inlineStr">
        <is>
          <t>optional_missing</t>
        </is>
      </c>
      <c r="F271" t="inlineStr">
        <is>
          <t>近一月资金净额（最近22个交易日）：optional_missing</t>
        </is>
      </c>
      <c r="G271" t="b">
        <v>0</v>
      </c>
      <c r="H271" t="b">
        <v>1</v>
      </c>
      <c r="M271" t="b">
        <v>0</v>
      </c>
    </row>
    <row r="272">
      <c r="A272" t="inlineStr">
        <is>
          <t>A股</t>
        </is>
      </c>
      <c r="B272" t="inlineStr">
        <is>
          <t>920670</t>
        </is>
      </c>
      <c r="C272" t="inlineStr">
        <is>
          <t>数字人</t>
        </is>
      </c>
      <c r="D272" t="inlineStr">
        <is>
          <t>资金流</t>
        </is>
      </c>
      <c r="E272" t="inlineStr">
        <is>
          <t>optional_missing</t>
        </is>
      </c>
      <c r="F272" t="inlineStr">
        <is>
          <t>快速模式未发现可靠的批量近五个交易日同口径字段，为避免逐股慢请求，本次留空</t>
        </is>
      </c>
      <c r="G272" t="b">
        <v>0</v>
      </c>
      <c r="H272" t="b">
        <v>1</v>
      </c>
      <c r="I272" t="inlineStr">
        <is>
          <t>东方财富</t>
        </is>
      </c>
      <c r="J272" t="inlineStr">
        <is>
          <t>东方财富</t>
        </is>
      </c>
      <c r="K272" t="inlineStr">
        <is>
          <t>fast-mode-no-reliable-batch-endpoint</t>
        </is>
      </c>
      <c r="L272" s="32" t="n">
        <v>46263.26159565565</v>
      </c>
      <c r="M272" t="b">
        <v>1</v>
      </c>
    </row>
    <row r="273">
      <c r="A273" t="inlineStr">
        <is>
          <t>A股</t>
        </is>
      </c>
      <c r="B273" t="inlineStr">
        <is>
          <t>920670</t>
        </is>
      </c>
      <c r="C273" t="inlineStr">
        <is>
          <t>数字人</t>
        </is>
      </c>
      <c r="D273" t="inlineStr">
        <is>
          <t>近五个交易日资金净额</t>
        </is>
      </c>
      <c r="E273" t="inlineStr">
        <is>
          <t>optional_missing</t>
        </is>
      </c>
      <c r="F273" t="inlineStr">
        <is>
          <t>近五个交易日资金净额：optional_missing</t>
        </is>
      </c>
      <c r="G273" t="b">
        <v>0</v>
      </c>
      <c r="H273" t="b">
        <v>1</v>
      </c>
      <c r="M273" t="b">
        <v>0</v>
      </c>
    </row>
    <row r="274">
      <c r="A274" t="inlineStr">
        <is>
          <t>A股</t>
        </is>
      </c>
      <c r="B274" t="inlineStr">
        <is>
          <t>920670</t>
        </is>
      </c>
      <c r="C274" t="inlineStr">
        <is>
          <t>数字人</t>
        </is>
      </c>
      <c r="D274" t="inlineStr">
        <is>
          <t>近一月资金净额（最近22个交易日）</t>
        </is>
      </c>
      <c r="E274" t="inlineStr">
        <is>
          <t>optional_missing</t>
        </is>
      </c>
      <c r="F274" t="inlineStr">
        <is>
          <t>近一月资金净额（最近22个交易日）：optional_missing</t>
        </is>
      </c>
      <c r="G274" t="b">
        <v>0</v>
      </c>
      <c r="H274" t="b">
        <v>1</v>
      </c>
      <c r="M274" t="b">
        <v>0</v>
      </c>
    </row>
    <row r="275">
      <c r="A275" t="inlineStr">
        <is>
          <t>A股</t>
        </is>
      </c>
      <c r="B275" t="inlineStr">
        <is>
          <t>920665</t>
        </is>
      </c>
      <c r="C275" t="inlineStr">
        <is>
          <t>科强股份</t>
        </is>
      </c>
      <c r="D275" t="inlineStr">
        <is>
          <t>资金流</t>
        </is>
      </c>
      <c r="E275" t="inlineStr">
        <is>
          <t>optional_missing</t>
        </is>
      </c>
      <c r="F275" t="inlineStr">
        <is>
          <t>快速模式未发现可靠的批量近五个交易日同口径字段，为避免逐股慢请求，本次留空</t>
        </is>
      </c>
      <c r="G275" t="b">
        <v>0</v>
      </c>
      <c r="H275" t="b">
        <v>1</v>
      </c>
      <c r="I275" t="inlineStr">
        <is>
          <t>东方财富</t>
        </is>
      </c>
      <c r="J275" t="inlineStr">
        <is>
          <t>东方财富</t>
        </is>
      </c>
      <c r="K275" t="inlineStr">
        <is>
          <t>fast-mode-no-reliable-batch-endpoint</t>
        </is>
      </c>
      <c r="L275" s="32" t="n">
        <v>46263.26159565565</v>
      </c>
      <c r="M275" t="b">
        <v>1</v>
      </c>
    </row>
    <row r="276">
      <c r="A276" t="inlineStr">
        <is>
          <t>A股</t>
        </is>
      </c>
      <c r="B276" t="inlineStr">
        <is>
          <t>920665</t>
        </is>
      </c>
      <c r="C276" t="inlineStr">
        <is>
          <t>科强股份</t>
        </is>
      </c>
      <c r="D276" t="inlineStr">
        <is>
          <t>近五个交易日资金净额</t>
        </is>
      </c>
      <c r="E276" t="inlineStr">
        <is>
          <t>optional_missing</t>
        </is>
      </c>
      <c r="F276" t="inlineStr">
        <is>
          <t>近五个交易日资金净额：optional_missing</t>
        </is>
      </c>
      <c r="G276" t="b">
        <v>0</v>
      </c>
      <c r="H276" t="b">
        <v>1</v>
      </c>
      <c r="M276" t="b">
        <v>0</v>
      </c>
    </row>
    <row r="277">
      <c r="A277" t="inlineStr">
        <is>
          <t>A股</t>
        </is>
      </c>
      <c r="B277" t="inlineStr">
        <is>
          <t>920665</t>
        </is>
      </c>
      <c r="C277" t="inlineStr">
        <is>
          <t>科强股份</t>
        </is>
      </c>
      <c r="D277" t="inlineStr">
        <is>
          <t>近一月资金净额（最近22个交易日）</t>
        </is>
      </c>
      <c r="E277" t="inlineStr">
        <is>
          <t>optional_missing</t>
        </is>
      </c>
      <c r="F277" t="inlineStr">
        <is>
          <t>近一月资金净额（最近22个交易日）：optional_missing</t>
        </is>
      </c>
      <c r="G277" t="b">
        <v>0</v>
      </c>
      <c r="H277" t="b">
        <v>1</v>
      </c>
      <c r="M277" t="b">
        <v>0</v>
      </c>
    </row>
    <row r="278">
      <c r="A278" t="inlineStr">
        <is>
          <t>A股</t>
        </is>
      </c>
      <c r="B278" t="inlineStr">
        <is>
          <t>920663</t>
        </is>
      </c>
      <c r="C278" t="inlineStr">
        <is>
          <t>明阳科技</t>
        </is>
      </c>
      <c r="D278" t="inlineStr">
        <is>
          <t>资金流</t>
        </is>
      </c>
      <c r="E278" t="inlineStr">
        <is>
          <t>optional_missing</t>
        </is>
      </c>
      <c r="F278" t="inlineStr">
        <is>
          <t>快速模式未发现可靠的批量近五个交易日同口径字段，为避免逐股慢请求，本次留空</t>
        </is>
      </c>
      <c r="G278" t="b">
        <v>0</v>
      </c>
      <c r="H278" t="b">
        <v>1</v>
      </c>
      <c r="I278" t="inlineStr">
        <is>
          <t>东方财富</t>
        </is>
      </c>
      <c r="J278" t="inlineStr">
        <is>
          <t>东方财富</t>
        </is>
      </c>
      <c r="K278" t="inlineStr">
        <is>
          <t>fast-mode-no-reliable-batch-endpoint</t>
        </is>
      </c>
      <c r="L278" s="32" t="n">
        <v>46263.26159565565</v>
      </c>
      <c r="M278" t="b">
        <v>1</v>
      </c>
    </row>
    <row r="279">
      <c r="A279" t="inlineStr">
        <is>
          <t>A股</t>
        </is>
      </c>
      <c r="B279" t="inlineStr">
        <is>
          <t>920663</t>
        </is>
      </c>
      <c r="C279" t="inlineStr">
        <is>
          <t>明阳科技</t>
        </is>
      </c>
      <c r="D279" t="inlineStr">
        <is>
          <t>近五个交易日资金净额</t>
        </is>
      </c>
      <c r="E279" t="inlineStr">
        <is>
          <t>optional_missing</t>
        </is>
      </c>
      <c r="F279" t="inlineStr">
        <is>
          <t>近五个交易日资金净额：optional_missing</t>
        </is>
      </c>
      <c r="G279" t="b">
        <v>0</v>
      </c>
      <c r="H279" t="b">
        <v>1</v>
      </c>
      <c r="M279" t="b">
        <v>0</v>
      </c>
    </row>
    <row r="280">
      <c r="A280" t="inlineStr">
        <is>
          <t>A股</t>
        </is>
      </c>
      <c r="B280" t="inlineStr">
        <is>
          <t>920663</t>
        </is>
      </c>
      <c r="C280" t="inlineStr">
        <is>
          <t>明阳科技</t>
        </is>
      </c>
      <c r="D280" t="inlineStr">
        <is>
          <t>近一月资金净额（最近22个交易日）</t>
        </is>
      </c>
      <c r="E280" t="inlineStr">
        <is>
          <t>optional_missing</t>
        </is>
      </c>
      <c r="F280" t="inlineStr">
        <is>
          <t>近一月资金净额（最近22个交易日）：optional_missing</t>
        </is>
      </c>
      <c r="G280" t="b">
        <v>0</v>
      </c>
      <c r="H280" t="b">
        <v>1</v>
      </c>
      <c r="M280" t="b">
        <v>0</v>
      </c>
    </row>
    <row r="281">
      <c r="A281" t="inlineStr">
        <is>
          <t>A股</t>
        </is>
      </c>
      <c r="B281" t="inlineStr">
        <is>
          <t>920662</t>
        </is>
      </c>
      <c r="C281" t="inlineStr">
        <is>
          <t>方盛股份</t>
        </is>
      </c>
      <c r="D281" t="inlineStr">
        <is>
          <t>资金流</t>
        </is>
      </c>
      <c r="E281" t="inlineStr">
        <is>
          <t>optional_missing</t>
        </is>
      </c>
      <c r="F281" t="inlineStr">
        <is>
          <t>快速模式未发现可靠的批量近五个交易日同口径字段，为避免逐股慢请求，本次留空</t>
        </is>
      </c>
      <c r="G281" t="b">
        <v>0</v>
      </c>
      <c r="H281" t="b">
        <v>1</v>
      </c>
      <c r="I281" t="inlineStr">
        <is>
          <t>东方财富</t>
        </is>
      </c>
      <c r="J281" t="inlineStr">
        <is>
          <t>东方财富</t>
        </is>
      </c>
      <c r="K281" t="inlineStr">
        <is>
          <t>fast-mode-no-reliable-batch-endpoint</t>
        </is>
      </c>
      <c r="L281" s="32" t="n">
        <v>46263.26159565565</v>
      </c>
      <c r="M281" t="b">
        <v>1</v>
      </c>
    </row>
    <row r="282">
      <c r="A282" t="inlineStr">
        <is>
          <t>A股</t>
        </is>
      </c>
      <c r="B282" t="inlineStr">
        <is>
          <t>920662</t>
        </is>
      </c>
      <c r="C282" t="inlineStr">
        <is>
          <t>方盛股份</t>
        </is>
      </c>
      <c r="D282" t="inlineStr">
        <is>
          <t>近五个交易日资金净额</t>
        </is>
      </c>
      <c r="E282" t="inlineStr">
        <is>
          <t>optional_missing</t>
        </is>
      </c>
      <c r="F282" t="inlineStr">
        <is>
          <t>近五个交易日资金净额：optional_missing</t>
        </is>
      </c>
      <c r="G282" t="b">
        <v>0</v>
      </c>
      <c r="H282" t="b">
        <v>1</v>
      </c>
      <c r="M282" t="b">
        <v>0</v>
      </c>
    </row>
    <row r="283">
      <c r="A283" t="inlineStr">
        <is>
          <t>A股</t>
        </is>
      </c>
      <c r="B283" t="inlineStr">
        <is>
          <t>920662</t>
        </is>
      </c>
      <c r="C283" t="inlineStr">
        <is>
          <t>方盛股份</t>
        </is>
      </c>
      <c r="D283" t="inlineStr">
        <is>
          <t>近一月资金净额（最近22个交易日）</t>
        </is>
      </c>
      <c r="E283" t="inlineStr">
        <is>
          <t>optional_missing</t>
        </is>
      </c>
      <c r="F283" t="inlineStr">
        <is>
          <t>近一月资金净额（最近22个交易日）：optional_missing</t>
        </is>
      </c>
      <c r="G283" t="b">
        <v>0</v>
      </c>
      <c r="H283" t="b">
        <v>1</v>
      </c>
      <c r="M283" t="b">
        <v>0</v>
      </c>
    </row>
    <row r="284">
      <c r="A284" t="inlineStr">
        <is>
          <t>A股</t>
        </is>
      </c>
      <c r="B284" t="inlineStr">
        <is>
          <t>920656</t>
        </is>
      </c>
      <c r="C284" t="inlineStr">
        <is>
          <t>海昇药业</t>
        </is>
      </c>
      <c r="D284" t="inlineStr">
        <is>
          <t>资金流</t>
        </is>
      </c>
      <c r="E284" t="inlineStr">
        <is>
          <t>optional_missing</t>
        </is>
      </c>
      <c r="F284" t="inlineStr">
        <is>
          <t>快速模式未发现可靠的批量近五个交易日同口径字段，为避免逐股慢请求，本次留空</t>
        </is>
      </c>
      <c r="G284" t="b">
        <v>0</v>
      </c>
      <c r="H284" t="b">
        <v>1</v>
      </c>
      <c r="I284" t="inlineStr">
        <is>
          <t>东方财富</t>
        </is>
      </c>
      <c r="J284" t="inlineStr">
        <is>
          <t>东方财富</t>
        </is>
      </c>
      <c r="K284" t="inlineStr">
        <is>
          <t>fast-mode-no-reliable-batch-endpoint</t>
        </is>
      </c>
      <c r="L284" s="32" t="n">
        <v>46263.26159565565</v>
      </c>
      <c r="M284" t="b">
        <v>1</v>
      </c>
    </row>
    <row r="285">
      <c r="A285" t="inlineStr">
        <is>
          <t>A股</t>
        </is>
      </c>
      <c r="B285" t="inlineStr">
        <is>
          <t>920656</t>
        </is>
      </c>
      <c r="C285" t="inlineStr">
        <is>
          <t>海昇药业</t>
        </is>
      </c>
      <c r="D285" t="inlineStr">
        <is>
          <t>近五个交易日资金净额</t>
        </is>
      </c>
      <c r="E285" t="inlineStr">
        <is>
          <t>optional_missing</t>
        </is>
      </c>
      <c r="F285" t="inlineStr">
        <is>
          <t>近五个交易日资金净额：optional_missing</t>
        </is>
      </c>
      <c r="G285" t="b">
        <v>0</v>
      </c>
      <c r="H285" t="b">
        <v>1</v>
      </c>
      <c r="M285" t="b">
        <v>0</v>
      </c>
    </row>
    <row r="286">
      <c r="A286" t="inlineStr">
        <is>
          <t>A股</t>
        </is>
      </c>
      <c r="B286" t="inlineStr">
        <is>
          <t>920656</t>
        </is>
      </c>
      <c r="C286" t="inlineStr">
        <is>
          <t>海昇药业</t>
        </is>
      </c>
      <c r="D286" t="inlineStr">
        <is>
          <t>近一月资金净额（最近22个交易日）</t>
        </is>
      </c>
      <c r="E286" t="inlineStr">
        <is>
          <t>optional_missing</t>
        </is>
      </c>
      <c r="F286" t="inlineStr">
        <is>
          <t>近一月资金净额（最近22个交易日）：optional_missing</t>
        </is>
      </c>
      <c r="G286" t="b">
        <v>0</v>
      </c>
      <c r="H286" t="b">
        <v>1</v>
      </c>
      <c r="M286" t="b">
        <v>0</v>
      </c>
    </row>
    <row r="287">
      <c r="A287" t="inlineStr">
        <is>
          <t>A股</t>
        </is>
      </c>
      <c r="B287" t="inlineStr">
        <is>
          <t>920651</t>
        </is>
      </c>
      <c r="C287" t="inlineStr">
        <is>
          <t>天罡股份</t>
        </is>
      </c>
      <c r="D287" t="inlineStr">
        <is>
          <t>资金流</t>
        </is>
      </c>
      <c r="E287" t="inlineStr">
        <is>
          <t>optional_missing</t>
        </is>
      </c>
      <c r="F287" t="inlineStr">
        <is>
          <t>快速模式未发现可靠的批量近五个交易日同口径字段，为避免逐股慢请求，本次留空</t>
        </is>
      </c>
      <c r="G287" t="b">
        <v>0</v>
      </c>
      <c r="H287" t="b">
        <v>1</v>
      </c>
      <c r="I287" t="inlineStr">
        <is>
          <t>东方财富</t>
        </is>
      </c>
      <c r="J287" t="inlineStr">
        <is>
          <t>东方财富</t>
        </is>
      </c>
      <c r="K287" t="inlineStr">
        <is>
          <t>fast-mode-no-reliable-batch-endpoint</t>
        </is>
      </c>
      <c r="L287" s="32" t="n">
        <v>46263.26159565565</v>
      </c>
      <c r="M287" t="b">
        <v>1</v>
      </c>
    </row>
    <row r="288">
      <c r="A288" t="inlineStr">
        <is>
          <t>A股</t>
        </is>
      </c>
      <c r="B288" t="inlineStr">
        <is>
          <t>920651</t>
        </is>
      </c>
      <c r="C288" t="inlineStr">
        <is>
          <t>天罡股份</t>
        </is>
      </c>
      <c r="D288" t="inlineStr">
        <is>
          <t>近五个交易日资金净额</t>
        </is>
      </c>
      <c r="E288" t="inlineStr">
        <is>
          <t>optional_missing</t>
        </is>
      </c>
      <c r="F288" t="inlineStr">
        <is>
          <t>近五个交易日资金净额：optional_missing</t>
        </is>
      </c>
      <c r="G288" t="b">
        <v>0</v>
      </c>
      <c r="H288" t="b">
        <v>1</v>
      </c>
      <c r="M288" t="b">
        <v>0</v>
      </c>
    </row>
    <row r="289">
      <c r="A289" t="inlineStr">
        <is>
          <t>A股</t>
        </is>
      </c>
      <c r="B289" t="inlineStr">
        <is>
          <t>920651</t>
        </is>
      </c>
      <c r="C289" t="inlineStr">
        <is>
          <t>天罡股份</t>
        </is>
      </c>
      <c r="D289" t="inlineStr">
        <is>
          <t>近一月资金净额（最近22个交易日）</t>
        </is>
      </c>
      <c r="E289" t="inlineStr">
        <is>
          <t>optional_missing</t>
        </is>
      </c>
      <c r="F289" t="inlineStr">
        <is>
          <t>近一月资金净额（最近22个交易日）：optional_missing</t>
        </is>
      </c>
      <c r="G289" t="b">
        <v>0</v>
      </c>
      <c r="H289" t="b">
        <v>1</v>
      </c>
      <c r="M289" t="b">
        <v>0</v>
      </c>
    </row>
    <row r="290">
      <c r="A290" t="inlineStr">
        <is>
          <t>A股</t>
        </is>
      </c>
      <c r="B290" t="inlineStr">
        <is>
          <t>920642</t>
        </is>
      </c>
      <c r="C290" t="inlineStr">
        <is>
          <t>通易航天</t>
        </is>
      </c>
      <c r="D290" t="inlineStr">
        <is>
          <t>资金流</t>
        </is>
      </c>
      <c r="E290" t="inlineStr">
        <is>
          <t>optional_missing</t>
        </is>
      </c>
      <c r="F290" t="inlineStr">
        <is>
          <t>快速模式未发现可靠的批量近五个交易日同口径字段，为避免逐股慢请求，本次留空</t>
        </is>
      </c>
      <c r="G290" t="b">
        <v>0</v>
      </c>
      <c r="H290" t="b">
        <v>1</v>
      </c>
      <c r="I290" t="inlineStr">
        <is>
          <t>东方财富</t>
        </is>
      </c>
      <c r="J290" t="inlineStr">
        <is>
          <t>东方财富</t>
        </is>
      </c>
      <c r="K290" t="inlineStr">
        <is>
          <t>fast-mode-no-reliable-batch-endpoint</t>
        </is>
      </c>
      <c r="L290" s="32" t="n">
        <v>46263.26159565565</v>
      </c>
      <c r="M290" t="b">
        <v>1</v>
      </c>
    </row>
    <row r="291">
      <c r="A291" t="inlineStr">
        <is>
          <t>A股</t>
        </is>
      </c>
      <c r="B291" t="inlineStr">
        <is>
          <t>920642</t>
        </is>
      </c>
      <c r="C291" t="inlineStr">
        <is>
          <t>通易航天</t>
        </is>
      </c>
      <c r="D291" t="inlineStr">
        <is>
          <t>近五个交易日资金净额</t>
        </is>
      </c>
      <c r="E291" t="inlineStr">
        <is>
          <t>optional_missing</t>
        </is>
      </c>
      <c r="F291" t="inlineStr">
        <is>
          <t>近五个交易日资金净额：optional_missing</t>
        </is>
      </c>
      <c r="G291" t="b">
        <v>0</v>
      </c>
      <c r="H291" t="b">
        <v>1</v>
      </c>
      <c r="M291" t="b">
        <v>0</v>
      </c>
    </row>
    <row r="292">
      <c r="A292" t="inlineStr">
        <is>
          <t>A股</t>
        </is>
      </c>
      <c r="B292" t="inlineStr">
        <is>
          <t>920642</t>
        </is>
      </c>
      <c r="C292" t="inlineStr">
        <is>
          <t>通易航天</t>
        </is>
      </c>
      <c r="D292" t="inlineStr">
        <is>
          <t>近一月资金净额（最近22个交易日）</t>
        </is>
      </c>
      <c r="E292" t="inlineStr">
        <is>
          <t>optional_missing</t>
        </is>
      </c>
      <c r="F292" t="inlineStr">
        <is>
          <t>近一月资金净额（最近22个交易日）：optional_missing</t>
        </is>
      </c>
      <c r="G292" t="b">
        <v>0</v>
      </c>
      <c r="H292" t="b">
        <v>1</v>
      </c>
      <c r="M292" t="b">
        <v>0</v>
      </c>
    </row>
    <row r="293">
      <c r="A293" t="inlineStr">
        <is>
          <t>A股</t>
        </is>
      </c>
      <c r="B293" t="inlineStr">
        <is>
          <t>920641</t>
        </is>
      </c>
      <c r="C293" t="inlineStr">
        <is>
          <t>格利尔</t>
        </is>
      </c>
      <c r="D293" t="inlineStr">
        <is>
          <t>资金流</t>
        </is>
      </c>
      <c r="E293" t="inlineStr">
        <is>
          <t>optional_missing</t>
        </is>
      </c>
      <c r="F293" t="inlineStr">
        <is>
          <t>快速模式未发现可靠的批量近五个交易日同口径字段，为避免逐股慢请求，本次留空</t>
        </is>
      </c>
      <c r="G293" t="b">
        <v>0</v>
      </c>
      <c r="H293" t="b">
        <v>1</v>
      </c>
      <c r="I293" t="inlineStr">
        <is>
          <t>东方财富</t>
        </is>
      </c>
      <c r="J293" t="inlineStr">
        <is>
          <t>东方财富</t>
        </is>
      </c>
      <c r="K293" t="inlineStr">
        <is>
          <t>fast-mode-no-reliable-batch-endpoint</t>
        </is>
      </c>
      <c r="L293" s="32" t="n">
        <v>46263.26159565565</v>
      </c>
      <c r="M293" t="b">
        <v>1</v>
      </c>
    </row>
    <row r="294">
      <c r="A294" t="inlineStr">
        <is>
          <t>A股</t>
        </is>
      </c>
      <c r="B294" t="inlineStr">
        <is>
          <t>920641</t>
        </is>
      </c>
      <c r="C294" t="inlineStr">
        <is>
          <t>格利尔</t>
        </is>
      </c>
      <c r="D294" t="inlineStr">
        <is>
          <t>近五个交易日资金净额</t>
        </is>
      </c>
      <c r="E294" t="inlineStr">
        <is>
          <t>optional_missing</t>
        </is>
      </c>
      <c r="F294" t="inlineStr">
        <is>
          <t>近五个交易日资金净额：optional_missing</t>
        </is>
      </c>
      <c r="G294" t="b">
        <v>0</v>
      </c>
      <c r="H294" t="b">
        <v>1</v>
      </c>
      <c r="M294" t="b">
        <v>0</v>
      </c>
    </row>
    <row r="295">
      <c r="A295" t="inlineStr">
        <is>
          <t>A股</t>
        </is>
      </c>
      <c r="B295" t="inlineStr">
        <is>
          <t>920641</t>
        </is>
      </c>
      <c r="C295" t="inlineStr">
        <is>
          <t>格利尔</t>
        </is>
      </c>
      <c r="D295" t="inlineStr">
        <is>
          <t>近一月资金净额（最近22个交易日）</t>
        </is>
      </c>
      <c r="E295" t="inlineStr">
        <is>
          <t>optional_missing</t>
        </is>
      </c>
      <c r="F295" t="inlineStr">
        <is>
          <t>近一月资金净额（最近22个交易日）：optional_missing</t>
        </is>
      </c>
      <c r="G295" t="b">
        <v>0</v>
      </c>
      <c r="H295" t="b">
        <v>1</v>
      </c>
      <c r="M295" t="b">
        <v>0</v>
      </c>
    </row>
    <row r="296">
      <c r="A296" t="inlineStr">
        <is>
          <t>A股</t>
        </is>
      </c>
      <c r="B296" t="inlineStr">
        <is>
          <t>920640</t>
        </is>
      </c>
      <c r="C296" t="inlineStr">
        <is>
          <t>富士达</t>
        </is>
      </c>
      <c r="D296" t="inlineStr">
        <is>
          <t>资金流</t>
        </is>
      </c>
      <c r="E296" t="inlineStr">
        <is>
          <t>optional_missing</t>
        </is>
      </c>
      <c r="F296" t="inlineStr">
        <is>
          <t>快速模式未发现可靠的批量近五个交易日同口径字段，为避免逐股慢请求，本次留空</t>
        </is>
      </c>
      <c r="G296" t="b">
        <v>0</v>
      </c>
      <c r="H296" t="b">
        <v>1</v>
      </c>
      <c r="I296" t="inlineStr">
        <is>
          <t>东方财富</t>
        </is>
      </c>
      <c r="J296" t="inlineStr">
        <is>
          <t>东方财富</t>
        </is>
      </c>
      <c r="K296" t="inlineStr">
        <is>
          <t>fast-mode-no-reliable-batch-endpoint</t>
        </is>
      </c>
      <c r="L296" s="32" t="n">
        <v>46263.26159565565</v>
      </c>
      <c r="M296" t="b">
        <v>1</v>
      </c>
    </row>
    <row r="297">
      <c r="A297" t="inlineStr">
        <is>
          <t>A股</t>
        </is>
      </c>
      <c r="B297" t="inlineStr">
        <is>
          <t>920640</t>
        </is>
      </c>
      <c r="C297" t="inlineStr">
        <is>
          <t>富士达</t>
        </is>
      </c>
      <c r="D297" t="inlineStr">
        <is>
          <t>近五个交易日资金净额</t>
        </is>
      </c>
      <c r="E297" t="inlineStr">
        <is>
          <t>optional_missing</t>
        </is>
      </c>
      <c r="F297" t="inlineStr">
        <is>
          <t>近五个交易日资金净额：optional_missing</t>
        </is>
      </c>
      <c r="G297" t="b">
        <v>0</v>
      </c>
      <c r="H297" t="b">
        <v>1</v>
      </c>
      <c r="M297" t="b">
        <v>0</v>
      </c>
    </row>
    <row r="298">
      <c r="A298" t="inlineStr">
        <is>
          <t>A股</t>
        </is>
      </c>
      <c r="B298" t="inlineStr">
        <is>
          <t>920640</t>
        </is>
      </c>
      <c r="C298" t="inlineStr">
        <is>
          <t>富士达</t>
        </is>
      </c>
      <c r="D298" t="inlineStr">
        <is>
          <t>近一月资金净额（最近22个交易日）</t>
        </is>
      </c>
      <c r="E298" t="inlineStr">
        <is>
          <t>optional_missing</t>
        </is>
      </c>
      <c r="F298" t="inlineStr">
        <is>
          <t>近一月资金净额（最近22个交易日）：optional_missing</t>
        </is>
      </c>
      <c r="G298" t="b">
        <v>0</v>
      </c>
      <c r="H298" t="b">
        <v>1</v>
      </c>
      <c r="M298" t="b">
        <v>0</v>
      </c>
    </row>
    <row r="299">
      <c r="A299" t="inlineStr">
        <is>
          <t>A股</t>
        </is>
      </c>
      <c r="B299" t="inlineStr">
        <is>
          <t>920639</t>
        </is>
      </c>
      <c r="C299" t="inlineStr">
        <is>
          <t>晨光电缆</t>
        </is>
      </c>
      <c r="D299" t="inlineStr">
        <is>
          <t>资金流</t>
        </is>
      </c>
      <c r="E299" t="inlineStr">
        <is>
          <t>optional_missing</t>
        </is>
      </c>
      <c r="F299" t="inlineStr">
        <is>
          <t>快速模式未发现可靠的批量近五个交易日同口径字段，为避免逐股慢请求，本次留空</t>
        </is>
      </c>
      <c r="G299" t="b">
        <v>0</v>
      </c>
      <c r="H299" t="b">
        <v>1</v>
      </c>
      <c r="I299" t="inlineStr">
        <is>
          <t>东方财富</t>
        </is>
      </c>
      <c r="J299" t="inlineStr">
        <is>
          <t>东方财富</t>
        </is>
      </c>
      <c r="K299" t="inlineStr">
        <is>
          <t>fast-mode-no-reliable-batch-endpoint</t>
        </is>
      </c>
      <c r="L299" s="32" t="n">
        <v>46263.26159565565</v>
      </c>
      <c r="M299" t="b">
        <v>1</v>
      </c>
    </row>
    <row r="300">
      <c r="A300" t="inlineStr">
        <is>
          <t>A股</t>
        </is>
      </c>
      <c r="B300" t="inlineStr">
        <is>
          <t>920639</t>
        </is>
      </c>
      <c r="C300" t="inlineStr">
        <is>
          <t>晨光电缆</t>
        </is>
      </c>
      <c r="D300" t="inlineStr">
        <is>
          <t>近五个交易日资金净额</t>
        </is>
      </c>
      <c r="E300" t="inlineStr">
        <is>
          <t>optional_missing</t>
        </is>
      </c>
      <c r="F300" t="inlineStr">
        <is>
          <t>近五个交易日资金净额：optional_missing</t>
        </is>
      </c>
      <c r="G300" t="b">
        <v>0</v>
      </c>
      <c r="H300" t="b">
        <v>1</v>
      </c>
      <c r="M300" t="b">
        <v>0</v>
      </c>
    </row>
    <row r="301">
      <c r="A301" t="inlineStr">
        <is>
          <t>A股</t>
        </is>
      </c>
      <c r="B301" t="inlineStr">
        <is>
          <t>920639</t>
        </is>
      </c>
      <c r="C301" t="inlineStr">
        <is>
          <t>晨光电缆</t>
        </is>
      </c>
      <c r="D301" t="inlineStr">
        <is>
          <t>近一月资金净额（最近22个交易日）</t>
        </is>
      </c>
      <c r="E301" t="inlineStr">
        <is>
          <t>optional_missing</t>
        </is>
      </c>
      <c r="F301" t="inlineStr">
        <is>
          <t>近一月资金净额（最近22个交易日）：optional_missing</t>
        </is>
      </c>
      <c r="G301" t="b">
        <v>0</v>
      </c>
      <c r="H301" t="b">
        <v>1</v>
      </c>
      <c r="M301" t="b">
        <v>0</v>
      </c>
    </row>
    <row r="302">
      <c r="A302" t="inlineStr">
        <is>
          <t>A股</t>
        </is>
      </c>
      <c r="B302" t="inlineStr">
        <is>
          <t>920634</t>
        </is>
      </c>
      <c r="C302" t="inlineStr">
        <is>
          <t>新威凌</t>
        </is>
      </c>
      <c r="D302" t="inlineStr">
        <is>
          <t>资金流</t>
        </is>
      </c>
      <c r="E302" t="inlineStr">
        <is>
          <t>optional_missing</t>
        </is>
      </c>
      <c r="F302" t="inlineStr">
        <is>
          <t>快速模式未发现可靠的批量近五个交易日同口径字段，为避免逐股慢请求，本次留空</t>
        </is>
      </c>
      <c r="G302" t="b">
        <v>0</v>
      </c>
      <c r="H302" t="b">
        <v>1</v>
      </c>
      <c r="I302" t="inlineStr">
        <is>
          <t>东方财富</t>
        </is>
      </c>
      <c r="J302" t="inlineStr">
        <is>
          <t>东方财富</t>
        </is>
      </c>
      <c r="K302" t="inlineStr">
        <is>
          <t>fast-mode-no-reliable-batch-endpoint</t>
        </is>
      </c>
      <c r="L302" s="32" t="n">
        <v>46263.26159565565</v>
      </c>
      <c r="M302" t="b">
        <v>1</v>
      </c>
    </row>
    <row r="303">
      <c r="A303" t="inlineStr">
        <is>
          <t>A股</t>
        </is>
      </c>
      <c r="B303" t="inlineStr">
        <is>
          <t>920634</t>
        </is>
      </c>
      <c r="C303" t="inlineStr">
        <is>
          <t>新威凌</t>
        </is>
      </c>
      <c r="D303" t="inlineStr">
        <is>
          <t>近五个交易日资金净额</t>
        </is>
      </c>
      <c r="E303" t="inlineStr">
        <is>
          <t>optional_missing</t>
        </is>
      </c>
      <c r="F303" t="inlineStr">
        <is>
          <t>近五个交易日资金净额：optional_missing</t>
        </is>
      </c>
      <c r="G303" t="b">
        <v>0</v>
      </c>
      <c r="H303" t="b">
        <v>1</v>
      </c>
      <c r="M303" t="b">
        <v>0</v>
      </c>
    </row>
    <row r="304">
      <c r="A304" t="inlineStr">
        <is>
          <t>A股</t>
        </is>
      </c>
      <c r="B304" t="inlineStr">
        <is>
          <t>920634</t>
        </is>
      </c>
      <c r="C304" t="inlineStr">
        <is>
          <t>新威凌</t>
        </is>
      </c>
      <c r="D304" t="inlineStr">
        <is>
          <t>近一月资金净额（最近22个交易日）</t>
        </is>
      </c>
      <c r="E304" t="inlineStr">
        <is>
          <t>optional_missing</t>
        </is>
      </c>
      <c r="F304" t="inlineStr">
        <is>
          <t>近一月资金净额（最近22个交易日）：optional_missing</t>
        </is>
      </c>
      <c r="G304" t="b">
        <v>0</v>
      </c>
      <c r="H304" t="b">
        <v>1</v>
      </c>
      <c r="M304" t="b">
        <v>0</v>
      </c>
    </row>
    <row r="305">
      <c r="A305" t="inlineStr">
        <is>
          <t>A股</t>
        </is>
      </c>
      <c r="B305" t="inlineStr">
        <is>
          <t>920627</t>
        </is>
      </c>
      <c r="C305" t="inlineStr">
        <is>
          <t>力王股份</t>
        </is>
      </c>
      <c r="D305" t="inlineStr">
        <is>
          <t>资金流</t>
        </is>
      </c>
      <c r="E305" t="inlineStr">
        <is>
          <t>optional_missing</t>
        </is>
      </c>
      <c r="F305" t="inlineStr">
        <is>
          <t>快速模式未发现可靠的批量近五个交易日同口径字段，为避免逐股慢请求，本次留空</t>
        </is>
      </c>
      <c r="G305" t="b">
        <v>0</v>
      </c>
      <c r="H305" t="b">
        <v>1</v>
      </c>
      <c r="I305" t="inlineStr">
        <is>
          <t>东方财富</t>
        </is>
      </c>
      <c r="J305" t="inlineStr">
        <is>
          <t>东方财富</t>
        </is>
      </c>
      <c r="K305" t="inlineStr">
        <is>
          <t>fast-mode-no-reliable-batch-endpoint</t>
        </is>
      </c>
      <c r="L305" s="32" t="n">
        <v>46263.26159565565</v>
      </c>
      <c r="M305" t="b">
        <v>1</v>
      </c>
    </row>
    <row r="306">
      <c r="A306" t="inlineStr">
        <is>
          <t>A股</t>
        </is>
      </c>
      <c r="B306" t="inlineStr">
        <is>
          <t>920627</t>
        </is>
      </c>
      <c r="C306" t="inlineStr">
        <is>
          <t>力王股份</t>
        </is>
      </c>
      <c r="D306" t="inlineStr">
        <is>
          <t>近五个交易日资金净额</t>
        </is>
      </c>
      <c r="E306" t="inlineStr">
        <is>
          <t>optional_missing</t>
        </is>
      </c>
      <c r="F306" t="inlineStr">
        <is>
          <t>近五个交易日资金净额：optional_missing</t>
        </is>
      </c>
      <c r="G306" t="b">
        <v>0</v>
      </c>
      <c r="H306" t="b">
        <v>1</v>
      </c>
      <c r="M306" t="b">
        <v>0</v>
      </c>
    </row>
    <row r="307">
      <c r="A307" t="inlineStr">
        <is>
          <t>A股</t>
        </is>
      </c>
      <c r="B307" t="inlineStr">
        <is>
          <t>920627</t>
        </is>
      </c>
      <c r="C307" t="inlineStr">
        <is>
          <t>力王股份</t>
        </is>
      </c>
      <c r="D307" t="inlineStr">
        <is>
          <t>近一月资金净额（最近22个交易日）</t>
        </is>
      </c>
      <c r="E307" t="inlineStr">
        <is>
          <t>optional_missing</t>
        </is>
      </c>
      <c r="F307" t="inlineStr">
        <is>
          <t>近一月资金净额（最近22个交易日）：optional_missing</t>
        </is>
      </c>
      <c r="G307" t="b">
        <v>0</v>
      </c>
      <c r="H307" t="b">
        <v>1</v>
      </c>
      <c r="M307" t="b">
        <v>0</v>
      </c>
    </row>
    <row r="308">
      <c r="A308" t="inlineStr">
        <is>
          <t>A股</t>
        </is>
      </c>
      <c r="B308" t="inlineStr">
        <is>
          <t>920608</t>
        </is>
      </c>
      <c r="C308" t="inlineStr">
        <is>
          <t>丰安股份</t>
        </is>
      </c>
      <c r="D308" t="inlineStr">
        <is>
          <t>资金流</t>
        </is>
      </c>
      <c r="E308" t="inlineStr">
        <is>
          <t>optional_missing</t>
        </is>
      </c>
      <c r="F308" t="inlineStr">
        <is>
          <t>快速模式未发现可靠的批量近五个交易日同口径字段，为避免逐股慢请求，本次留空</t>
        </is>
      </c>
      <c r="G308" t="b">
        <v>0</v>
      </c>
      <c r="H308" t="b">
        <v>1</v>
      </c>
      <c r="I308" t="inlineStr">
        <is>
          <t>东方财富</t>
        </is>
      </c>
      <c r="J308" t="inlineStr">
        <is>
          <t>东方财富</t>
        </is>
      </c>
      <c r="K308" t="inlineStr">
        <is>
          <t>fast-mode-no-reliable-batch-endpoint</t>
        </is>
      </c>
      <c r="L308" s="32" t="n">
        <v>46263.26159565565</v>
      </c>
      <c r="M308" t="b">
        <v>1</v>
      </c>
    </row>
    <row r="309">
      <c r="A309" t="inlineStr">
        <is>
          <t>A股</t>
        </is>
      </c>
      <c r="B309" t="inlineStr">
        <is>
          <t>920608</t>
        </is>
      </c>
      <c r="C309" t="inlineStr">
        <is>
          <t>丰安股份</t>
        </is>
      </c>
      <c r="D309" t="inlineStr">
        <is>
          <t>近五个交易日资金净额</t>
        </is>
      </c>
      <c r="E309" t="inlineStr">
        <is>
          <t>optional_missing</t>
        </is>
      </c>
      <c r="F309" t="inlineStr">
        <is>
          <t>近五个交易日资金净额：optional_missing</t>
        </is>
      </c>
      <c r="G309" t="b">
        <v>0</v>
      </c>
      <c r="H309" t="b">
        <v>1</v>
      </c>
      <c r="M309" t="b">
        <v>0</v>
      </c>
    </row>
    <row r="310">
      <c r="A310" t="inlineStr">
        <is>
          <t>A股</t>
        </is>
      </c>
      <c r="B310" t="inlineStr">
        <is>
          <t>920608</t>
        </is>
      </c>
      <c r="C310" t="inlineStr">
        <is>
          <t>丰安股份</t>
        </is>
      </c>
      <c r="D310" t="inlineStr">
        <is>
          <t>近一月资金净额（最近22个交易日）</t>
        </is>
      </c>
      <c r="E310" t="inlineStr">
        <is>
          <t>optional_missing</t>
        </is>
      </c>
      <c r="F310" t="inlineStr">
        <is>
          <t>近一月资金净额（最近22个交易日）：optional_missing</t>
        </is>
      </c>
      <c r="G310" t="b">
        <v>0</v>
      </c>
      <c r="H310" t="b">
        <v>1</v>
      </c>
      <c r="M310" t="b">
        <v>0</v>
      </c>
    </row>
    <row r="311">
      <c r="A311" t="inlineStr">
        <is>
          <t>A股</t>
        </is>
      </c>
      <c r="B311" t="inlineStr">
        <is>
          <t>920599</t>
        </is>
      </c>
      <c r="C311" t="inlineStr">
        <is>
          <t>同力股份</t>
        </is>
      </c>
      <c r="D311" t="inlineStr">
        <is>
          <t>资金流</t>
        </is>
      </c>
      <c r="E311" t="inlineStr">
        <is>
          <t>optional_missing</t>
        </is>
      </c>
      <c r="F311" t="inlineStr">
        <is>
          <t>快速模式未发现可靠的批量近五个交易日同口径字段，为避免逐股慢请求，本次留空</t>
        </is>
      </c>
      <c r="G311" t="b">
        <v>0</v>
      </c>
      <c r="H311" t="b">
        <v>1</v>
      </c>
      <c r="I311" t="inlineStr">
        <is>
          <t>东方财富</t>
        </is>
      </c>
      <c r="J311" t="inlineStr">
        <is>
          <t>东方财富</t>
        </is>
      </c>
      <c r="K311" t="inlineStr">
        <is>
          <t>fast-mode-no-reliable-batch-endpoint</t>
        </is>
      </c>
      <c r="L311" s="32" t="n">
        <v>46263.26159565565</v>
      </c>
      <c r="M311" t="b">
        <v>1</v>
      </c>
    </row>
    <row r="312">
      <c r="A312" t="inlineStr">
        <is>
          <t>A股</t>
        </is>
      </c>
      <c r="B312" t="inlineStr">
        <is>
          <t>920599</t>
        </is>
      </c>
      <c r="C312" t="inlineStr">
        <is>
          <t>同力股份</t>
        </is>
      </c>
      <c r="D312" t="inlineStr">
        <is>
          <t>近五个交易日资金净额</t>
        </is>
      </c>
      <c r="E312" t="inlineStr">
        <is>
          <t>optional_missing</t>
        </is>
      </c>
      <c r="F312" t="inlineStr">
        <is>
          <t>近五个交易日资金净额：optional_missing</t>
        </is>
      </c>
      <c r="G312" t="b">
        <v>0</v>
      </c>
      <c r="H312" t="b">
        <v>1</v>
      </c>
      <c r="M312" t="b">
        <v>0</v>
      </c>
    </row>
    <row r="313">
      <c r="A313" t="inlineStr">
        <is>
          <t>A股</t>
        </is>
      </c>
      <c r="B313" t="inlineStr">
        <is>
          <t>920599</t>
        </is>
      </c>
      <c r="C313" t="inlineStr">
        <is>
          <t>同力股份</t>
        </is>
      </c>
      <c r="D313" t="inlineStr">
        <is>
          <t>近一月资金净额（最近22个交易日）</t>
        </is>
      </c>
      <c r="E313" t="inlineStr">
        <is>
          <t>optional_missing</t>
        </is>
      </c>
      <c r="F313" t="inlineStr">
        <is>
          <t>近一月资金净额（最近22个交易日）：optional_missing</t>
        </is>
      </c>
      <c r="G313" t="b">
        <v>0</v>
      </c>
      <c r="H313" t="b">
        <v>1</v>
      </c>
      <c r="M313" t="b">
        <v>0</v>
      </c>
    </row>
    <row r="314">
      <c r="A314" t="inlineStr">
        <is>
          <t>A股</t>
        </is>
      </c>
      <c r="B314" t="inlineStr">
        <is>
          <t>920593</t>
        </is>
      </c>
      <c r="C314" t="inlineStr">
        <is>
          <t>鼎智科技</t>
        </is>
      </c>
      <c r="D314" t="inlineStr">
        <is>
          <t>资金流</t>
        </is>
      </c>
      <c r="E314" t="inlineStr">
        <is>
          <t>optional_missing</t>
        </is>
      </c>
      <c r="F314" t="inlineStr">
        <is>
          <t>快速模式未发现可靠的批量近五个交易日同口径字段，为避免逐股慢请求，本次留空</t>
        </is>
      </c>
      <c r="G314" t="b">
        <v>0</v>
      </c>
      <c r="H314" t="b">
        <v>1</v>
      </c>
      <c r="I314" t="inlineStr">
        <is>
          <t>东方财富</t>
        </is>
      </c>
      <c r="J314" t="inlineStr">
        <is>
          <t>东方财富</t>
        </is>
      </c>
      <c r="K314" t="inlineStr">
        <is>
          <t>fast-mode-no-reliable-batch-endpoint</t>
        </is>
      </c>
      <c r="L314" s="32" t="n">
        <v>46263.26159565565</v>
      </c>
      <c r="M314" t="b">
        <v>1</v>
      </c>
    </row>
    <row r="315">
      <c r="A315" t="inlineStr">
        <is>
          <t>A股</t>
        </is>
      </c>
      <c r="B315" t="inlineStr">
        <is>
          <t>920593</t>
        </is>
      </c>
      <c r="C315" t="inlineStr">
        <is>
          <t>鼎智科技</t>
        </is>
      </c>
      <c r="D315" t="inlineStr">
        <is>
          <t>近五个交易日资金净额</t>
        </is>
      </c>
      <c r="E315" t="inlineStr">
        <is>
          <t>optional_missing</t>
        </is>
      </c>
      <c r="F315" t="inlineStr">
        <is>
          <t>近五个交易日资金净额：optional_missing</t>
        </is>
      </c>
      <c r="G315" t="b">
        <v>0</v>
      </c>
      <c r="H315" t="b">
        <v>1</v>
      </c>
      <c r="M315" t="b">
        <v>0</v>
      </c>
    </row>
    <row r="316">
      <c r="A316" t="inlineStr">
        <is>
          <t>A股</t>
        </is>
      </c>
      <c r="B316" t="inlineStr">
        <is>
          <t>920593</t>
        </is>
      </c>
      <c r="C316" t="inlineStr">
        <is>
          <t>鼎智科技</t>
        </is>
      </c>
      <c r="D316" t="inlineStr">
        <is>
          <t>近一月资金净额（最近22个交易日）</t>
        </is>
      </c>
      <c r="E316" t="inlineStr">
        <is>
          <t>optional_missing</t>
        </is>
      </c>
      <c r="F316" t="inlineStr">
        <is>
          <t>近一月资金净额（最近22个交易日）：optional_missing</t>
        </is>
      </c>
      <c r="G316" t="b">
        <v>0</v>
      </c>
      <c r="H316" t="b">
        <v>1</v>
      </c>
      <c r="M316" t="b">
        <v>0</v>
      </c>
    </row>
    <row r="317">
      <c r="A317" t="inlineStr">
        <is>
          <t>A股</t>
        </is>
      </c>
      <c r="B317" t="inlineStr">
        <is>
          <t>920592</t>
        </is>
      </c>
      <c r="C317" t="inlineStr">
        <is>
          <t>华信永道</t>
        </is>
      </c>
      <c r="D317" t="inlineStr">
        <is>
          <t>资金流</t>
        </is>
      </c>
      <c r="E317" t="inlineStr">
        <is>
          <t>optional_missing</t>
        </is>
      </c>
      <c r="F317" t="inlineStr">
        <is>
          <t>快速模式未发现可靠的批量近五个交易日同口径字段，为避免逐股慢请求，本次留空</t>
        </is>
      </c>
      <c r="G317" t="b">
        <v>0</v>
      </c>
      <c r="H317" t="b">
        <v>1</v>
      </c>
      <c r="I317" t="inlineStr">
        <is>
          <t>东方财富</t>
        </is>
      </c>
      <c r="J317" t="inlineStr">
        <is>
          <t>东方财富</t>
        </is>
      </c>
      <c r="K317" t="inlineStr">
        <is>
          <t>fast-mode-no-reliable-batch-endpoint</t>
        </is>
      </c>
      <c r="L317" s="32" t="n">
        <v>46263.26159565565</v>
      </c>
      <c r="M317" t="b">
        <v>1</v>
      </c>
    </row>
    <row r="318">
      <c r="A318" t="inlineStr">
        <is>
          <t>A股</t>
        </is>
      </c>
      <c r="B318" t="inlineStr">
        <is>
          <t>920592</t>
        </is>
      </c>
      <c r="C318" t="inlineStr">
        <is>
          <t>华信永道</t>
        </is>
      </c>
      <c r="D318" t="inlineStr">
        <is>
          <t>近五个交易日资金净额</t>
        </is>
      </c>
      <c r="E318" t="inlineStr">
        <is>
          <t>optional_missing</t>
        </is>
      </c>
      <c r="F318" t="inlineStr">
        <is>
          <t>近五个交易日资金净额：optional_missing</t>
        </is>
      </c>
      <c r="G318" t="b">
        <v>0</v>
      </c>
      <c r="H318" t="b">
        <v>1</v>
      </c>
      <c r="M318" t="b">
        <v>0</v>
      </c>
    </row>
    <row r="319">
      <c r="A319" t="inlineStr">
        <is>
          <t>A股</t>
        </is>
      </c>
      <c r="B319" t="inlineStr">
        <is>
          <t>920592</t>
        </is>
      </c>
      <c r="C319" t="inlineStr">
        <is>
          <t>华信永道</t>
        </is>
      </c>
      <c r="D319" t="inlineStr">
        <is>
          <t>近一月资金净额（最近22个交易日）</t>
        </is>
      </c>
      <c r="E319" t="inlineStr">
        <is>
          <t>optional_missing</t>
        </is>
      </c>
      <c r="F319" t="inlineStr">
        <is>
          <t>近一月资金净额（最近22个交易日）：optional_missing</t>
        </is>
      </c>
      <c r="G319" t="b">
        <v>0</v>
      </c>
      <c r="H319" t="b">
        <v>1</v>
      </c>
      <c r="M3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2026-08-29T06:16:55.512018+00:00</t>
        </is>
      </c>
    </row>
    <row r="8">
      <c r="A8" t="inlineStr">
        <is>
          <t>配置快照</t>
        </is>
      </c>
      <c r="B8" t="inlineStr">
        <is>
          <t>{"concurrency": 8, "financial_year": 2025, "fixture_mode": false, "flow_mode": "快速模式（默认）", "include_financial": true, "include_st": true, "markets": ["A股"], "max_a_share_companies": 100, "max_companies": 100, "max_hk_companies": 0, "network_mode": "国内数据源优先直连", "output_directory": "D:/python_software/StockAnalysis/artifacts/performance_output", "request_interval": 0.05, "test_mode": false, "trading_year": 2026, "update_mode": "优先缓存"}</t>
        </is>
      </c>
    </row>
    <row r="9">
      <c r="A9" t="inlineStr">
        <is>
          <t>成功数</t>
        </is>
      </c>
      <c r="B9" t="n">
        <v>99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1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501</v>
      </c>
    </row>
    <row r="14">
      <c r="A14" t="inlineStr">
        <is>
          <t>性能统计</t>
        </is>
      </c>
      <c r="B14" t="inlineStr">
        <is>
          <t>{"cache_hits": 501, "circuit_breaks": 0, "direct_requests": 0, "http_elapsed_seconds": 0.0, "http_failures": 0, "http_requests": 0, "http_successes": 0, "negative_cache_hits": 0, "proxy_requests": 0, "requests_by_domain": {}, "requests_by_endpoint": {}, "retries": 0, "stage_seconds": {"上市与发行信息": 0.014, "年度全市场大宗交易": 0.006, "年度财务": 0.019, "批量行情与市值": 0.006, "标准化、计算与校验": 0.007, "证券范围": 0.001, "资金流": 0.007}, "total_seconds": 0.059}</t>
        </is>
      </c>
    </row>
    <row r="15">
      <c r="A15" t="inlineStr">
        <is>
          <t>输出路径</t>
        </is>
      </c>
      <c r="B15" t="inlineStr">
        <is>
          <t>D:\python_software\StockAnalysis\artifacts\performance_output\warm_100_a.xlsx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2026-08-29T06:16:55Z</dcterms:modified>
  <cp:lastModifiedBy>涂玉</cp:lastModifiedBy>
</cp:coreProperties>
</file>