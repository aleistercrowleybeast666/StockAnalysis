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1795" windowHeight="12975" tabRatio="600" firstSheet="0" activeTab="0" autoFilterDateGrouping="1"/>
  </bookViews>
  <sheets>
    <sheet name="A股" sheetId="1" state="visible" r:id="rId1"/>
    <sheet name="港股" sheetId="2" state="visible" r:id="rId2"/>
    <sheet name="历史数据" sheetId="3" state="hidden" r:id="rId3"/>
    <sheet name="数据来源" sheetId="4" state="hidden" r:id="rId4"/>
    <sheet name="异常记录" sheetId="5" state="hidden" r:id="rId5"/>
    <sheet name="运行信息" sheetId="6" state="hidden" r:id="rId6"/>
  </sheets>
  <definedNames>
    <definedName name="_xlnm._FilterDatabase" localSheetId="0" hidden="1">'A股'!$A$4:$AD$54</definedName>
    <definedName name="_xlnm.Print_Titles" localSheetId="0">'A股'!$1:$4</definedName>
    <definedName name="_xlnm._FilterDatabase" localSheetId="1" hidden="1">'港股'!$A$4:$AD$50</definedName>
    <definedName name="_xlnm.Print_Titles" localSheetId="1">'港股'!$1:$4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6">
    <numFmt numFmtId="164" formatCode="yyyy-mm-dd"/>
    <numFmt numFmtId="165" formatCode="#,##0.00;-#,##0.00;-"/>
    <numFmt numFmtId="166" formatCode="0.00%;-0.00%;-"/>
    <numFmt numFmtId="167" formatCode="0.00;-0.00;-"/>
    <numFmt numFmtId="168" formatCode="#,##0.000;-#,##0.000;-"/>
    <numFmt numFmtId="169" formatCode="yyyy-mm-dd h:mm:ss"/>
  </numFmts>
  <fonts count="8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  <font>
      <name val="等线"/>
      <b val="1"/>
      <color rgb="00FFFFFF"/>
      <sz val="11"/>
    </font>
    <font>
      <name val="等线"/>
      <b val="1"/>
      <color rgb="00FFFFFF"/>
      <sz val="13"/>
    </font>
    <font>
      <name val="等线"/>
      <color rgb="001F2937"/>
      <sz val="10"/>
    </font>
    <font>
      <name val="等线"/>
      <b val="1"/>
      <color rgb="001F2937"/>
      <sz val="10"/>
    </font>
    <font>
      <name val="等线"/>
      <color rgb="00000000"/>
      <sz val="10"/>
    </font>
    <font>
      <name val="等线"/>
      <color rgb="00008000"/>
      <sz val="10"/>
    </font>
  </fonts>
  <fills count="12">
    <fill>
      <patternFill/>
    </fill>
    <fill>
      <patternFill patternType="gray125"/>
    </fill>
    <fill>
      <patternFill patternType="solid">
        <fgColor theme="9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rgb="004A9BD8"/>
      </patternFill>
    </fill>
    <fill>
      <patternFill patternType="solid">
        <fgColor rgb="00EAF4FC"/>
      </patternFill>
    </fill>
    <fill>
      <patternFill patternType="solid">
        <fgColor rgb="00D9E2F3"/>
      </patternFill>
    </fill>
    <fill>
      <patternFill patternType="solid">
        <fgColor rgb="00A9D18E"/>
      </patternFill>
    </fill>
    <fill>
      <patternFill patternType="solid">
        <fgColor rgb="009DC3E6"/>
      </patternFill>
    </fill>
    <fill>
      <patternFill patternType="solid">
        <fgColor rgb="00EDF1F7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bottom style="thin">
        <color rgb="00CAD5E2"/>
      </bottom>
    </border>
  </borders>
  <cellStyleXfs count="1">
    <xf numFmtId="0" fontId="0" fillId="0" borderId="0" applyAlignment="1">
      <alignment vertical="center"/>
    </xf>
  </cellStyleXfs>
  <cellXfs count="33"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  <xf numFmtId="49" fontId="6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164" fontId="7" fillId="2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  <xf numFmtId="165" fontId="7" fillId="2" borderId="0" applyAlignment="1" pivotButton="0" quotePrefix="0" xfId="0">
      <alignment horizontal="right" vertical="center"/>
    </xf>
    <xf numFmtId="166" fontId="6" fillId="2" borderId="0" applyAlignment="1" pivotButton="0" quotePrefix="0" xfId="0">
      <alignment horizontal="right" vertical="center"/>
    </xf>
    <xf numFmtId="167" fontId="6" fillId="2" borderId="0" applyAlignment="1" pivotButton="0" quotePrefix="0" xfId="0">
      <alignment horizontal="right" vertical="center"/>
    </xf>
    <xf numFmtId="166" fontId="6" fillId="3" borderId="0" applyAlignment="1" pivotButton="0" quotePrefix="0" xfId="0">
      <alignment horizontal="right" vertical="center"/>
    </xf>
    <xf numFmtId="165" fontId="7" fillId="3" borderId="0" applyAlignment="1" pivotButton="0" quotePrefix="0" xfId="0">
      <alignment horizontal="right" vertical="center"/>
    </xf>
    <xf numFmtId="164" fontId="7" fillId="3" borderId="0" applyAlignment="1" pivotButton="0" quotePrefix="0" xfId="0">
      <alignment horizontal="right" vertical="center"/>
    </xf>
    <xf numFmtId="168" fontId="7" fillId="3" borderId="0" applyAlignment="1" pivotButton="0" quotePrefix="0" xfId="0">
      <alignment horizontal="right" vertical="center"/>
    </xf>
    <xf numFmtId="3" fontId="7" fillId="3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6" fillId="0" borderId="0" applyAlignment="1" pivotButton="0" quotePrefix="0" xfId="0">
      <alignment horizontal="right" vertical="center"/>
    </xf>
    <xf numFmtId="167" fontId="6" fillId="0" borderId="0" applyAlignment="1" pivotButton="0" quotePrefix="0" xfId="0">
      <alignment horizontal="right" vertical="center"/>
    </xf>
    <xf numFmtId="168" fontId="7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0" fontId="2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comments/comment2.xml><?xml version="1.0" encoding="utf-8"?>
<comments xmlns="http://schemas.openxmlformats.org/spreadsheetml/2006/main">
  <authors>
    <author>StockAnalysis</author>
  </authors>
  <commentList>
    <comment ref="F4" authorId="0" shapeId="0">
      <text>
        <t>上期营业收入大于 0 时：本期/上期-1。</t>
      </text>
    </comment>
    <comment ref="G4" authorId="0" shapeId="0">
      <text>
        <t>本期与三年前营业收入均大于 0 时：(本期/三年前)^(1/3)-1。</t>
      </text>
    </comment>
    <comment ref="I4" authorId="0" shapeId="0">
      <text>
        <t>本期毛利率减上期毛利率，结果以百分点显示。</t>
      </text>
    </comment>
    <comment ref="J4" authorId="0" shapeId="0">
      <text>
        <t>本期毛利率减三年前毛利率，不计算 CAGR。</t>
      </text>
    </comment>
    <comment ref="M4" authorId="0" shapeId="0">
      <text>
        <t>上期归母净利润不为 0 时：(本期-上期)/ABS(上期)。</t>
      </text>
    </comment>
    <comment ref="V4" authorId="0" shapeId="0">
      <text>
        <t>优先使用明确发行时总市值；仅有发行价×发行股数时标记为近似。</t>
      </text>
    </comment>
    <comment ref="X4" authorId="0" shapeId="0">
      <text>
        <t>发行时总市值大于 0 时：最新总市值/发行时总市值-1。</t>
      </text>
    </comment>
    <comment ref="AB4" authorId="0" shapeId="0">
      <text>
        <t>近一月按最近 22 个交易日口径聚合。</t>
      </text>
    </comment>
    <comment ref="AC4" authorId="0" shapeId="0">
      <text>
        <t>由 Python 内部字段状态生成，不依赖 Excel 公式缓存。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70AD47"/>
    <outlinePr summaryBelow="1" summaryRight="1"/>
    <pageSetUpPr fitToPage="1"/>
  </sheetPr>
  <dimension ref="A1:AD54"/>
  <sheetViews>
    <sheetView showGridLines="0" tabSelected="1" workbookViewId="0">
      <pane xSplit="4" ySplit="4" topLeftCell="E5" activePane="bottomRight" state="frozen"/>
      <selection pane="topRight"/>
      <selection pane="bottomLeft"/>
      <selection pane="bottomRight" activeCell="E21" sqref="E2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范围：上交所、深交所、北交所普通 A 股；不含 B 股、基金、债券等非普通股票。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000002</t>
        </is>
      </c>
      <c r="B5" s="13" t="inlineStr">
        <is>
          <t>万科Ａ</t>
        </is>
      </c>
      <c r="C5" s="14">
        <f>IF('历史数据'!D4="","",'历史数据'!D4)</f>
        <v/>
      </c>
      <c r="D5" s="15">
        <f>IF('历史数据'!E4="","",'历史数据'!E4)</f>
        <v/>
      </c>
      <c r="E5" s="16">
        <f>IF('历史数据'!G4="","",'历史数据'!G4/100000000)</f>
        <v/>
      </c>
      <c r="F5" s="17">
        <f>IF(OR('历史数据'!G4="",'历史数据'!H4&lt;=0),"",'历史数据'!G4/'历史数据'!H4-1)</f>
        <v/>
      </c>
      <c r="G5" s="17">
        <f>IF(OR('历史数据'!G4&lt;=0,'历史数据'!I4&lt;=0),"",POWER('历史数据'!G4/'历史数据'!I4,1/3)-1)</f>
        <v/>
      </c>
      <c r="H5" s="17">
        <f>IF(OR('历史数据'!G4&lt;=0,'历史数据'!J4=""),"",('历史数据'!G4-'历史数据'!J4)/'历史数据'!G4)</f>
        <v/>
      </c>
      <c r="I5" s="18">
        <f>IF(OR(H5="",'历史数据'!H4&lt;=0,'历史数据'!K4=""),"",(H5-('历史数据'!H4-'历史数据'!K4)/'历史数据'!H4)*100)</f>
        <v/>
      </c>
      <c r="J5" s="18">
        <f>IF(OR(H5="",'历史数据'!I4&lt;=0,'历史数据'!L4=""),"",(H5-('历史数据'!I4-'历史数据'!L4)/'历史数据'!I4)*100)</f>
        <v/>
      </c>
      <c r="K5" s="16">
        <f>IF('历史数据'!M4="","",'历史数据'!M4/100000000)</f>
        <v/>
      </c>
      <c r="L5" s="17">
        <f>IF(OR('历史数据'!G4=0,'历史数据'!M4=""),"",'历史数据'!M4/'历史数据'!G4)</f>
        <v/>
      </c>
      <c r="M5" s="17">
        <f>IF(OR('历史数据'!M4="",'历史数据'!N4=0),"",('历史数据'!M4-'历史数据'!N4)/ABS('历史数据'!N4))</f>
        <v/>
      </c>
      <c r="N5" s="17">
        <f>IF(OR('历史数据'!M4&lt;=0,'历史数据'!O4&lt;=0),"",POWER('历史数据'!M4/'历史数据'!O4,1/3)-1)</f>
        <v/>
      </c>
      <c r="O5" s="16">
        <f>IF('历史数据'!P4="","",'历史数据'!P4/100000000)</f>
        <v/>
      </c>
      <c r="P5" s="19">
        <f>IF(OR('历史数据'!P4="",'历史数据'!Q4=0),"",('历史数据'!P4-'历史数据'!Q4)/ABS('历史数据'!Q4))</f>
        <v/>
      </c>
      <c r="Q5" s="19">
        <f>IF(OR('历史数据'!P4&lt;=0,'历史数据'!R4&lt;=0),"",POWER('历史数据'!P4/'历史数据'!R4,1/3)-1)</f>
        <v/>
      </c>
      <c r="R5" s="20">
        <f>IF('历史数据'!S4="","",'历史数据'!S4/100000000)</f>
        <v/>
      </c>
      <c r="S5" s="21">
        <f>IF('历史数据'!T4="","",'历史数据'!T4)</f>
        <v/>
      </c>
      <c r="T5" s="22">
        <f>IF('历史数据'!U4="","",'历史数据'!U4)</f>
        <v/>
      </c>
      <c r="U5" s="22">
        <f>IF('历史数据'!V4="","",'历史数据'!V4/100000000)</f>
        <v/>
      </c>
      <c r="V5" s="20">
        <f>IF('历史数据'!W4="","",'历史数据'!W4/100000000)</f>
        <v/>
      </c>
      <c r="W5" s="22">
        <f>IF('历史数据'!X4="","",'历史数据'!X4)</f>
        <v/>
      </c>
      <c r="X5" s="19">
        <f>IF(OR(R5="",V5&lt;=0),"",R5/V5-1)</f>
        <v/>
      </c>
      <c r="Y5" s="23">
        <f>IF('历史数据'!Y4="","",'历史数据'!Y4)</f>
        <v/>
      </c>
      <c r="Z5" s="20">
        <f>IF('历史数据'!Z4="","",'历史数据'!Z4/100000000)</f>
        <v/>
      </c>
      <c r="AA5" s="24">
        <f>IF('历史数据'!AA4="","",'历史数据'!AA4/100000000)</f>
        <v/>
      </c>
      <c r="AB5" s="24">
        <f>IF('历史数据'!AB4="","",'历史数据'!AB4/100000000)</f>
        <v/>
      </c>
      <c r="AC5" s="13" t="inlineStr">
        <is>
          <t>近五个交易日资金净额:optional_missing；近一月资金净额（最近22个交易日）:optional_missing</t>
        </is>
      </c>
      <c r="AD5" s="13" t="inlineStr">
        <is>
          <t>SUCCESS</t>
        </is>
      </c>
    </row>
    <row r="6" ht="21" customHeight="1" s="3">
      <c r="A6" s="12" t="inlineStr">
        <is>
          <t>000039</t>
        </is>
      </c>
      <c r="B6" s="13" t="inlineStr">
        <is>
          <t>中集集团</t>
        </is>
      </c>
      <c r="C6" s="25">
        <f>IF('历史数据'!D56="","",'历史数据'!D56)</f>
        <v/>
      </c>
      <c r="D6" s="13">
        <f>IF('历史数据'!E56="","",'历史数据'!E56)</f>
        <v/>
      </c>
      <c r="E6" s="24">
        <f>IF('历史数据'!G56="","",'历史数据'!G56/100000000)</f>
        <v/>
      </c>
      <c r="F6" s="26">
        <f>IF(OR('历史数据'!G56="",'历史数据'!H56&lt;=0),"",'历史数据'!G56/'历史数据'!H56-1)</f>
        <v/>
      </c>
      <c r="G6" s="26">
        <f>IF(OR('历史数据'!G56&lt;=0,'历史数据'!I56&lt;=0),"",POWER('历史数据'!G56/'历史数据'!I56,1/3)-1)</f>
        <v/>
      </c>
      <c r="H6" s="26">
        <f>IF(OR('历史数据'!G56&lt;=0,'历史数据'!J56=""),"",('历史数据'!G56-'历史数据'!J56)/'历史数据'!G56)</f>
        <v/>
      </c>
      <c r="I6" s="27">
        <f>IF(OR(H6="",'历史数据'!H56&lt;=0,'历史数据'!K56=""),"",(H6-('历史数据'!H56-'历史数据'!K56)/'历史数据'!H56)*100)</f>
        <v/>
      </c>
      <c r="J6" s="27">
        <f>IF(OR(H6="",'历史数据'!I56&lt;=0,'历史数据'!L56=""),"",(H6-('历史数据'!I56-'历史数据'!L56)/'历史数据'!I56)*100)</f>
        <v/>
      </c>
      <c r="K6" s="24">
        <f>IF('历史数据'!M56="","",'历史数据'!M56/100000000)</f>
        <v/>
      </c>
      <c r="L6" s="26">
        <f>IF(OR('历史数据'!G56=0,'历史数据'!M56=""),"",'历史数据'!M56/'历史数据'!G56)</f>
        <v/>
      </c>
      <c r="M6" s="26">
        <f>IF(OR('历史数据'!M56="",'历史数据'!N56=0),"",('历史数据'!M56-'历史数据'!N56)/ABS('历史数据'!N56))</f>
        <v/>
      </c>
      <c r="N6" s="26">
        <f>IF(OR('历史数据'!M56&lt;=0,'历史数据'!O56&lt;=0),"",POWER('历史数据'!M56/'历史数据'!O56,1/3)-1)</f>
        <v/>
      </c>
      <c r="O6" s="24">
        <f>IF('历史数据'!P56="","",'历史数据'!P56/100000000)</f>
        <v/>
      </c>
      <c r="P6" s="26">
        <f>IF(OR('历史数据'!P56="",'历史数据'!Q56=0),"",('历史数据'!P56-'历史数据'!Q56)/ABS('历史数据'!Q56))</f>
        <v/>
      </c>
      <c r="Q6" s="26">
        <f>IF(OR('历史数据'!P56&lt;=0,'历史数据'!R56&lt;=0),"",POWER('历史数据'!P56/'历史数据'!R56,1/3)-1)</f>
        <v/>
      </c>
      <c r="R6" s="24">
        <f>IF('历史数据'!S56="","",'历史数据'!S56/100000000)</f>
        <v/>
      </c>
      <c r="S6" s="25">
        <f>IF('历史数据'!T56="","",'历史数据'!T56)</f>
        <v/>
      </c>
      <c r="T6" s="28">
        <f>IF('历史数据'!U56="","",'历史数据'!U56)</f>
        <v/>
      </c>
      <c r="U6" s="28">
        <f>IF('历史数据'!V56="","",'历史数据'!V56/100000000)</f>
        <v/>
      </c>
      <c r="V6" s="24">
        <f>IF('历史数据'!W56="","",'历史数据'!W56/100000000)</f>
        <v/>
      </c>
      <c r="W6" s="28">
        <f>IF('历史数据'!X56="","",'历史数据'!X56)</f>
        <v/>
      </c>
      <c r="X6" s="26">
        <f>IF(OR(R6="",V6&lt;=0),"",R6/V6-1)</f>
        <v/>
      </c>
      <c r="Y6" s="29">
        <f>IF('历史数据'!Y56="","",'历史数据'!Y56)</f>
        <v/>
      </c>
      <c r="Z6" s="24">
        <f>IF('历史数据'!Z56="","",'历史数据'!Z56/100000000)</f>
        <v/>
      </c>
      <c r="AA6" s="24">
        <f>IF('历史数据'!AA56="","",'历史数据'!AA56/100000000)</f>
        <v/>
      </c>
      <c r="AB6" s="24">
        <f>IF('历史数据'!AB56="","",'历史数据'!AB56/100000000)</f>
        <v/>
      </c>
      <c r="AC6" s="13" t="inlineStr">
        <is>
          <t>近五个交易日资金净额:optional_missing；近一月资金净额（最近22个交易日）:optional_missing</t>
        </is>
      </c>
      <c r="AD6" s="13" t="inlineStr">
        <is>
          <t>SUCCESS</t>
        </is>
      </c>
    </row>
    <row r="7" ht="21" customHeight="1" s="3">
      <c r="A7" s="12" t="inlineStr">
        <is>
          <t>000034</t>
        </is>
      </c>
      <c r="B7" s="13" t="inlineStr">
        <is>
          <t>神州数码</t>
        </is>
      </c>
      <c r="C7" s="25">
        <f>IF('历史数据'!D48="","",'历史数据'!D48)</f>
        <v/>
      </c>
      <c r="D7" s="13">
        <f>IF('历史数据'!E48="","",'历史数据'!E48)</f>
        <v/>
      </c>
      <c r="E7" s="24">
        <f>IF('历史数据'!G48="","",'历史数据'!G48/100000000)</f>
        <v/>
      </c>
      <c r="F7" s="26">
        <f>IF(OR('历史数据'!G48="",'历史数据'!H48&lt;=0),"",'历史数据'!G48/'历史数据'!H48-1)</f>
        <v/>
      </c>
      <c r="G7" s="26">
        <f>IF(OR('历史数据'!G48&lt;=0,'历史数据'!I48&lt;=0),"",POWER('历史数据'!G48/'历史数据'!I48,1/3)-1)</f>
        <v/>
      </c>
      <c r="H7" s="26">
        <f>IF(OR('历史数据'!G48&lt;=0,'历史数据'!J48=""),"",('历史数据'!G48-'历史数据'!J48)/'历史数据'!G48)</f>
        <v/>
      </c>
      <c r="I7" s="27">
        <f>IF(OR(H7="",'历史数据'!H48&lt;=0,'历史数据'!K48=""),"",(H7-('历史数据'!H48-'历史数据'!K48)/'历史数据'!H48)*100)</f>
        <v/>
      </c>
      <c r="J7" s="27">
        <f>IF(OR(H7="",'历史数据'!I48&lt;=0,'历史数据'!L48=""),"",(H7-('历史数据'!I48-'历史数据'!L48)/'历史数据'!I48)*100)</f>
        <v/>
      </c>
      <c r="K7" s="24">
        <f>IF('历史数据'!M48="","",'历史数据'!M48/100000000)</f>
        <v/>
      </c>
      <c r="L7" s="26">
        <f>IF(OR('历史数据'!G48=0,'历史数据'!M48=""),"",'历史数据'!M48/'历史数据'!G48)</f>
        <v/>
      </c>
      <c r="M7" s="26">
        <f>IF(OR('历史数据'!M48="",'历史数据'!N48=0),"",('历史数据'!M48-'历史数据'!N48)/ABS('历史数据'!N48))</f>
        <v/>
      </c>
      <c r="N7" s="26">
        <f>IF(OR('历史数据'!M48&lt;=0,'历史数据'!O48&lt;=0),"",POWER('历史数据'!M48/'历史数据'!O48,1/3)-1)</f>
        <v/>
      </c>
      <c r="O7" s="24">
        <f>IF('历史数据'!P48="","",'历史数据'!P48/100000000)</f>
        <v/>
      </c>
      <c r="P7" s="26">
        <f>IF(OR('历史数据'!P48="",'历史数据'!Q48=0),"",('历史数据'!P48-'历史数据'!Q48)/ABS('历史数据'!Q48))</f>
        <v/>
      </c>
      <c r="Q7" s="26">
        <f>IF(OR('历史数据'!P48&lt;=0,'历史数据'!R48&lt;=0),"",POWER('历史数据'!P48/'历史数据'!R48,1/3)-1)</f>
        <v/>
      </c>
      <c r="R7" s="24">
        <f>IF('历史数据'!S48="","",'历史数据'!S48/100000000)</f>
        <v/>
      </c>
      <c r="S7" s="25">
        <f>IF('历史数据'!T48="","",'历史数据'!T48)</f>
        <v/>
      </c>
      <c r="T7" s="28">
        <f>IF('历史数据'!U48="","",'历史数据'!U48)</f>
        <v/>
      </c>
      <c r="U7" s="28">
        <f>IF('历史数据'!V48="","",'历史数据'!V48/100000000)</f>
        <v/>
      </c>
      <c r="V7" s="24">
        <f>IF('历史数据'!W48="","",'历史数据'!W48/100000000)</f>
        <v/>
      </c>
      <c r="W7" s="28">
        <f>IF('历史数据'!X48="","",'历史数据'!X48)</f>
        <v/>
      </c>
      <c r="X7" s="26">
        <f>IF(OR(R7="",V7&lt;=0),"",R7/V7-1)</f>
        <v/>
      </c>
      <c r="Y7" s="29">
        <f>IF('历史数据'!Y48="","",'历史数据'!Y48)</f>
        <v/>
      </c>
      <c r="Z7" s="24">
        <f>IF('历史数据'!Z48="","",'历史数据'!Z48/100000000)</f>
        <v/>
      </c>
      <c r="AA7" s="24">
        <f>IF('历史数据'!AA48="","",'历史数据'!AA48/100000000)</f>
        <v/>
      </c>
      <c r="AB7" s="24">
        <f>IF('历史数据'!AB48="","",'历史数据'!AB48/100000000)</f>
        <v/>
      </c>
      <c r="AC7" s="13" t="inlineStr">
        <is>
          <t>近五个交易日资金净额:optional_missing；近一月资金净额（最近22个交易日）:optional_missing</t>
        </is>
      </c>
      <c r="AD7" s="13" t="inlineStr">
        <is>
          <t>SUCCESS</t>
        </is>
      </c>
    </row>
    <row r="8" ht="21" customHeight="1" s="3">
      <c r="A8" s="12" t="inlineStr">
        <is>
          <t>000063</t>
        </is>
      </c>
      <c r="B8" s="13" t="inlineStr">
        <is>
          <t>中兴通讯</t>
        </is>
      </c>
      <c r="C8" s="25">
        <f>IF('历史数据'!D82="","",'历史数据'!D82)</f>
        <v/>
      </c>
      <c r="D8" s="13">
        <f>IF('历史数据'!E82="","",'历史数据'!E82)</f>
        <v/>
      </c>
      <c r="E8" s="24">
        <f>IF('历史数据'!G82="","",'历史数据'!G82/100000000)</f>
        <v/>
      </c>
      <c r="F8" s="26">
        <f>IF(OR('历史数据'!G82="",'历史数据'!H82&lt;=0),"",'历史数据'!G82/'历史数据'!H82-1)</f>
        <v/>
      </c>
      <c r="G8" s="26">
        <f>IF(OR('历史数据'!G82&lt;=0,'历史数据'!I82&lt;=0),"",POWER('历史数据'!G82/'历史数据'!I82,1/3)-1)</f>
        <v/>
      </c>
      <c r="H8" s="26">
        <f>IF(OR('历史数据'!G82&lt;=0,'历史数据'!J82=""),"",('历史数据'!G82-'历史数据'!J82)/'历史数据'!G82)</f>
        <v/>
      </c>
      <c r="I8" s="27">
        <f>IF(OR(H8="",'历史数据'!H82&lt;=0,'历史数据'!K82=""),"",(H8-('历史数据'!H82-'历史数据'!K82)/'历史数据'!H82)*100)</f>
        <v/>
      </c>
      <c r="J8" s="27">
        <f>IF(OR(H8="",'历史数据'!I82&lt;=0,'历史数据'!L82=""),"",(H8-('历史数据'!I82-'历史数据'!L82)/'历史数据'!I82)*100)</f>
        <v/>
      </c>
      <c r="K8" s="24">
        <f>IF('历史数据'!M82="","",'历史数据'!M82/100000000)</f>
        <v/>
      </c>
      <c r="L8" s="26">
        <f>IF(OR('历史数据'!G82=0,'历史数据'!M82=""),"",'历史数据'!M82/'历史数据'!G82)</f>
        <v/>
      </c>
      <c r="M8" s="26">
        <f>IF(OR('历史数据'!M82="",'历史数据'!N82=0),"",('历史数据'!M82-'历史数据'!N82)/ABS('历史数据'!N82))</f>
        <v/>
      </c>
      <c r="N8" s="26">
        <f>IF(OR('历史数据'!M82&lt;=0,'历史数据'!O82&lt;=0),"",POWER('历史数据'!M82/'历史数据'!O82,1/3)-1)</f>
        <v/>
      </c>
      <c r="O8" s="24">
        <f>IF('历史数据'!P82="","",'历史数据'!P82/100000000)</f>
        <v/>
      </c>
      <c r="P8" s="26">
        <f>IF(OR('历史数据'!P82="",'历史数据'!Q82=0),"",('历史数据'!P82-'历史数据'!Q82)/ABS('历史数据'!Q82))</f>
        <v/>
      </c>
      <c r="Q8" s="26">
        <f>IF(OR('历史数据'!P82&lt;=0,'历史数据'!R82&lt;=0),"",POWER('历史数据'!P82/'历史数据'!R82,1/3)-1)</f>
        <v/>
      </c>
      <c r="R8" s="24">
        <f>IF('历史数据'!S82="","",'历史数据'!S82/100000000)</f>
        <v/>
      </c>
      <c r="S8" s="25">
        <f>IF('历史数据'!T82="","",'历史数据'!T82)</f>
        <v/>
      </c>
      <c r="T8" s="28">
        <f>IF('历史数据'!U82="","",'历史数据'!U82)</f>
        <v/>
      </c>
      <c r="U8" s="28">
        <f>IF('历史数据'!V82="","",'历史数据'!V82/100000000)</f>
        <v/>
      </c>
      <c r="V8" s="24">
        <f>IF('历史数据'!W82="","",'历史数据'!W82/100000000)</f>
        <v/>
      </c>
      <c r="W8" s="28">
        <f>IF('历史数据'!X82="","",'历史数据'!X82)</f>
        <v/>
      </c>
      <c r="X8" s="26">
        <f>IF(OR(R8="",V8&lt;=0),"",R8/V8-1)</f>
        <v/>
      </c>
      <c r="Y8" s="29">
        <f>IF('历史数据'!Y82="","",'历史数据'!Y82)</f>
        <v/>
      </c>
      <c r="Z8" s="24">
        <f>IF('历史数据'!Z82="","",'历史数据'!Z82/100000000)</f>
        <v/>
      </c>
      <c r="AA8" s="24">
        <f>IF('历史数据'!AA82="","",'历史数据'!AA82/100000000)</f>
        <v/>
      </c>
      <c r="AB8" s="24">
        <f>IF('历史数据'!AB82="","",'历史数据'!AB82/100000000)</f>
        <v/>
      </c>
      <c r="AC8" s="13" t="inlineStr">
        <is>
          <t>近五个交易日资金净额:optional_missing；近一月资金净额（最近22个交易日）:optional_missing</t>
        </is>
      </c>
      <c r="AD8" s="13" t="inlineStr">
        <is>
          <t>SUCCESS</t>
        </is>
      </c>
    </row>
    <row r="9" ht="21" customHeight="1" s="3">
      <c r="A9" s="12" t="inlineStr">
        <is>
          <t>000001</t>
        </is>
      </c>
      <c r="B9" s="13" t="inlineStr">
        <is>
          <t>平安银行</t>
        </is>
      </c>
      <c r="C9" s="25">
        <f>IF('历史数据'!D2="","",'历史数据'!D2)</f>
        <v/>
      </c>
      <c r="D9" s="13">
        <f>IF('历史数据'!E2="","",'历史数据'!E2)</f>
        <v/>
      </c>
      <c r="E9" s="24">
        <f>IF('历史数据'!G2="","",'历史数据'!G2/100000000)</f>
        <v/>
      </c>
      <c r="F9" s="26">
        <f>IF(OR('历史数据'!G2="",'历史数据'!H2&lt;=0),"",'历史数据'!G2/'历史数据'!H2-1)</f>
        <v/>
      </c>
      <c r="G9" s="26">
        <f>IF(OR('历史数据'!G2&lt;=0,'历史数据'!I2&lt;=0),"",POWER('历史数据'!G2/'历史数据'!I2,1/3)-1)</f>
        <v/>
      </c>
      <c r="H9" s="26">
        <f>IF(OR('历史数据'!G2&lt;=0,'历史数据'!J2=""),"",('历史数据'!G2-'历史数据'!J2)/'历史数据'!G2)</f>
        <v/>
      </c>
      <c r="I9" s="27">
        <f>IF(OR(H9="",'历史数据'!H2&lt;=0,'历史数据'!K2=""),"",(H9-('历史数据'!H2-'历史数据'!K2)/'历史数据'!H2)*100)</f>
        <v/>
      </c>
      <c r="J9" s="27">
        <f>IF(OR(H9="",'历史数据'!I2&lt;=0,'历史数据'!L2=""),"",(H9-('历史数据'!I2-'历史数据'!L2)/'历史数据'!I2)*100)</f>
        <v/>
      </c>
      <c r="K9" s="24">
        <f>IF('历史数据'!M2="","",'历史数据'!M2/100000000)</f>
        <v/>
      </c>
      <c r="L9" s="26">
        <f>IF(OR('历史数据'!G2=0,'历史数据'!M2=""),"",'历史数据'!M2/'历史数据'!G2)</f>
        <v/>
      </c>
      <c r="M9" s="26">
        <f>IF(OR('历史数据'!M2="",'历史数据'!N2=0),"",('历史数据'!M2-'历史数据'!N2)/ABS('历史数据'!N2))</f>
        <v/>
      </c>
      <c r="N9" s="26">
        <f>IF(OR('历史数据'!M2&lt;=0,'历史数据'!O2&lt;=0),"",POWER('历史数据'!M2/'历史数据'!O2,1/3)-1)</f>
        <v/>
      </c>
      <c r="O9" s="24">
        <f>IF('历史数据'!P2="","",'历史数据'!P2/100000000)</f>
        <v/>
      </c>
      <c r="P9" s="26">
        <f>IF(OR('历史数据'!P2="",'历史数据'!Q2=0),"",('历史数据'!P2-'历史数据'!Q2)/ABS('历史数据'!Q2))</f>
        <v/>
      </c>
      <c r="Q9" s="26">
        <f>IF(OR('历史数据'!P2&lt;=0,'历史数据'!R2&lt;=0),"",POWER('历史数据'!P2/'历史数据'!R2,1/3)-1)</f>
        <v/>
      </c>
      <c r="R9" s="24">
        <f>IF('历史数据'!S2="","",'历史数据'!S2/100000000)</f>
        <v/>
      </c>
      <c r="S9" s="25">
        <f>IF('历史数据'!T2="","",'历史数据'!T2)</f>
        <v/>
      </c>
      <c r="T9" s="28">
        <f>IF('历史数据'!U2="","",'历史数据'!U2)</f>
        <v/>
      </c>
      <c r="U9" s="28">
        <f>IF('历史数据'!V2="","",'历史数据'!V2/100000000)</f>
        <v/>
      </c>
      <c r="V9" s="24">
        <f>IF('历史数据'!W2="","",'历史数据'!W2/100000000)</f>
        <v/>
      </c>
      <c r="W9" s="28">
        <f>IF('历史数据'!X2="","",'历史数据'!X2)</f>
        <v/>
      </c>
      <c r="X9" s="26">
        <f>IF(OR(R9="",V9&lt;=0),"",R9/V9-1)</f>
        <v/>
      </c>
      <c r="Y9" s="29">
        <f>IF('历史数据'!Y2="","",'历史数据'!Y2)</f>
        <v/>
      </c>
      <c r="Z9" s="24">
        <f>IF('历史数据'!Z2="","",'历史数据'!Z2/100000000)</f>
        <v/>
      </c>
      <c r="AA9" s="24">
        <f>IF('历史数据'!AA2="","",'历史数据'!AA2/100000000)</f>
        <v/>
      </c>
      <c r="AB9" s="24">
        <f>IF('历史数据'!AB2="","",'历史数据'!AB2/100000000)</f>
        <v/>
      </c>
      <c r="AC9" s="13" t="inlineStr">
        <is>
          <t>近五个交易日资金净额:optional_missing；近一月资金净额（最近22个交易日）:optional_missing</t>
        </is>
      </c>
      <c r="AD9" s="13" t="inlineStr">
        <is>
          <t>SUCCESS</t>
        </is>
      </c>
    </row>
    <row r="10" ht="21" customHeight="1" s="3">
      <c r="A10" s="12" t="inlineStr">
        <is>
          <t>000028</t>
        </is>
      </c>
      <c r="B10" s="13" t="inlineStr">
        <is>
          <t>国药一致</t>
        </is>
      </c>
      <c r="C10" s="25">
        <f>IF('历史数据'!D38="","",'历史数据'!D38)</f>
        <v/>
      </c>
      <c r="D10" s="13">
        <f>IF('历史数据'!E38="","",'历史数据'!E38)</f>
        <v/>
      </c>
      <c r="E10" s="24">
        <f>IF('历史数据'!G38="","",'历史数据'!G38/100000000)</f>
        <v/>
      </c>
      <c r="F10" s="26">
        <f>IF(OR('历史数据'!G38="",'历史数据'!H38&lt;=0),"",'历史数据'!G38/'历史数据'!H38-1)</f>
        <v/>
      </c>
      <c r="G10" s="26">
        <f>IF(OR('历史数据'!G38&lt;=0,'历史数据'!I38&lt;=0),"",POWER('历史数据'!G38/'历史数据'!I38,1/3)-1)</f>
        <v/>
      </c>
      <c r="H10" s="26">
        <f>IF(OR('历史数据'!G38&lt;=0,'历史数据'!J38=""),"",('历史数据'!G38-'历史数据'!J38)/'历史数据'!G38)</f>
        <v/>
      </c>
      <c r="I10" s="27">
        <f>IF(OR(H10="",'历史数据'!H38&lt;=0,'历史数据'!K38=""),"",(H10-('历史数据'!H38-'历史数据'!K38)/'历史数据'!H38)*100)</f>
        <v/>
      </c>
      <c r="J10" s="27">
        <f>IF(OR(H10="",'历史数据'!I38&lt;=0,'历史数据'!L38=""),"",(H10-('历史数据'!I38-'历史数据'!L38)/'历史数据'!I38)*100)</f>
        <v/>
      </c>
      <c r="K10" s="24">
        <f>IF('历史数据'!M38="","",'历史数据'!M38/100000000)</f>
        <v/>
      </c>
      <c r="L10" s="26">
        <f>IF(OR('历史数据'!G38=0,'历史数据'!M38=""),"",'历史数据'!M38/'历史数据'!G38)</f>
        <v/>
      </c>
      <c r="M10" s="26">
        <f>IF(OR('历史数据'!M38="",'历史数据'!N38=0),"",('历史数据'!M38-'历史数据'!N38)/ABS('历史数据'!N38))</f>
        <v/>
      </c>
      <c r="N10" s="26">
        <f>IF(OR('历史数据'!M38&lt;=0,'历史数据'!O38&lt;=0),"",POWER('历史数据'!M38/'历史数据'!O38,1/3)-1)</f>
        <v/>
      </c>
      <c r="O10" s="24">
        <f>IF('历史数据'!P38="","",'历史数据'!P38/100000000)</f>
        <v/>
      </c>
      <c r="P10" s="26">
        <f>IF(OR('历史数据'!P38="",'历史数据'!Q38=0),"",('历史数据'!P38-'历史数据'!Q38)/ABS('历史数据'!Q38))</f>
        <v/>
      </c>
      <c r="Q10" s="26">
        <f>IF(OR('历史数据'!P38&lt;=0,'历史数据'!R38&lt;=0),"",POWER('历史数据'!P38/'历史数据'!R38,1/3)-1)</f>
        <v/>
      </c>
      <c r="R10" s="24">
        <f>IF('历史数据'!S38="","",'历史数据'!S38/100000000)</f>
        <v/>
      </c>
      <c r="S10" s="25">
        <f>IF('历史数据'!T38="","",'历史数据'!T38)</f>
        <v/>
      </c>
      <c r="T10" s="28">
        <f>IF('历史数据'!U38="","",'历史数据'!U38)</f>
        <v/>
      </c>
      <c r="U10" s="28">
        <f>IF('历史数据'!V38="","",'历史数据'!V38/100000000)</f>
        <v/>
      </c>
      <c r="V10" s="24">
        <f>IF('历史数据'!W38="","",'历史数据'!W38/100000000)</f>
        <v/>
      </c>
      <c r="W10" s="28">
        <f>IF('历史数据'!X38="","",'历史数据'!X38)</f>
        <v/>
      </c>
      <c r="X10" s="26">
        <f>IF(OR(R10="",V10&lt;=0),"",R10/V10-1)</f>
        <v/>
      </c>
      <c r="Y10" s="29">
        <f>IF('历史数据'!Y38="","",'历史数据'!Y38)</f>
        <v/>
      </c>
      <c r="Z10" s="24">
        <f>IF('历史数据'!Z38="","",'历史数据'!Z38/100000000)</f>
        <v/>
      </c>
      <c r="AA10" s="24">
        <f>IF('历史数据'!AA38="","",'历史数据'!AA38/100000000)</f>
        <v/>
      </c>
      <c r="AB10" s="24">
        <f>IF('历史数据'!AB38="","",'历史数据'!AB38/100000000)</f>
        <v/>
      </c>
      <c r="AC10" s="13" t="inlineStr">
        <is>
          <t>近五个交易日资金净额:optional_missing；近一月资金净额（最近22个交易日）:optional_missing</t>
        </is>
      </c>
      <c r="AD10" s="13" t="inlineStr">
        <is>
          <t>SUCCESS</t>
        </is>
      </c>
    </row>
    <row r="11" ht="21" customHeight="1" s="3">
      <c r="A11" s="12" t="inlineStr">
        <is>
          <t>000060</t>
        </is>
      </c>
      <c r="B11" s="13" t="inlineStr">
        <is>
          <t>中金岭南</t>
        </is>
      </c>
      <c r="C11" s="25">
        <f>IF('历史数据'!D76="","",'历史数据'!D76)</f>
        <v/>
      </c>
      <c r="D11" s="13">
        <f>IF('历史数据'!E76="","",'历史数据'!E76)</f>
        <v/>
      </c>
      <c r="E11" s="24">
        <f>IF('历史数据'!G76="","",'历史数据'!G76/100000000)</f>
        <v/>
      </c>
      <c r="F11" s="26">
        <f>IF(OR('历史数据'!G76="",'历史数据'!H76&lt;=0),"",'历史数据'!G76/'历史数据'!H76-1)</f>
        <v/>
      </c>
      <c r="G11" s="26">
        <f>IF(OR('历史数据'!G76&lt;=0,'历史数据'!I76&lt;=0),"",POWER('历史数据'!G76/'历史数据'!I76,1/3)-1)</f>
        <v/>
      </c>
      <c r="H11" s="26">
        <f>IF(OR('历史数据'!G76&lt;=0,'历史数据'!J76=""),"",('历史数据'!G76-'历史数据'!J76)/'历史数据'!G76)</f>
        <v/>
      </c>
      <c r="I11" s="27">
        <f>IF(OR(H11="",'历史数据'!H76&lt;=0,'历史数据'!K76=""),"",(H11-('历史数据'!H76-'历史数据'!K76)/'历史数据'!H76)*100)</f>
        <v/>
      </c>
      <c r="J11" s="27">
        <f>IF(OR(H11="",'历史数据'!I76&lt;=0,'历史数据'!L76=""),"",(H11-('历史数据'!I76-'历史数据'!L76)/'历史数据'!I76)*100)</f>
        <v/>
      </c>
      <c r="K11" s="24">
        <f>IF('历史数据'!M76="","",'历史数据'!M76/100000000)</f>
        <v/>
      </c>
      <c r="L11" s="26">
        <f>IF(OR('历史数据'!G76=0,'历史数据'!M76=""),"",'历史数据'!M76/'历史数据'!G76)</f>
        <v/>
      </c>
      <c r="M11" s="26">
        <f>IF(OR('历史数据'!M76="",'历史数据'!N76=0),"",('历史数据'!M76-'历史数据'!N76)/ABS('历史数据'!N76))</f>
        <v/>
      </c>
      <c r="N11" s="26">
        <f>IF(OR('历史数据'!M76&lt;=0,'历史数据'!O76&lt;=0),"",POWER('历史数据'!M76/'历史数据'!O76,1/3)-1)</f>
        <v/>
      </c>
      <c r="O11" s="24">
        <f>IF('历史数据'!P76="","",'历史数据'!P76/100000000)</f>
        <v/>
      </c>
      <c r="P11" s="26">
        <f>IF(OR('历史数据'!P76="",'历史数据'!Q76=0),"",('历史数据'!P76-'历史数据'!Q76)/ABS('历史数据'!Q76))</f>
        <v/>
      </c>
      <c r="Q11" s="26">
        <f>IF(OR('历史数据'!P76&lt;=0,'历史数据'!R76&lt;=0),"",POWER('历史数据'!P76/'历史数据'!R76,1/3)-1)</f>
        <v/>
      </c>
      <c r="R11" s="24">
        <f>IF('历史数据'!S76="","",'历史数据'!S76/100000000)</f>
        <v/>
      </c>
      <c r="S11" s="25">
        <f>IF('历史数据'!T76="","",'历史数据'!T76)</f>
        <v/>
      </c>
      <c r="T11" s="28">
        <f>IF('历史数据'!U76="","",'历史数据'!U76)</f>
        <v/>
      </c>
      <c r="U11" s="28">
        <f>IF('历史数据'!V76="","",'历史数据'!V76/100000000)</f>
        <v/>
      </c>
      <c r="V11" s="24">
        <f>IF('历史数据'!W76="","",'历史数据'!W76/100000000)</f>
        <v/>
      </c>
      <c r="W11" s="28">
        <f>IF('历史数据'!X76="","",'历史数据'!X76)</f>
        <v/>
      </c>
      <c r="X11" s="26">
        <f>IF(OR(R11="",V11&lt;=0),"",R11/V11-1)</f>
        <v/>
      </c>
      <c r="Y11" s="29">
        <f>IF('历史数据'!Y76="","",'历史数据'!Y76)</f>
        <v/>
      </c>
      <c r="Z11" s="24">
        <f>IF('历史数据'!Z76="","",'历史数据'!Z76/100000000)</f>
        <v/>
      </c>
      <c r="AA11" s="24">
        <f>IF('历史数据'!AA76="","",'历史数据'!AA76/100000000)</f>
        <v/>
      </c>
      <c r="AB11" s="24">
        <f>IF('历史数据'!AB76="","",'历史数据'!AB76/100000000)</f>
        <v/>
      </c>
      <c r="AC11" s="13" t="inlineStr">
        <is>
          <t>近五个交易日资金净额:optional_missing；近一月资金净额（最近22个交易日）:optional_missing</t>
        </is>
      </c>
      <c r="AD11" s="13" t="inlineStr">
        <is>
          <t>SUCCESS</t>
        </is>
      </c>
    </row>
    <row r="12" ht="21" customHeight="1" s="3">
      <c r="A12" s="12" t="inlineStr">
        <is>
          <t>000032</t>
        </is>
      </c>
      <c r="B12" s="13" t="inlineStr">
        <is>
          <t>深桑达Ａ</t>
        </is>
      </c>
      <c r="C12" s="25">
        <f>IF('历史数据'!D46="","",'历史数据'!D46)</f>
        <v/>
      </c>
      <c r="D12" s="13">
        <f>IF('历史数据'!E46="","",'历史数据'!E46)</f>
        <v/>
      </c>
      <c r="E12" s="24">
        <f>IF('历史数据'!G46="","",'历史数据'!G46/100000000)</f>
        <v/>
      </c>
      <c r="F12" s="26">
        <f>IF(OR('历史数据'!G46="",'历史数据'!H46&lt;=0),"",'历史数据'!G46/'历史数据'!H46-1)</f>
        <v/>
      </c>
      <c r="G12" s="26">
        <f>IF(OR('历史数据'!G46&lt;=0,'历史数据'!I46&lt;=0),"",POWER('历史数据'!G46/'历史数据'!I46,1/3)-1)</f>
        <v/>
      </c>
      <c r="H12" s="26">
        <f>IF(OR('历史数据'!G46&lt;=0,'历史数据'!J46=""),"",('历史数据'!G46-'历史数据'!J46)/'历史数据'!G46)</f>
        <v/>
      </c>
      <c r="I12" s="27">
        <f>IF(OR(H12="",'历史数据'!H46&lt;=0,'历史数据'!K46=""),"",(H12-('历史数据'!H46-'历史数据'!K46)/'历史数据'!H46)*100)</f>
        <v/>
      </c>
      <c r="J12" s="27">
        <f>IF(OR(H12="",'历史数据'!I46&lt;=0,'历史数据'!L46=""),"",(H12-('历史数据'!I46-'历史数据'!L46)/'历史数据'!I46)*100)</f>
        <v/>
      </c>
      <c r="K12" s="24">
        <f>IF('历史数据'!M46="","",'历史数据'!M46/100000000)</f>
        <v/>
      </c>
      <c r="L12" s="26">
        <f>IF(OR('历史数据'!G46=0,'历史数据'!M46=""),"",'历史数据'!M46/'历史数据'!G46)</f>
        <v/>
      </c>
      <c r="M12" s="26">
        <f>IF(OR('历史数据'!M46="",'历史数据'!N46=0),"",('历史数据'!M46-'历史数据'!N46)/ABS('历史数据'!N46))</f>
        <v/>
      </c>
      <c r="N12" s="26">
        <f>IF(OR('历史数据'!M46&lt;=0,'历史数据'!O46&lt;=0),"",POWER('历史数据'!M46/'历史数据'!O46,1/3)-1)</f>
        <v/>
      </c>
      <c r="O12" s="24">
        <f>IF('历史数据'!P46="","",'历史数据'!P46/100000000)</f>
        <v/>
      </c>
      <c r="P12" s="26">
        <f>IF(OR('历史数据'!P46="",'历史数据'!Q46=0),"",('历史数据'!P46-'历史数据'!Q46)/ABS('历史数据'!Q46))</f>
        <v/>
      </c>
      <c r="Q12" s="26">
        <f>IF(OR('历史数据'!P46&lt;=0,'历史数据'!R46&lt;=0),"",POWER('历史数据'!P46/'历史数据'!R46,1/3)-1)</f>
        <v/>
      </c>
      <c r="R12" s="24">
        <f>IF('历史数据'!S46="","",'历史数据'!S46/100000000)</f>
        <v/>
      </c>
      <c r="S12" s="25">
        <f>IF('历史数据'!T46="","",'历史数据'!T46)</f>
        <v/>
      </c>
      <c r="T12" s="28">
        <f>IF('历史数据'!U46="","",'历史数据'!U46)</f>
        <v/>
      </c>
      <c r="U12" s="28">
        <f>IF('历史数据'!V46="","",'历史数据'!V46/100000000)</f>
        <v/>
      </c>
      <c r="V12" s="24">
        <f>IF('历史数据'!W46="","",'历史数据'!W46/100000000)</f>
        <v/>
      </c>
      <c r="W12" s="28">
        <f>IF('历史数据'!X46="","",'历史数据'!X46)</f>
        <v/>
      </c>
      <c r="X12" s="26">
        <f>IF(OR(R12="",V12&lt;=0),"",R12/V12-1)</f>
        <v/>
      </c>
      <c r="Y12" s="29">
        <f>IF('历史数据'!Y46="","",'历史数据'!Y46)</f>
        <v/>
      </c>
      <c r="Z12" s="24">
        <f>IF('历史数据'!Z46="","",'历史数据'!Z46/100000000)</f>
        <v/>
      </c>
      <c r="AA12" s="24">
        <f>IF('历史数据'!AA46="","",'历史数据'!AA46/100000000)</f>
        <v/>
      </c>
      <c r="AB12" s="24">
        <f>IF('历史数据'!AB46="","",'历史数据'!AB46/100000000)</f>
        <v/>
      </c>
      <c r="AC12" s="13" t="inlineStr">
        <is>
          <t>近五个交易日资金净额:optional_missing；近一月资金净额（最近22个交易日）:optional_missing</t>
        </is>
      </c>
      <c r="AD12" s="13" t="inlineStr">
        <is>
          <t>SUCCESS</t>
        </is>
      </c>
    </row>
    <row r="13" ht="21" customHeight="1" s="3">
      <c r="A13" s="12" t="inlineStr">
        <is>
          <t>000027</t>
        </is>
      </c>
      <c r="B13" s="13" t="inlineStr">
        <is>
          <t>深圳能源</t>
        </is>
      </c>
      <c r="C13" s="25">
        <f>IF('历史数据'!D36="","",'历史数据'!D36)</f>
        <v/>
      </c>
      <c r="D13" s="13">
        <f>IF('历史数据'!E36="","",'历史数据'!E36)</f>
        <v/>
      </c>
      <c r="E13" s="24">
        <f>IF('历史数据'!G36="","",'历史数据'!G36/100000000)</f>
        <v/>
      </c>
      <c r="F13" s="26">
        <f>IF(OR('历史数据'!G36="",'历史数据'!H36&lt;=0),"",'历史数据'!G36/'历史数据'!H36-1)</f>
        <v/>
      </c>
      <c r="G13" s="26">
        <f>IF(OR('历史数据'!G36&lt;=0,'历史数据'!I36&lt;=0),"",POWER('历史数据'!G36/'历史数据'!I36,1/3)-1)</f>
        <v/>
      </c>
      <c r="H13" s="26">
        <f>IF(OR('历史数据'!G36&lt;=0,'历史数据'!J36=""),"",('历史数据'!G36-'历史数据'!J36)/'历史数据'!G36)</f>
        <v/>
      </c>
      <c r="I13" s="27">
        <f>IF(OR(H13="",'历史数据'!H36&lt;=0,'历史数据'!K36=""),"",(H13-('历史数据'!H36-'历史数据'!K36)/'历史数据'!H36)*100)</f>
        <v/>
      </c>
      <c r="J13" s="27">
        <f>IF(OR(H13="",'历史数据'!I36&lt;=0,'历史数据'!L36=""),"",(H13-('历史数据'!I36-'历史数据'!L36)/'历史数据'!I36)*100)</f>
        <v/>
      </c>
      <c r="K13" s="24">
        <f>IF('历史数据'!M36="","",'历史数据'!M36/100000000)</f>
        <v/>
      </c>
      <c r="L13" s="26">
        <f>IF(OR('历史数据'!G36=0,'历史数据'!M36=""),"",'历史数据'!M36/'历史数据'!G36)</f>
        <v/>
      </c>
      <c r="M13" s="26">
        <f>IF(OR('历史数据'!M36="",'历史数据'!N36=0),"",('历史数据'!M36-'历史数据'!N36)/ABS('历史数据'!N36))</f>
        <v/>
      </c>
      <c r="N13" s="26">
        <f>IF(OR('历史数据'!M36&lt;=0,'历史数据'!O36&lt;=0),"",POWER('历史数据'!M36/'历史数据'!O36,1/3)-1)</f>
        <v/>
      </c>
      <c r="O13" s="24">
        <f>IF('历史数据'!P36="","",'历史数据'!P36/100000000)</f>
        <v/>
      </c>
      <c r="P13" s="26">
        <f>IF(OR('历史数据'!P36="",'历史数据'!Q36=0),"",('历史数据'!P36-'历史数据'!Q36)/ABS('历史数据'!Q36))</f>
        <v/>
      </c>
      <c r="Q13" s="26">
        <f>IF(OR('历史数据'!P36&lt;=0,'历史数据'!R36&lt;=0),"",POWER('历史数据'!P36/'历史数据'!R36,1/3)-1)</f>
        <v/>
      </c>
      <c r="R13" s="24">
        <f>IF('历史数据'!S36="","",'历史数据'!S36/100000000)</f>
        <v/>
      </c>
      <c r="S13" s="25">
        <f>IF('历史数据'!T36="","",'历史数据'!T36)</f>
        <v/>
      </c>
      <c r="T13" s="28">
        <f>IF('历史数据'!U36="","",'历史数据'!U36)</f>
        <v/>
      </c>
      <c r="U13" s="28">
        <f>IF('历史数据'!V36="","",'历史数据'!V36/100000000)</f>
        <v/>
      </c>
      <c r="V13" s="24">
        <f>IF('历史数据'!W36="","",'历史数据'!W36/100000000)</f>
        <v/>
      </c>
      <c r="W13" s="28">
        <f>IF('历史数据'!X36="","",'历史数据'!X36)</f>
        <v/>
      </c>
      <c r="X13" s="26">
        <f>IF(OR(R13="",V13&lt;=0),"",R13/V13-1)</f>
        <v/>
      </c>
      <c r="Y13" s="29">
        <f>IF('历史数据'!Y36="","",'历史数据'!Y36)</f>
        <v/>
      </c>
      <c r="Z13" s="24">
        <f>IF('历史数据'!Z36="","",'历史数据'!Z36/100000000)</f>
        <v/>
      </c>
      <c r="AA13" s="24">
        <f>IF('历史数据'!AA36="","",'历史数据'!AA36/100000000)</f>
        <v/>
      </c>
      <c r="AB13" s="24">
        <f>IF('历史数据'!AB36="","",'历史数据'!AB36/100000000)</f>
        <v/>
      </c>
      <c r="AC13" s="13" t="inlineStr">
        <is>
          <t>近五个交易日资金净额:optional_missing；近一月资金净额（最近22个交易日）:optional_missing</t>
        </is>
      </c>
      <c r="AD13" s="13" t="inlineStr">
        <is>
          <t>SUCCESS</t>
        </is>
      </c>
    </row>
    <row r="14" ht="21" customHeight="1" s="3">
      <c r="A14" s="12" t="inlineStr">
        <is>
          <t>000059</t>
        </is>
      </c>
      <c r="B14" s="13" t="inlineStr">
        <is>
          <t>华锦股份</t>
        </is>
      </c>
      <c r="C14" s="25">
        <f>IF('历史数据'!D74="","",'历史数据'!D74)</f>
        <v/>
      </c>
      <c r="D14" s="13">
        <f>IF('历史数据'!E74="","",'历史数据'!E74)</f>
        <v/>
      </c>
      <c r="E14" s="24">
        <f>IF('历史数据'!G74="","",'历史数据'!G74/100000000)</f>
        <v/>
      </c>
      <c r="F14" s="26">
        <f>IF(OR('历史数据'!G74="",'历史数据'!H74&lt;=0),"",'历史数据'!G74/'历史数据'!H74-1)</f>
        <v/>
      </c>
      <c r="G14" s="26">
        <f>IF(OR('历史数据'!G74&lt;=0,'历史数据'!I74&lt;=0),"",POWER('历史数据'!G74/'历史数据'!I74,1/3)-1)</f>
        <v/>
      </c>
      <c r="H14" s="26">
        <f>IF(OR('历史数据'!G74&lt;=0,'历史数据'!J74=""),"",('历史数据'!G74-'历史数据'!J74)/'历史数据'!G74)</f>
        <v/>
      </c>
      <c r="I14" s="27">
        <f>IF(OR(H14="",'历史数据'!H74&lt;=0,'历史数据'!K74=""),"",(H14-('历史数据'!H74-'历史数据'!K74)/'历史数据'!H74)*100)</f>
        <v/>
      </c>
      <c r="J14" s="27">
        <f>IF(OR(H14="",'历史数据'!I74&lt;=0,'历史数据'!L74=""),"",(H14-('历史数据'!I74-'历史数据'!L74)/'历史数据'!I74)*100)</f>
        <v/>
      </c>
      <c r="K14" s="24">
        <f>IF('历史数据'!M74="","",'历史数据'!M74/100000000)</f>
        <v/>
      </c>
      <c r="L14" s="26">
        <f>IF(OR('历史数据'!G74=0,'历史数据'!M74=""),"",'历史数据'!M74/'历史数据'!G74)</f>
        <v/>
      </c>
      <c r="M14" s="26">
        <f>IF(OR('历史数据'!M74="",'历史数据'!N74=0),"",('历史数据'!M74-'历史数据'!N74)/ABS('历史数据'!N74))</f>
        <v/>
      </c>
      <c r="N14" s="26">
        <f>IF(OR('历史数据'!M74&lt;=0,'历史数据'!O74&lt;=0),"",POWER('历史数据'!M74/'历史数据'!O74,1/3)-1)</f>
        <v/>
      </c>
      <c r="O14" s="24">
        <f>IF('历史数据'!P74="","",'历史数据'!P74/100000000)</f>
        <v/>
      </c>
      <c r="P14" s="26">
        <f>IF(OR('历史数据'!P74="",'历史数据'!Q74=0),"",('历史数据'!P74-'历史数据'!Q74)/ABS('历史数据'!Q74))</f>
        <v/>
      </c>
      <c r="Q14" s="26">
        <f>IF(OR('历史数据'!P74&lt;=0,'历史数据'!R74&lt;=0),"",POWER('历史数据'!P74/'历史数据'!R74,1/3)-1)</f>
        <v/>
      </c>
      <c r="R14" s="24">
        <f>IF('历史数据'!S74="","",'历史数据'!S74/100000000)</f>
        <v/>
      </c>
      <c r="S14" s="25">
        <f>IF('历史数据'!T74="","",'历史数据'!T74)</f>
        <v/>
      </c>
      <c r="T14" s="28">
        <f>IF('历史数据'!U74="","",'历史数据'!U74)</f>
        <v/>
      </c>
      <c r="U14" s="28">
        <f>IF('历史数据'!V74="","",'历史数据'!V74/100000000)</f>
        <v/>
      </c>
      <c r="V14" s="24">
        <f>IF('历史数据'!W74="","",'历史数据'!W74/100000000)</f>
        <v/>
      </c>
      <c r="W14" s="28">
        <f>IF('历史数据'!X74="","",'历史数据'!X74)</f>
        <v/>
      </c>
      <c r="X14" s="26">
        <f>IF(OR(R14="",V14&lt;=0),"",R14/V14-1)</f>
        <v/>
      </c>
      <c r="Y14" s="29">
        <f>IF('历史数据'!Y74="","",'历史数据'!Y74)</f>
        <v/>
      </c>
      <c r="Z14" s="24">
        <f>IF('历史数据'!Z74="","",'历史数据'!Z74/100000000)</f>
        <v/>
      </c>
      <c r="AA14" s="24">
        <f>IF('历史数据'!AA74="","",'历史数据'!AA74/100000000)</f>
        <v/>
      </c>
      <c r="AB14" s="24">
        <f>IF('历史数据'!AB74="","",'历史数据'!AB74/100000000)</f>
        <v/>
      </c>
      <c r="AC14" s="13" t="inlineStr">
        <is>
          <t>近五个交易日资金净额:optional_missing；近一月资金净额（最近22个交易日）:optional_missing</t>
        </is>
      </c>
      <c r="AD14" s="13" t="inlineStr">
        <is>
          <t>SUCCESS</t>
        </is>
      </c>
    </row>
    <row r="15" ht="21" customHeight="1" s="3">
      <c r="A15" s="12" t="inlineStr">
        <is>
          <t>000050</t>
        </is>
      </c>
      <c r="B15" s="13" t="inlineStr">
        <is>
          <t>深天马Ａ</t>
        </is>
      </c>
      <c r="C15" s="25">
        <f>IF('历史数据'!D66="","",'历史数据'!D66)</f>
        <v/>
      </c>
      <c r="D15" s="13">
        <f>IF('历史数据'!E66="","",'历史数据'!E66)</f>
        <v/>
      </c>
      <c r="E15" s="24">
        <f>IF('历史数据'!G66="","",'历史数据'!G66/100000000)</f>
        <v/>
      </c>
      <c r="F15" s="26">
        <f>IF(OR('历史数据'!G66="",'历史数据'!H66&lt;=0),"",'历史数据'!G66/'历史数据'!H66-1)</f>
        <v/>
      </c>
      <c r="G15" s="26">
        <f>IF(OR('历史数据'!G66&lt;=0,'历史数据'!I66&lt;=0),"",POWER('历史数据'!G66/'历史数据'!I66,1/3)-1)</f>
        <v/>
      </c>
      <c r="H15" s="26">
        <f>IF(OR('历史数据'!G66&lt;=0,'历史数据'!J66=""),"",('历史数据'!G66-'历史数据'!J66)/'历史数据'!G66)</f>
        <v/>
      </c>
      <c r="I15" s="27">
        <f>IF(OR(H15="",'历史数据'!H66&lt;=0,'历史数据'!K66=""),"",(H15-('历史数据'!H66-'历史数据'!K66)/'历史数据'!H66)*100)</f>
        <v/>
      </c>
      <c r="J15" s="27">
        <f>IF(OR(H15="",'历史数据'!I66&lt;=0,'历史数据'!L66=""),"",(H15-('历史数据'!I66-'历史数据'!L66)/'历史数据'!I66)*100)</f>
        <v/>
      </c>
      <c r="K15" s="24">
        <f>IF('历史数据'!M66="","",'历史数据'!M66/100000000)</f>
        <v/>
      </c>
      <c r="L15" s="26">
        <f>IF(OR('历史数据'!G66=0,'历史数据'!M66=""),"",'历史数据'!M66/'历史数据'!G66)</f>
        <v/>
      </c>
      <c r="M15" s="26">
        <f>IF(OR('历史数据'!M66="",'历史数据'!N66=0),"",('历史数据'!M66-'历史数据'!N66)/ABS('历史数据'!N66))</f>
        <v/>
      </c>
      <c r="N15" s="26">
        <f>IF(OR('历史数据'!M66&lt;=0,'历史数据'!O66&lt;=0),"",POWER('历史数据'!M66/'历史数据'!O66,1/3)-1)</f>
        <v/>
      </c>
      <c r="O15" s="24">
        <f>IF('历史数据'!P66="","",'历史数据'!P66/100000000)</f>
        <v/>
      </c>
      <c r="P15" s="26">
        <f>IF(OR('历史数据'!P66="",'历史数据'!Q66=0),"",('历史数据'!P66-'历史数据'!Q66)/ABS('历史数据'!Q66))</f>
        <v/>
      </c>
      <c r="Q15" s="26">
        <f>IF(OR('历史数据'!P66&lt;=0,'历史数据'!R66&lt;=0),"",POWER('历史数据'!P66/'历史数据'!R66,1/3)-1)</f>
        <v/>
      </c>
      <c r="R15" s="24">
        <f>IF('历史数据'!S66="","",'历史数据'!S66/100000000)</f>
        <v/>
      </c>
      <c r="S15" s="25">
        <f>IF('历史数据'!T66="","",'历史数据'!T66)</f>
        <v/>
      </c>
      <c r="T15" s="28">
        <f>IF('历史数据'!U66="","",'历史数据'!U66)</f>
        <v/>
      </c>
      <c r="U15" s="28">
        <f>IF('历史数据'!V66="","",'历史数据'!V66/100000000)</f>
        <v/>
      </c>
      <c r="V15" s="24">
        <f>IF('历史数据'!W66="","",'历史数据'!W66/100000000)</f>
        <v/>
      </c>
      <c r="W15" s="28">
        <f>IF('历史数据'!X66="","",'历史数据'!X66)</f>
        <v/>
      </c>
      <c r="X15" s="26">
        <f>IF(OR(R15="",V15&lt;=0),"",R15/V15-1)</f>
        <v/>
      </c>
      <c r="Y15" s="29">
        <f>IF('历史数据'!Y66="","",'历史数据'!Y66)</f>
        <v/>
      </c>
      <c r="Z15" s="24">
        <f>IF('历史数据'!Z66="","",'历史数据'!Z66/100000000)</f>
        <v/>
      </c>
      <c r="AA15" s="24">
        <f>IF('历史数据'!AA66="","",'历史数据'!AA66/100000000)</f>
        <v/>
      </c>
      <c r="AB15" s="24">
        <f>IF('历史数据'!AB66="","",'历史数据'!AB66/100000000)</f>
        <v/>
      </c>
      <c r="AC15" s="13" t="inlineStr">
        <is>
          <t>近五个交易日资金净额:optional_missing；近一月资金净额（最近22个交易日）:optional_missing</t>
        </is>
      </c>
      <c r="AD15" s="13" t="inlineStr">
        <is>
          <t>SUCCESS</t>
        </is>
      </c>
    </row>
    <row r="16" ht="21" customHeight="1" s="3">
      <c r="A16" s="12" t="inlineStr">
        <is>
          <t>000069</t>
        </is>
      </c>
      <c r="B16" s="13" t="inlineStr">
        <is>
          <t>华侨城Ａ</t>
        </is>
      </c>
      <c r="C16" s="25">
        <f>IF('历史数据'!D90="","",'历史数据'!D90)</f>
        <v/>
      </c>
      <c r="D16" s="13">
        <f>IF('历史数据'!E90="","",'历史数据'!E90)</f>
        <v/>
      </c>
      <c r="E16" s="24">
        <f>IF('历史数据'!G90="","",'历史数据'!G90/100000000)</f>
        <v/>
      </c>
      <c r="F16" s="26">
        <f>IF(OR('历史数据'!G90="",'历史数据'!H90&lt;=0),"",'历史数据'!G90/'历史数据'!H90-1)</f>
        <v/>
      </c>
      <c r="G16" s="26">
        <f>IF(OR('历史数据'!G90&lt;=0,'历史数据'!I90&lt;=0),"",POWER('历史数据'!G90/'历史数据'!I90,1/3)-1)</f>
        <v/>
      </c>
      <c r="H16" s="26">
        <f>IF(OR('历史数据'!G90&lt;=0,'历史数据'!J90=""),"",('历史数据'!G90-'历史数据'!J90)/'历史数据'!G90)</f>
        <v/>
      </c>
      <c r="I16" s="27">
        <f>IF(OR(H16="",'历史数据'!H90&lt;=0,'历史数据'!K90=""),"",(H16-('历史数据'!H90-'历史数据'!K90)/'历史数据'!H90)*100)</f>
        <v/>
      </c>
      <c r="J16" s="27">
        <f>IF(OR(H16="",'历史数据'!I90&lt;=0,'历史数据'!L90=""),"",(H16-('历史数据'!I90-'历史数据'!L90)/'历史数据'!I90)*100)</f>
        <v/>
      </c>
      <c r="K16" s="24">
        <f>IF('历史数据'!M90="","",'历史数据'!M90/100000000)</f>
        <v/>
      </c>
      <c r="L16" s="26">
        <f>IF(OR('历史数据'!G90=0,'历史数据'!M90=""),"",'历史数据'!M90/'历史数据'!G90)</f>
        <v/>
      </c>
      <c r="M16" s="26">
        <f>IF(OR('历史数据'!M90="",'历史数据'!N90=0),"",('历史数据'!M90-'历史数据'!N90)/ABS('历史数据'!N90))</f>
        <v/>
      </c>
      <c r="N16" s="26">
        <f>IF(OR('历史数据'!M90&lt;=0,'历史数据'!O90&lt;=0),"",POWER('历史数据'!M90/'历史数据'!O90,1/3)-1)</f>
        <v/>
      </c>
      <c r="O16" s="24">
        <f>IF('历史数据'!P90="","",'历史数据'!P90/100000000)</f>
        <v/>
      </c>
      <c r="P16" s="26">
        <f>IF(OR('历史数据'!P90="",'历史数据'!Q90=0),"",('历史数据'!P90-'历史数据'!Q90)/ABS('历史数据'!Q90))</f>
        <v/>
      </c>
      <c r="Q16" s="26">
        <f>IF(OR('历史数据'!P90&lt;=0,'历史数据'!R90&lt;=0),"",POWER('历史数据'!P90/'历史数据'!R90,1/3)-1)</f>
        <v/>
      </c>
      <c r="R16" s="24">
        <f>IF('历史数据'!S90="","",'历史数据'!S90/100000000)</f>
        <v/>
      </c>
      <c r="S16" s="25">
        <f>IF('历史数据'!T90="","",'历史数据'!T90)</f>
        <v/>
      </c>
      <c r="T16" s="28">
        <f>IF('历史数据'!U90="","",'历史数据'!U90)</f>
        <v/>
      </c>
      <c r="U16" s="28">
        <f>IF('历史数据'!V90="","",'历史数据'!V90/100000000)</f>
        <v/>
      </c>
      <c r="V16" s="24">
        <f>IF('历史数据'!W90="","",'历史数据'!W90/100000000)</f>
        <v/>
      </c>
      <c r="W16" s="28">
        <f>IF('历史数据'!X90="","",'历史数据'!X90)</f>
        <v/>
      </c>
      <c r="X16" s="26">
        <f>IF(OR(R16="",V16&lt;=0),"",R16/V16-1)</f>
        <v/>
      </c>
      <c r="Y16" s="29">
        <f>IF('历史数据'!Y90="","",'历史数据'!Y90)</f>
        <v/>
      </c>
      <c r="Z16" s="24">
        <f>IF('历史数据'!Z90="","",'历史数据'!Z90/100000000)</f>
        <v/>
      </c>
      <c r="AA16" s="24">
        <f>IF('历史数据'!AA90="","",'历史数据'!AA90/100000000)</f>
        <v/>
      </c>
      <c r="AB16" s="24">
        <f>IF('历史数据'!AB90="","",'历史数据'!AB90/100000000)</f>
        <v/>
      </c>
      <c r="AC16" s="13" t="inlineStr">
        <is>
          <t>近五个交易日资金净额:optional_missing；近一月资金净额（最近22个交易日）:optional_missing</t>
        </is>
      </c>
      <c r="AD16" s="13" t="inlineStr">
        <is>
          <t>SUCCESS</t>
        </is>
      </c>
    </row>
    <row r="17" ht="21" customHeight="1" s="3">
      <c r="A17" s="12" t="inlineStr">
        <is>
          <t>000031</t>
        </is>
      </c>
      <c r="B17" s="13" t="inlineStr">
        <is>
          <t>大悦城</t>
        </is>
      </c>
      <c r="C17" s="25">
        <f>IF('历史数据'!D44="","",'历史数据'!D44)</f>
        <v/>
      </c>
      <c r="D17" s="13">
        <f>IF('历史数据'!E44="","",'历史数据'!E44)</f>
        <v/>
      </c>
      <c r="E17" s="24">
        <f>IF('历史数据'!G44="","",'历史数据'!G44/100000000)</f>
        <v/>
      </c>
      <c r="F17" s="26">
        <f>IF(OR('历史数据'!G44="",'历史数据'!H44&lt;=0),"",'历史数据'!G44/'历史数据'!H44-1)</f>
        <v/>
      </c>
      <c r="G17" s="26">
        <f>IF(OR('历史数据'!G44&lt;=0,'历史数据'!I44&lt;=0),"",POWER('历史数据'!G44/'历史数据'!I44,1/3)-1)</f>
        <v/>
      </c>
      <c r="H17" s="26">
        <f>IF(OR('历史数据'!G44&lt;=0,'历史数据'!J44=""),"",('历史数据'!G44-'历史数据'!J44)/'历史数据'!G44)</f>
        <v/>
      </c>
      <c r="I17" s="27">
        <f>IF(OR(H17="",'历史数据'!H44&lt;=0,'历史数据'!K44=""),"",(H17-('历史数据'!H44-'历史数据'!K44)/'历史数据'!H44)*100)</f>
        <v/>
      </c>
      <c r="J17" s="27">
        <f>IF(OR(H17="",'历史数据'!I44&lt;=0,'历史数据'!L44=""),"",(H17-('历史数据'!I44-'历史数据'!L44)/'历史数据'!I44)*100)</f>
        <v/>
      </c>
      <c r="K17" s="24">
        <f>IF('历史数据'!M44="","",'历史数据'!M44/100000000)</f>
        <v/>
      </c>
      <c r="L17" s="26">
        <f>IF(OR('历史数据'!G44=0,'历史数据'!M44=""),"",'历史数据'!M44/'历史数据'!G44)</f>
        <v/>
      </c>
      <c r="M17" s="26">
        <f>IF(OR('历史数据'!M44="",'历史数据'!N44=0),"",('历史数据'!M44-'历史数据'!N44)/ABS('历史数据'!N44))</f>
        <v/>
      </c>
      <c r="N17" s="26">
        <f>IF(OR('历史数据'!M44&lt;=0,'历史数据'!O44&lt;=0),"",POWER('历史数据'!M44/'历史数据'!O44,1/3)-1)</f>
        <v/>
      </c>
      <c r="O17" s="24">
        <f>IF('历史数据'!P44="","",'历史数据'!P44/100000000)</f>
        <v/>
      </c>
      <c r="P17" s="26">
        <f>IF(OR('历史数据'!P44="",'历史数据'!Q44=0),"",('历史数据'!P44-'历史数据'!Q44)/ABS('历史数据'!Q44))</f>
        <v/>
      </c>
      <c r="Q17" s="26">
        <f>IF(OR('历史数据'!P44&lt;=0,'历史数据'!R44&lt;=0),"",POWER('历史数据'!P44/'历史数据'!R44,1/3)-1)</f>
        <v/>
      </c>
      <c r="R17" s="24">
        <f>IF('历史数据'!S44="","",'历史数据'!S44/100000000)</f>
        <v/>
      </c>
      <c r="S17" s="25">
        <f>IF('历史数据'!T44="","",'历史数据'!T44)</f>
        <v/>
      </c>
      <c r="T17" s="28">
        <f>IF('历史数据'!U44="","",'历史数据'!U44)</f>
        <v/>
      </c>
      <c r="U17" s="28">
        <f>IF('历史数据'!V44="","",'历史数据'!V44/100000000)</f>
        <v/>
      </c>
      <c r="V17" s="24">
        <f>IF('历史数据'!W44="","",'历史数据'!W44/100000000)</f>
        <v/>
      </c>
      <c r="W17" s="28">
        <f>IF('历史数据'!X44="","",'历史数据'!X44)</f>
        <v/>
      </c>
      <c r="X17" s="26">
        <f>IF(OR(R17="",V17&lt;=0),"",R17/V17-1)</f>
        <v/>
      </c>
      <c r="Y17" s="29">
        <f>IF('历史数据'!Y44="","",'历史数据'!Y44)</f>
        <v/>
      </c>
      <c r="Z17" s="24">
        <f>IF('历史数据'!Z44="","",'历史数据'!Z44/100000000)</f>
        <v/>
      </c>
      <c r="AA17" s="24">
        <f>IF('历史数据'!AA44="","",'历史数据'!AA44/100000000)</f>
        <v/>
      </c>
      <c r="AB17" s="24">
        <f>IF('历史数据'!AB44="","",'历史数据'!AB44/100000000)</f>
        <v/>
      </c>
      <c r="AC17" s="13" t="inlineStr">
        <is>
          <t>近五个交易日资金净额:optional_missing；近一月资金净额（最近22个交易日）:optional_missing</t>
        </is>
      </c>
      <c r="AD17" s="13" t="inlineStr">
        <is>
          <t>SUCCESS</t>
        </is>
      </c>
    </row>
    <row r="18" ht="21" customHeight="1" s="3">
      <c r="A18" s="12" t="inlineStr">
        <is>
          <t>000078</t>
        </is>
      </c>
      <c r="B18" s="13" t="inlineStr">
        <is>
          <t>ST海王</t>
        </is>
      </c>
      <c r="C18" s="25">
        <f>IF('历史数据'!D94="","",'历史数据'!D94)</f>
        <v/>
      </c>
      <c r="D18" s="13">
        <f>IF('历史数据'!E94="","",'历史数据'!E94)</f>
        <v/>
      </c>
      <c r="E18" s="24">
        <f>IF('历史数据'!G94="","",'历史数据'!G94/100000000)</f>
        <v/>
      </c>
      <c r="F18" s="26">
        <f>IF(OR('历史数据'!G94="",'历史数据'!H94&lt;=0),"",'历史数据'!G94/'历史数据'!H94-1)</f>
        <v/>
      </c>
      <c r="G18" s="26">
        <f>IF(OR('历史数据'!G94&lt;=0,'历史数据'!I94&lt;=0),"",POWER('历史数据'!G94/'历史数据'!I94,1/3)-1)</f>
        <v/>
      </c>
      <c r="H18" s="26">
        <f>IF(OR('历史数据'!G94&lt;=0,'历史数据'!J94=""),"",('历史数据'!G94-'历史数据'!J94)/'历史数据'!G94)</f>
        <v/>
      </c>
      <c r="I18" s="27">
        <f>IF(OR(H18="",'历史数据'!H94&lt;=0,'历史数据'!K94=""),"",(H18-('历史数据'!H94-'历史数据'!K94)/'历史数据'!H94)*100)</f>
        <v/>
      </c>
      <c r="J18" s="27">
        <f>IF(OR(H18="",'历史数据'!I94&lt;=0,'历史数据'!L94=""),"",(H18-('历史数据'!I94-'历史数据'!L94)/'历史数据'!I94)*100)</f>
        <v/>
      </c>
      <c r="K18" s="24">
        <f>IF('历史数据'!M94="","",'历史数据'!M94/100000000)</f>
        <v/>
      </c>
      <c r="L18" s="26">
        <f>IF(OR('历史数据'!G94=0,'历史数据'!M94=""),"",'历史数据'!M94/'历史数据'!G94)</f>
        <v/>
      </c>
      <c r="M18" s="26">
        <f>IF(OR('历史数据'!M94="",'历史数据'!N94=0),"",('历史数据'!M94-'历史数据'!N94)/ABS('历史数据'!N94))</f>
        <v/>
      </c>
      <c r="N18" s="26">
        <f>IF(OR('历史数据'!M94&lt;=0,'历史数据'!O94&lt;=0),"",POWER('历史数据'!M94/'历史数据'!O94,1/3)-1)</f>
        <v/>
      </c>
      <c r="O18" s="24">
        <f>IF('历史数据'!P94="","",'历史数据'!P94/100000000)</f>
        <v/>
      </c>
      <c r="P18" s="26">
        <f>IF(OR('历史数据'!P94="",'历史数据'!Q94=0),"",('历史数据'!P94-'历史数据'!Q94)/ABS('历史数据'!Q94))</f>
        <v/>
      </c>
      <c r="Q18" s="26">
        <f>IF(OR('历史数据'!P94&lt;=0,'历史数据'!R94&lt;=0),"",POWER('历史数据'!P94/'历史数据'!R94,1/3)-1)</f>
        <v/>
      </c>
      <c r="R18" s="24">
        <f>IF('历史数据'!S94="","",'历史数据'!S94/100000000)</f>
        <v/>
      </c>
      <c r="S18" s="25">
        <f>IF('历史数据'!T94="","",'历史数据'!T94)</f>
        <v/>
      </c>
      <c r="T18" s="28">
        <f>IF('历史数据'!U94="","",'历史数据'!U94)</f>
        <v/>
      </c>
      <c r="U18" s="28">
        <f>IF('历史数据'!V94="","",'历史数据'!V94/100000000)</f>
        <v/>
      </c>
      <c r="V18" s="24">
        <f>IF('历史数据'!W94="","",'历史数据'!W94/100000000)</f>
        <v/>
      </c>
      <c r="W18" s="28">
        <f>IF('历史数据'!X94="","",'历史数据'!X94)</f>
        <v/>
      </c>
      <c r="X18" s="26">
        <f>IF(OR(R18="",V18&lt;=0),"",R18/V18-1)</f>
        <v/>
      </c>
      <c r="Y18" s="29">
        <f>IF('历史数据'!Y94="","",'历史数据'!Y94)</f>
        <v/>
      </c>
      <c r="Z18" s="24">
        <f>IF('历史数据'!Z94="","",'历史数据'!Z94/100000000)</f>
        <v/>
      </c>
      <c r="AA18" s="24">
        <f>IF('历史数据'!AA94="","",'历史数据'!AA94/100000000)</f>
        <v/>
      </c>
      <c r="AB18" s="24">
        <f>IF('历史数据'!AB94="","",'历史数据'!AB94/100000000)</f>
        <v/>
      </c>
      <c r="AC18" s="13" t="inlineStr">
        <is>
          <t>近五个交易日资金净额:optional_missing；近一月资金净额（最近22个交易日）:optional_missing</t>
        </is>
      </c>
      <c r="AD18" s="13" t="inlineStr">
        <is>
          <t>SUCCESS</t>
        </is>
      </c>
    </row>
    <row r="19" ht="21" customHeight="1" s="3">
      <c r="A19" s="12" t="inlineStr">
        <is>
          <t>000062</t>
        </is>
      </c>
      <c r="B19" s="13" t="inlineStr">
        <is>
          <t>深圳华强</t>
        </is>
      </c>
      <c r="C19" s="25">
        <f>IF('历史数据'!D80="","",'历史数据'!D80)</f>
        <v/>
      </c>
      <c r="D19" s="13">
        <f>IF('历史数据'!E80="","",'历史数据'!E80)</f>
        <v/>
      </c>
      <c r="E19" s="24">
        <f>IF('历史数据'!G80="","",'历史数据'!G80/100000000)</f>
        <v/>
      </c>
      <c r="F19" s="26">
        <f>IF(OR('历史数据'!G80="",'历史数据'!H80&lt;=0),"",'历史数据'!G80/'历史数据'!H80-1)</f>
        <v/>
      </c>
      <c r="G19" s="26">
        <f>IF(OR('历史数据'!G80&lt;=0,'历史数据'!I80&lt;=0),"",POWER('历史数据'!G80/'历史数据'!I80,1/3)-1)</f>
        <v/>
      </c>
      <c r="H19" s="26">
        <f>IF(OR('历史数据'!G80&lt;=0,'历史数据'!J80=""),"",('历史数据'!G80-'历史数据'!J80)/'历史数据'!G80)</f>
        <v/>
      </c>
      <c r="I19" s="27">
        <f>IF(OR(H19="",'历史数据'!H80&lt;=0,'历史数据'!K80=""),"",(H19-('历史数据'!H80-'历史数据'!K80)/'历史数据'!H80)*100)</f>
        <v/>
      </c>
      <c r="J19" s="27">
        <f>IF(OR(H19="",'历史数据'!I80&lt;=0,'历史数据'!L80=""),"",(H19-('历史数据'!I80-'历史数据'!L80)/'历史数据'!I80)*100)</f>
        <v/>
      </c>
      <c r="K19" s="24">
        <f>IF('历史数据'!M80="","",'历史数据'!M80/100000000)</f>
        <v/>
      </c>
      <c r="L19" s="26">
        <f>IF(OR('历史数据'!G80=0,'历史数据'!M80=""),"",'历史数据'!M80/'历史数据'!G80)</f>
        <v/>
      </c>
      <c r="M19" s="26">
        <f>IF(OR('历史数据'!M80="",'历史数据'!N80=0),"",('历史数据'!M80-'历史数据'!N80)/ABS('历史数据'!N80))</f>
        <v/>
      </c>
      <c r="N19" s="26">
        <f>IF(OR('历史数据'!M80&lt;=0,'历史数据'!O80&lt;=0),"",POWER('历史数据'!M80/'历史数据'!O80,1/3)-1)</f>
        <v/>
      </c>
      <c r="O19" s="24">
        <f>IF('历史数据'!P80="","",'历史数据'!P80/100000000)</f>
        <v/>
      </c>
      <c r="P19" s="26">
        <f>IF(OR('历史数据'!P80="",'历史数据'!Q80=0),"",('历史数据'!P80-'历史数据'!Q80)/ABS('历史数据'!Q80))</f>
        <v/>
      </c>
      <c r="Q19" s="26">
        <f>IF(OR('历史数据'!P80&lt;=0,'历史数据'!R80&lt;=0),"",POWER('历史数据'!P80/'历史数据'!R80,1/3)-1)</f>
        <v/>
      </c>
      <c r="R19" s="24">
        <f>IF('历史数据'!S80="","",'历史数据'!S80/100000000)</f>
        <v/>
      </c>
      <c r="S19" s="25">
        <f>IF('历史数据'!T80="","",'历史数据'!T80)</f>
        <v/>
      </c>
      <c r="T19" s="28">
        <f>IF('历史数据'!U80="","",'历史数据'!U80)</f>
        <v/>
      </c>
      <c r="U19" s="28">
        <f>IF('历史数据'!V80="","",'历史数据'!V80/100000000)</f>
        <v/>
      </c>
      <c r="V19" s="24">
        <f>IF('历史数据'!W80="","",'历史数据'!W80/100000000)</f>
        <v/>
      </c>
      <c r="W19" s="28">
        <f>IF('历史数据'!X80="","",'历史数据'!X80)</f>
        <v/>
      </c>
      <c r="X19" s="26">
        <f>IF(OR(R19="",V19&lt;=0),"",R19/V19-1)</f>
        <v/>
      </c>
      <c r="Y19" s="29">
        <f>IF('历史数据'!Y80="","",'历史数据'!Y80)</f>
        <v/>
      </c>
      <c r="Z19" s="24">
        <f>IF('历史数据'!Z80="","",'历史数据'!Z80/100000000)</f>
        <v/>
      </c>
      <c r="AA19" s="24">
        <f>IF('历史数据'!AA80="","",'历史数据'!AA80/100000000)</f>
        <v/>
      </c>
      <c r="AB19" s="24">
        <f>IF('历史数据'!AB80="","",'历史数据'!AB80/100000000)</f>
        <v/>
      </c>
      <c r="AC19" s="13" t="inlineStr">
        <is>
          <t>近五个交易日资金净额:optional_missing；近一月资金净额（最近22个交易日）:optional_missing</t>
        </is>
      </c>
      <c r="AD19" s="13" t="inlineStr">
        <is>
          <t>SUCCESS</t>
        </is>
      </c>
    </row>
    <row r="20" ht="21" customHeight="1" s="3">
      <c r="A20" s="12" t="inlineStr">
        <is>
          <t>000009</t>
        </is>
      </c>
      <c r="B20" s="13" t="inlineStr">
        <is>
          <t>中国宝安</t>
        </is>
      </c>
      <c r="C20" s="25">
        <f>IF('历史数据'!D12="","",'历史数据'!D12)</f>
        <v/>
      </c>
      <c r="D20" s="13">
        <f>IF('历史数据'!E12="","",'历史数据'!E12)</f>
        <v/>
      </c>
      <c r="E20" s="24">
        <f>IF('历史数据'!G12="","",'历史数据'!G12/100000000)</f>
        <v/>
      </c>
      <c r="F20" s="26">
        <f>IF(OR('历史数据'!G12="",'历史数据'!H12&lt;=0),"",'历史数据'!G12/'历史数据'!H12-1)</f>
        <v/>
      </c>
      <c r="G20" s="26">
        <f>IF(OR('历史数据'!G12&lt;=0,'历史数据'!I12&lt;=0),"",POWER('历史数据'!G12/'历史数据'!I12,1/3)-1)</f>
        <v/>
      </c>
      <c r="H20" s="26">
        <f>IF(OR('历史数据'!G12&lt;=0,'历史数据'!J12=""),"",('历史数据'!G12-'历史数据'!J12)/'历史数据'!G12)</f>
        <v/>
      </c>
      <c r="I20" s="27">
        <f>IF(OR(H20="",'历史数据'!H12&lt;=0,'历史数据'!K12=""),"",(H20-('历史数据'!H12-'历史数据'!K12)/'历史数据'!H12)*100)</f>
        <v/>
      </c>
      <c r="J20" s="27">
        <f>IF(OR(H20="",'历史数据'!I12&lt;=0,'历史数据'!L12=""),"",(H20-('历史数据'!I12-'历史数据'!L12)/'历史数据'!I12)*100)</f>
        <v/>
      </c>
      <c r="K20" s="24">
        <f>IF('历史数据'!M12="","",'历史数据'!M12/100000000)</f>
        <v/>
      </c>
      <c r="L20" s="26">
        <f>IF(OR('历史数据'!G12=0,'历史数据'!M12=""),"",'历史数据'!M12/'历史数据'!G12)</f>
        <v/>
      </c>
      <c r="M20" s="26">
        <f>IF(OR('历史数据'!M12="",'历史数据'!N12=0),"",('历史数据'!M12-'历史数据'!N12)/ABS('历史数据'!N12))</f>
        <v/>
      </c>
      <c r="N20" s="26">
        <f>IF(OR('历史数据'!M12&lt;=0,'历史数据'!O12&lt;=0),"",POWER('历史数据'!M12/'历史数据'!O12,1/3)-1)</f>
        <v/>
      </c>
      <c r="O20" s="24">
        <f>IF('历史数据'!P12="","",'历史数据'!P12/100000000)</f>
        <v/>
      </c>
      <c r="P20" s="26">
        <f>IF(OR('历史数据'!P12="",'历史数据'!Q12=0),"",('历史数据'!P12-'历史数据'!Q12)/ABS('历史数据'!Q12))</f>
        <v/>
      </c>
      <c r="Q20" s="26">
        <f>IF(OR('历史数据'!P12&lt;=0,'历史数据'!R12&lt;=0),"",POWER('历史数据'!P12/'历史数据'!R12,1/3)-1)</f>
        <v/>
      </c>
      <c r="R20" s="24">
        <f>IF('历史数据'!S12="","",'历史数据'!S12/100000000)</f>
        <v/>
      </c>
      <c r="S20" s="25">
        <f>IF('历史数据'!T12="","",'历史数据'!T12)</f>
        <v/>
      </c>
      <c r="T20" s="28">
        <f>IF('历史数据'!U12="","",'历史数据'!U12)</f>
        <v/>
      </c>
      <c r="U20" s="28">
        <f>IF('历史数据'!V12="","",'历史数据'!V12/100000000)</f>
        <v/>
      </c>
      <c r="V20" s="24">
        <f>IF('历史数据'!W12="","",'历史数据'!W12/100000000)</f>
        <v/>
      </c>
      <c r="W20" s="28">
        <f>IF('历史数据'!X12="","",'历史数据'!X12)</f>
        <v/>
      </c>
      <c r="X20" s="26">
        <f>IF(OR(R20="",V20&lt;=0),"",R20/V20-1)</f>
        <v/>
      </c>
      <c r="Y20" s="29">
        <f>IF('历史数据'!Y12="","",'历史数据'!Y12)</f>
        <v/>
      </c>
      <c r="Z20" s="24">
        <f>IF('历史数据'!Z12="","",'历史数据'!Z12/100000000)</f>
        <v/>
      </c>
      <c r="AA20" s="24">
        <f>IF('历史数据'!AA12="","",'历史数据'!AA12/100000000)</f>
        <v/>
      </c>
      <c r="AB20" s="24">
        <f>IF('历史数据'!AB12="","",'历史数据'!AB12/100000000)</f>
        <v/>
      </c>
      <c r="AC20" s="13" t="inlineStr">
        <is>
          <t>近五个交易日资金净额:optional_missing；近一月资金净额（最近22个交易日）:optional_missing</t>
        </is>
      </c>
      <c r="AD20" s="13" t="inlineStr">
        <is>
          <t>SUCCESS</t>
        </is>
      </c>
    </row>
    <row r="21" ht="21" customHeight="1" s="3">
      <c r="A21" s="12" t="inlineStr">
        <is>
          <t>000090</t>
        </is>
      </c>
      <c r="B21" s="13" t="inlineStr">
        <is>
          <t>天健集团</t>
        </is>
      </c>
      <c r="C21" s="25">
        <f>IF('历史数据'!D100="","",'历史数据'!D100)</f>
        <v/>
      </c>
      <c r="D21" s="13">
        <f>IF('历史数据'!E100="","",'历史数据'!E100)</f>
        <v/>
      </c>
      <c r="E21" s="24">
        <f>IF('历史数据'!G100="","",'历史数据'!G100/100000000)</f>
        <v/>
      </c>
      <c r="F21" s="26">
        <f>IF(OR('历史数据'!G100="",'历史数据'!H100&lt;=0),"",'历史数据'!G100/'历史数据'!H100-1)</f>
        <v/>
      </c>
      <c r="G21" s="26">
        <f>IF(OR('历史数据'!G100&lt;=0,'历史数据'!I100&lt;=0),"",POWER('历史数据'!G100/'历史数据'!I100,1/3)-1)</f>
        <v/>
      </c>
      <c r="H21" s="26">
        <f>IF(OR('历史数据'!G100&lt;=0,'历史数据'!J100=""),"",('历史数据'!G100-'历史数据'!J100)/'历史数据'!G100)</f>
        <v/>
      </c>
      <c r="I21" s="27">
        <f>IF(OR(H21="",'历史数据'!H100&lt;=0,'历史数据'!K100=""),"",(H21-('历史数据'!H100-'历史数据'!K100)/'历史数据'!H100)*100)</f>
        <v/>
      </c>
      <c r="J21" s="27">
        <f>IF(OR(H21="",'历史数据'!I100&lt;=0,'历史数据'!L100=""),"",(H21-('历史数据'!I100-'历史数据'!L100)/'历史数据'!I100)*100)</f>
        <v/>
      </c>
      <c r="K21" s="24">
        <f>IF('历史数据'!M100="","",'历史数据'!M100/100000000)</f>
        <v/>
      </c>
      <c r="L21" s="26">
        <f>IF(OR('历史数据'!G100=0,'历史数据'!M100=""),"",'历史数据'!M100/'历史数据'!G100)</f>
        <v/>
      </c>
      <c r="M21" s="26">
        <f>IF(OR('历史数据'!M100="",'历史数据'!N100=0),"",('历史数据'!M100-'历史数据'!N100)/ABS('历史数据'!N100))</f>
        <v/>
      </c>
      <c r="N21" s="26">
        <f>IF(OR('历史数据'!M100&lt;=0,'历史数据'!O100&lt;=0),"",POWER('历史数据'!M100/'历史数据'!O100,1/3)-1)</f>
        <v/>
      </c>
      <c r="O21" s="24">
        <f>IF('历史数据'!P100="","",'历史数据'!P100/100000000)</f>
        <v/>
      </c>
      <c r="P21" s="26">
        <f>IF(OR('历史数据'!P100="",'历史数据'!Q100=0),"",('历史数据'!P100-'历史数据'!Q100)/ABS('历史数据'!Q100))</f>
        <v/>
      </c>
      <c r="Q21" s="26">
        <f>IF(OR('历史数据'!P100&lt;=0,'历史数据'!R100&lt;=0),"",POWER('历史数据'!P100/'历史数据'!R100,1/3)-1)</f>
        <v/>
      </c>
      <c r="R21" s="24">
        <f>IF('历史数据'!S100="","",'历史数据'!S100/100000000)</f>
        <v/>
      </c>
      <c r="S21" s="25">
        <f>IF('历史数据'!T100="","",'历史数据'!T100)</f>
        <v/>
      </c>
      <c r="T21" s="28">
        <f>IF('历史数据'!U100="","",'历史数据'!U100)</f>
        <v/>
      </c>
      <c r="U21" s="28">
        <f>IF('历史数据'!V100="","",'历史数据'!V100/100000000)</f>
        <v/>
      </c>
      <c r="V21" s="24">
        <f>IF('历史数据'!W100="","",'历史数据'!W100/100000000)</f>
        <v/>
      </c>
      <c r="W21" s="28">
        <f>IF('历史数据'!X100="","",'历史数据'!X100)</f>
        <v/>
      </c>
      <c r="X21" s="26">
        <f>IF(OR(R21="",V21&lt;=0),"",R21/V21-1)</f>
        <v/>
      </c>
      <c r="Y21" s="29">
        <f>IF('历史数据'!Y100="","",'历史数据'!Y100)</f>
        <v/>
      </c>
      <c r="Z21" s="24">
        <f>IF('历史数据'!Z100="","",'历史数据'!Z100/100000000)</f>
        <v/>
      </c>
      <c r="AA21" s="24">
        <f>IF('历史数据'!AA100="","",'历史数据'!AA100/100000000)</f>
        <v/>
      </c>
      <c r="AB21" s="24">
        <f>IF('历史数据'!AB100="","",'历史数据'!AB100/100000000)</f>
        <v/>
      </c>
      <c r="AC21" s="13" t="inlineStr">
        <is>
          <t>近五个交易日资金净额:optional_missing；近一月资金净额（最近22个交易日）:optional_missing</t>
        </is>
      </c>
      <c r="AD21" s="13" t="inlineStr">
        <is>
          <t>SUCCESS</t>
        </is>
      </c>
    </row>
    <row r="22" ht="21" customHeight="1" s="3">
      <c r="A22" s="12" t="inlineStr">
        <is>
          <t>000049</t>
        </is>
      </c>
      <c r="B22" s="13" t="inlineStr">
        <is>
          <t>德赛电池</t>
        </is>
      </c>
      <c r="C22" s="25">
        <f>IF('历史数据'!D64="","",'历史数据'!D64)</f>
        <v/>
      </c>
      <c r="D22" s="13">
        <f>IF('历史数据'!E64="","",'历史数据'!E64)</f>
        <v/>
      </c>
      <c r="E22" s="24">
        <f>IF('历史数据'!G64="","",'历史数据'!G64/100000000)</f>
        <v/>
      </c>
      <c r="F22" s="26">
        <f>IF(OR('历史数据'!G64="",'历史数据'!H64&lt;=0),"",'历史数据'!G64/'历史数据'!H64-1)</f>
        <v/>
      </c>
      <c r="G22" s="26">
        <f>IF(OR('历史数据'!G64&lt;=0,'历史数据'!I64&lt;=0),"",POWER('历史数据'!G64/'历史数据'!I64,1/3)-1)</f>
        <v/>
      </c>
      <c r="H22" s="26">
        <f>IF(OR('历史数据'!G64&lt;=0,'历史数据'!J64=""),"",('历史数据'!G64-'历史数据'!J64)/'历史数据'!G64)</f>
        <v/>
      </c>
      <c r="I22" s="27">
        <f>IF(OR(H22="",'历史数据'!H64&lt;=0,'历史数据'!K64=""),"",(H22-('历史数据'!H64-'历史数据'!K64)/'历史数据'!H64)*100)</f>
        <v/>
      </c>
      <c r="J22" s="27">
        <f>IF(OR(H22="",'历史数据'!I64&lt;=0,'历史数据'!L64=""),"",(H22-('历史数据'!I64-'历史数据'!L64)/'历史数据'!I64)*100)</f>
        <v/>
      </c>
      <c r="K22" s="24">
        <f>IF('历史数据'!M64="","",'历史数据'!M64/100000000)</f>
        <v/>
      </c>
      <c r="L22" s="26">
        <f>IF(OR('历史数据'!G64=0,'历史数据'!M64=""),"",'历史数据'!M64/'历史数据'!G64)</f>
        <v/>
      </c>
      <c r="M22" s="26">
        <f>IF(OR('历史数据'!M64="",'历史数据'!N64=0),"",('历史数据'!M64-'历史数据'!N64)/ABS('历史数据'!N64))</f>
        <v/>
      </c>
      <c r="N22" s="26">
        <f>IF(OR('历史数据'!M64&lt;=0,'历史数据'!O64&lt;=0),"",POWER('历史数据'!M64/'历史数据'!O64,1/3)-1)</f>
        <v/>
      </c>
      <c r="O22" s="24">
        <f>IF('历史数据'!P64="","",'历史数据'!P64/100000000)</f>
        <v/>
      </c>
      <c r="P22" s="26">
        <f>IF(OR('历史数据'!P64="",'历史数据'!Q64=0),"",('历史数据'!P64-'历史数据'!Q64)/ABS('历史数据'!Q64))</f>
        <v/>
      </c>
      <c r="Q22" s="26">
        <f>IF(OR('历史数据'!P64&lt;=0,'历史数据'!R64&lt;=0),"",POWER('历史数据'!P64/'历史数据'!R64,1/3)-1)</f>
        <v/>
      </c>
      <c r="R22" s="24">
        <f>IF('历史数据'!S64="","",'历史数据'!S64/100000000)</f>
        <v/>
      </c>
      <c r="S22" s="25">
        <f>IF('历史数据'!T64="","",'历史数据'!T64)</f>
        <v/>
      </c>
      <c r="T22" s="28">
        <f>IF('历史数据'!U64="","",'历史数据'!U64)</f>
        <v/>
      </c>
      <c r="U22" s="28">
        <f>IF('历史数据'!V64="","",'历史数据'!V64/100000000)</f>
        <v/>
      </c>
      <c r="V22" s="24">
        <f>IF('历史数据'!W64="","",'历史数据'!W64/100000000)</f>
        <v/>
      </c>
      <c r="W22" s="28">
        <f>IF('历史数据'!X64="","",'历史数据'!X64)</f>
        <v/>
      </c>
      <c r="X22" s="26">
        <f>IF(OR(R22="",V22&lt;=0),"",R22/V22-1)</f>
        <v/>
      </c>
      <c r="Y22" s="29">
        <f>IF('历史数据'!Y64="","",'历史数据'!Y64)</f>
        <v/>
      </c>
      <c r="Z22" s="24">
        <f>IF('历史数据'!Z64="","",'历史数据'!Z64/100000000)</f>
        <v/>
      </c>
      <c r="AA22" s="24">
        <f>IF('历史数据'!AA64="","",'历史数据'!AA64/100000000)</f>
        <v/>
      </c>
      <c r="AB22" s="24">
        <f>IF('历史数据'!AB64="","",'历史数据'!AB64/100000000)</f>
        <v/>
      </c>
      <c r="AC22" s="13" t="inlineStr">
        <is>
          <t>近五个交易日资金净额:optional_missing；近一月资金净额（最近22个交易日）:optional_missing</t>
        </is>
      </c>
      <c r="AD22" s="13" t="inlineStr">
        <is>
          <t>SUCCESS</t>
        </is>
      </c>
    </row>
    <row r="23" ht="21" customHeight="1" s="3">
      <c r="A23" s="12" t="inlineStr">
        <is>
          <t>000030</t>
        </is>
      </c>
      <c r="B23" s="13" t="inlineStr">
        <is>
          <t>富奥股份</t>
        </is>
      </c>
      <c r="C23" s="25">
        <f>IF('历史数据'!D42="","",'历史数据'!D42)</f>
        <v/>
      </c>
      <c r="D23" s="13">
        <f>IF('历史数据'!E42="","",'历史数据'!E42)</f>
        <v/>
      </c>
      <c r="E23" s="24">
        <f>IF('历史数据'!G42="","",'历史数据'!G42/100000000)</f>
        <v/>
      </c>
      <c r="F23" s="26">
        <f>IF(OR('历史数据'!G42="",'历史数据'!H42&lt;=0),"",'历史数据'!G42/'历史数据'!H42-1)</f>
        <v/>
      </c>
      <c r="G23" s="26">
        <f>IF(OR('历史数据'!G42&lt;=0,'历史数据'!I42&lt;=0),"",POWER('历史数据'!G42/'历史数据'!I42,1/3)-1)</f>
        <v/>
      </c>
      <c r="H23" s="26">
        <f>IF(OR('历史数据'!G42&lt;=0,'历史数据'!J42=""),"",('历史数据'!G42-'历史数据'!J42)/'历史数据'!G42)</f>
        <v/>
      </c>
      <c r="I23" s="27">
        <f>IF(OR(H23="",'历史数据'!H42&lt;=0,'历史数据'!K42=""),"",(H23-('历史数据'!H42-'历史数据'!K42)/'历史数据'!H42)*100)</f>
        <v/>
      </c>
      <c r="J23" s="27">
        <f>IF(OR(H23="",'历史数据'!I42&lt;=0,'历史数据'!L42=""),"",(H23-('历史数据'!I42-'历史数据'!L42)/'历史数据'!I42)*100)</f>
        <v/>
      </c>
      <c r="K23" s="24">
        <f>IF('历史数据'!M42="","",'历史数据'!M42/100000000)</f>
        <v/>
      </c>
      <c r="L23" s="26">
        <f>IF(OR('历史数据'!G42=0,'历史数据'!M42=""),"",'历史数据'!M42/'历史数据'!G42)</f>
        <v/>
      </c>
      <c r="M23" s="26">
        <f>IF(OR('历史数据'!M42="",'历史数据'!N42=0),"",('历史数据'!M42-'历史数据'!N42)/ABS('历史数据'!N42))</f>
        <v/>
      </c>
      <c r="N23" s="26">
        <f>IF(OR('历史数据'!M42&lt;=0,'历史数据'!O42&lt;=0),"",POWER('历史数据'!M42/'历史数据'!O42,1/3)-1)</f>
        <v/>
      </c>
      <c r="O23" s="24">
        <f>IF('历史数据'!P42="","",'历史数据'!P42/100000000)</f>
        <v/>
      </c>
      <c r="P23" s="26">
        <f>IF(OR('历史数据'!P42="",'历史数据'!Q42=0),"",('历史数据'!P42-'历史数据'!Q42)/ABS('历史数据'!Q42))</f>
        <v/>
      </c>
      <c r="Q23" s="26">
        <f>IF(OR('历史数据'!P42&lt;=0,'历史数据'!R42&lt;=0),"",POWER('历史数据'!P42/'历史数据'!R42,1/3)-1)</f>
        <v/>
      </c>
      <c r="R23" s="24">
        <f>IF('历史数据'!S42="","",'历史数据'!S42/100000000)</f>
        <v/>
      </c>
      <c r="S23" s="25">
        <f>IF('历史数据'!T42="","",'历史数据'!T42)</f>
        <v/>
      </c>
      <c r="T23" s="28">
        <f>IF('历史数据'!U42="","",'历史数据'!U42)</f>
        <v/>
      </c>
      <c r="U23" s="28">
        <f>IF('历史数据'!V42="","",'历史数据'!V42/100000000)</f>
        <v/>
      </c>
      <c r="V23" s="24">
        <f>IF('历史数据'!W42="","",'历史数据'!W42/100000000)</f>
        <v/>
      </c>
      <c r="W23" s="28">
        <f>IF('历史数据'!X42="","",'历史数据'!X42)</f>
        <v/>
      </c>
      <c r="X23" s="26">
        <f>IF(OR(R23="",V23&lt;=0),"",R23/V23-1)</f>
        <v/>
      </c>
      <c r="Y23" s="29">
        <f>IF('历史数据'!Y42="","",'历史数据'!Y42)</f>
        <v/>
      </c>
      <c r="Z23" s="24">
        <f>IF('历史数据'!Z42="","",'历史数据'!Z42/100000000)</f>
        <v/>
      </c>
      <c r="AA23" s="24">
        <f>IF('历史数据'!AA42="","",'历史数据'!AA42/100000000)</f>
        <v/>
      </c>
      <c r="AB23" s="24">
        <f>IF('历史数据'!AB42="","",'历史数据'!AB42/100000000)</f>
        <v/>
      </c>
      <c r="AC23" s="13" t="inlineStr">
        <is>
          <t>近五个交易日资金净额:optional_missing；近一月资金净额（最近22个交易日）:optional_missing</t>
        </is>
      </c>
      <c r="AD23" s="13" t="inlineStr">
        <is>
          <t>SUCCESS</t>
        </is>
      </c>
    </row>
    <row r="24" ht="21" customHeight="1" s="3">
      <c r="A24" s="12" t="inlineStr">
        <is>
          <t>000066</t>
        </is>
      </c>
      <c r="B24" s="13" t="inlineStr">
        <is>
          <t>中国长城</t>
        </is>
      </c>
      <c r="C24" s="25">
        <f>IF('历史数据'!D86="","",'历史数据'!D86)</f>
        <v/>
      </c>
      <c r="D24" s="13">
        <f>IF('历史数据'!E86="","",'历史数据'!E86)</f>
        <v/>
      </c>
      <c r="E24" s="24">
        <f>IF('历史数据'!G86="","",'历史数据'!G86/100000000)</f>
        <v/>
      </c>
      <c r="F24" s="26">
        <f>IF(OR('历史数据'!G86="",'历史数据'!H86&lt;=0),"",'历史数据'!G86/'历史数据'!H86-1)</f>
        <v/>
      </c>
      <c r="G24" s="26">
        <f>IF(OR('历史数据'!G86&lt;=0,'历史数据'!I86&lt;=0),"",POWER('历史数据'!G86/'历史数据'!I86,1/3)-1)</f>
        <v/>
      </c>
      <c r="H24" s="26">
        <f>IF(OR('历史数据'!G86&lt;=0,'历史数据'!J86=""),"",('历史数据'!G86-'历史数据'!J86)/'历史数据'!G86)</f>
        <v/>
      </c>
      <c r="I24" s="27">
        <f>IF(OR(H24="",'历史数据'!H86&lt;=0,'历史数据'!K86=""),"",(H24-('历史数据'!H86-'历史数据'!K86)/'历史数据'!H86)*100)</f>
        <v/>
      </c>
      <c r="J24" s="27">
        <f>IF(OR(H24="",'历史数据'!I86&lt;=0,'历史数据'!L86=""),"",(H24-('历史数据'!I86-'历史数据'!L86)/'历史数据'!I86)*100)</f>
        <v/>
      </c>
      <c r="K24" s="24">
        <f>IF('历史数据'!M86="","",'历史数据'!M86/100000000)</f>
        <v/>
      </c>
      <c r="L24" s="26">
        <f>IF(OR('历史数据'!G86=0,'历史数据'!M86=""),"",'历史数据'!M86/'历史数据'!G86)</f>
        <v/>
      </c>
      <c r="M24" s="26">
        <f>IF(OR('历史数据'!M86="",'历史数据'!N86=0),"",('历史数据'!M86-'历史数据'!N86)/ABS('历史数据'!N86))</f>
        <v/>
      </c>
      <c r="N24" s="26">
        <f>IF(OR('历史数据'!M86&lt;=0,'历史数据'!O86&lt;=0),"",POWER('历史数据'!M86/'历史数据'!O86,1/3)-1)</f>
        <v/>
      </c>
      <c r="O24" s="24">
        <f>IF('历史数据'!P86="","",'历史数据'!P86/100000000)</f>
        <v/>
      </c>
      <c r="P24" s="26">
        <f>IF(OR('历史数据'!P86="",'历史数据'!Q86=0),"",('历史数据'!P86-'历史数据'!Q86)/ABS('历史数据'!Q86))</f>
        <v/>
      </c>
      <c r="Q24" s="26">
        <f>IF(OR('历史数据'!P86&lt;=0,'历史数据'!R86&lt;=0),"",POWER('历史数据'!P86/'历史数据'!R86,1/3)-1)</f>
        <v/>
      </c>
      <c r="R24" s="24">
        <f>IF('历史数据'!S86="","",'历史数据'!S86/100000000)</f>
        <v/>
      </c>
      <c r="S24" s="25">
        <f>IF('历史数据'!T86="","",'历史数据'!T86)</f>
        <v/>
      </c>
      <c r="T24" s="28">
        <f>IF('历史数据'!U86="","",'历史数据'!U86)</f>
        <v/>
      </c>
      <c r="U24" s="28">
        <f>IF('历史数据'!V86="","",'历史数据'!V86/100000000)</f>
        <v/>
      </c>
      <c r="V24" s="24">
        <f>IF('历史数据'!W86="","",'历史数据'!W86/100000000)</f>
        <v/>
      </c>
      <c r="W24" s="28">
        <f>IF('历史数据'!X86="","",'历史数据'!X86)</f>
        <v/>
      </c>
      <c r="X24" s="26">
        <f>IF(OR(R24="",V24&lt;=0),"",R24/V24-1)</f>
        <v/>
      </c>
      <c r="Y24" s="29">
        <f>IF('历史数据'!Y86="","",'历史数据'!Y86)</f>
        <v/>
      </c>
      <c r="Z24" s="24">
        <f>IF('历史数据'!Z86="","",'历史数据'!Z86/100000000)</f>
        <v/>
      </c>
      <c r="AA24" s="24">
        <f>IF('历史数据'!AA86="","",'历史数据'!AA86/100000000)</f>
        <v/>
      </c>
      <c r="AB24" s="24">
        <f>IF('历史数据'!AB86="","",'历史数据'!AB86/100000000)</f>
        <v/>
      </c>
      <c r="AC24" s="13" t="inlineStr">
        <is>
          <t>近五个交易日资金净额:optional_missing；近一月资金净额（最近22个交易日）:optional_missing</t>
        </is>
      </c>
      <c r="AD24" s="13" t="inlineStr">
        <is>
          <t>SUCCESS</t>
        </is>
      </c>
    </row>
    <row r="25" ht="21" customHeight="1" s="3">
      <c r="A25" s="12" t="inlineStr">
        <is>
          <t>000021</t>
        </is>
      </c>
      <c r="B25" s="13" t="inlineStr">
        <is>
          <t>深科技</t>
        </is>
      </c>
      <c r="C25" s="25">
        <f>IF('历史数据'!D30="","",'历史数据'!D30)</f>
        <v/>
      </c>
      <c r="D25" s="13">
        <f>IF('历史数据'!E30="","",'历史数据'!E30)</f>
        <v/>
      </c>
      <c r="E25" s="24">
        <f>IF('历史数据'!G30="","",'历史数据'!G30/100000000)</f>
        <v/>
      </c>
      <c r="F25" s="26">
        <f>IF(OR('历史数据'!G30="",'历史数据'!H30&lt;=0),"",'历史数据'!G30/'历史数据'!H30-1)</f>
        <v/>
      </c>
      <c r="G25" s="26">
        <f>IF(OR('历史数据'!G30&lt;=0,'历史数据'!I30&lt;=0),"",POWER('历史数据'!G30/'历史数据'!I30,1/3)-1)</f>
        <v/>
      </c>
      <c r="H25" s="26">
        <f>IF(OR('历史数据'!G30&lt;=0,'历史数据'!J30=""),"",('历史数据'!G30-'历史数据'!J30)/'历史数据'!G30)</f>
        <v/>
      </c>
      <c r="I25" s="27">
        <f>IF(OR(H25="",'历史数据'!H30&lt;=0,'历史数据'!K30=""),"",(H25-('历史数据'!H30-'历史数据'!K30)/'历史数据'!H30)*100)</f>
        <v/>
      </c>
      <c r="J25" s="27">
        <f>IF(OR(H25="",'历史数据'!I30&lt;=0,'历史数据'!L30=""),"",(H25-('历史数据'!I30-'历史数据'!L30)/'历史数据'!I30)*100)</f>
        <v/>
      </c>
      <c r="K25" s="24">
        <f>IF('历史数据'!M30="","",'历史数据'!M30/100000000)</f>
        <v/>
      </c>
      <c r="L25" s="26">
        <f>IF(OR('历史数据'!G30=0,'历史数据'!M30=""),"",'历史数据'!M30/'历史数据'!G30)</f>
        <v/>
      </c>
      <c r="M25" s="26">
        <f>IF(OR('历史数据'!M30="",'历史数据'!N30=0),"",('历史数据'!M30-'历史数据'!N30)/ABS('历史数据'!N30))</f>
        <v/>
      </c>
      <c r="N25" s="26">
        <f>IF(OR('历史数据'!M30&lt;=0,'历史数据'!O30&lt;=0),"",POWER('历史数据'!M30/'历史数据'!O30,1/3)-1)</f>
        <v/>
      </c>
      <c r="O25" s="24">
        <f>IF('历史数据'!P30="","",'历史数据'!P30/100000000)</f>
        <v/>
      </c>
      <c r="P25" s="26">
        <f>IF(OR('历史数据'!P30="",'历史数据'!Q30=0),"",('历史数据'!P30-'历史数据'!Q30)/ABS('历史数据'!Q30))</f>
        <v/>
      </c>
      <c r="Q25" s="26">
        <f>IF(OR('历史数据'!P30&lt;=0,'历史数据'!R30&lt;=0),"",POWER('历史数据'!P30/'历史数据'!R30,1/3)-1)</f>
        <v/>
      </c>
      <c r="R25" s="24">
        <f>IF('历史数据'!S30="","",'历史数据'!S30/100000000)</f>
        <v/>
      </c>
      <c r="S25" s="25">
        <f>IF('历史数据'!T30="","",'历史数据'!T30)</f>
        <v/>
      </c>
      <c r="T25" s="28">
        <f>IF('历史数据'!U30="","",'历史数据'!U30)</f>
        <v/>
      </c>
      <c r="U25" s="28">
        <f>IF('历史数据'!V30="","",'历史数据'!V30/100000000)</f>
        <v/>
      </c>
      <c r="V25" s="24">
        <f>IF('历史数据'!W30="","",'历史数据'!W30/100000000)</f>
        <v/>
      </c>
      <c r="W25" s="28">
        <f>IF('历史数据'!X30="","",'历史数据'!X30)</f>
        <v/>
      </c>
      <c r="X25" s="26">
        <f>IF(OR(R25="",V25&lt;=0),"",R25/V25-1)</f>
        <v/>
      </c>
      <c r="Y25" s="29">
        <f>IF('历史数据'!Y30="","",'历史数据'!Y30)</f>
        <v/>
      </c>
      <c r="Z25" s="24">
        <f>IF('历史数据'!Z30="","",'历史数据'!Z30/100000000)</f>
        <v/>
      </c>
      <c r="AA25" s="24">
        <f>IF('历史数据'!AA30="","",'历史数据'!AA30/100000000)</f>
        <v/>
      </c>
      <c r="AB25" s="24">
        <f>IF('历史数据'!AB30="","",'历史数据'!AB30/100000000)</f>
        <v/>
      </c>
      <c r="AC25" s="13" t="inlineStr">
        <is>
          <t>近五个交易日资金净额:optional_missing；近一月资金净额（最近22个交易日）:optional_missing</t>
        </is>
      </c>
      <c r="AD25" s="13" t="inlineStr">
        <is>
          <t>SUCCESS</t>
        </is>
      </c>
    </row>
    <row r="26" ht="21" customHeight="1" s="3">
      <c r="A26" s="12" t="inlineStr">
        <is>
          <t>000012</t>
        </is>
      </c>
      <c r="B26" s="13" t="inlineStr">
        <is>
          <t>南玻Ａ</t>
        </is>
      </c>
      <c r="C26" s="25">
        <f>IF('历史数据'!D18="","",'历史数据'!D18)</f>
        <v/>
      </c>
      <c r="D26" s="13">
        <f>IF('历史数据'!E18="","",'历史数据'!E18)</f>
        <v/>
      </c>
      <c r="E26" s="24">
        <f>IF('历史数据'!G18="","",'历史数据'!G18/100000000)</f>
        <v/>
      </c>
      <c r="F26" s="26">
        <f>IF(OR('历史数据'!G18="",'历史数据'!H18&lt;=0),"",'历史数据'!G18/'历史数据'!H18-1)</f>
        <v/>
      </c>
      <c r="G26" s="26">
        <f>IF(OR('历史数据'!G18&lt;=0,'历史数据'!I18&lt;=0),"",POWER('历史数据'!G18/'历史数据'!I18,1/3)-1)</f>
        <v/>
      </c>
      <c r="H26" s="26">
        <f>IF(OR('历史数据'!G18&lt;=0,'历史数据'!J18=""),"",('历史数据'!G18-'历史数据'!J18)/'历史数据'!G18)</f>
        <v/>
      </c>
      <c r="I26" s="27">
        <f>IF(OR(H26="",'历史数据'!H18&lt;=0,'历史数据'!K18=""),"",(H26-('历史数据'!H18-'历史数据'!K18)/'历史数据'!H18)*100)</f>
        <v/>
      </c>
      <c r="J26" s="27">
        <f>IF(OR(H26="",'历史数据'!I18&lt;=0,'历史数据'!L18=""),"",(H26-('历史数据'!I18-'历史数据'!L18)/'历史数据'!I18)*100)</f>
        <v/>
      </c>
      <c r="K26" s="24">
        <f>IF('历史数据'!M18="","",'历史数据'!M18/100000000)</f>
        <v/>
      </c>
      <c r="L26" s="26">
        <f>IF(OR('历史数据'!G18=0,'历史数据'!M18=""),"",'历史数据'!M18/'历史数据'!G18)</f>
        <v/>
      </c>
      <c r="M26" s="26">
        <f>IF(OR('历史数据'!M18="",'历史数据'!N18=0),"",('历史数据'!M18-'历史数据'!N18)/ABS('历史数据'!N18))</f>
        <v/>
      </c>
      <c r="N26" s="26">
        <f>IF(OR('历史数据'!M18&lt;=0,'历史数据'!O18&lt;=0),"",POWER('历史数据'!M18/'历史数据'!O18,1/3)-1)</f>
        <v/>
      </c>
      <c r="O26" s="24">
        <f>IF('历史数据'!P18="","",'历史数据'!P18/100000000)</f>
        <v/>
      </c>
      <c r="P26" s="26">
        <f>IF(OR('历史数据'!P18="",'历史数据'!Q18=0),"",('历史数据'!P18-'历史数据'!Q18)/ABS('历史数据'!Q18))</f>
        <v/>
      </c>
      <c r="Q26" s="26">
        <f>IF(OR('历史数据'!P18&lt;=0,'历史数据'!R18&lt;=0),"",POWER('历史数据'!P18/'历史数据'!R18,1/3)-1)</f>
        <v/>
      </c>
      <c r="R26" s="24">
        <f>IF('历史数据'!S18="","",'历史数据'!S18/100000000)</f>
        <v/>
      </c>
      <c r="S26" s="25">
        <f>IF('历史数据'!T18="","",'历史数据'!T18)</f>
        <v/>
      </c>
      <c r="T26" s="28">
        <f>IF('历史数据'!U18="","",'历史数据'!U18)</f>
        <v/>
      </c>
      <c r="U26" s="28">
        <f>IF('历史数据'!V18="","",'历史数据'!V18/100000000)</f>
        <v/>
      </c>
      <c r="V26" s="24">
        <f>IF('历史数据'!W18="","",'历史数据'!W18/100000000)</f>
        <v/>
      </c>
      <c r="W26" s="28">
        <f>IF('历史数据'!X18="","",'历史数据'!X18)</f>
        <v/>
      </c>
      <c r="X26" s="26">
        <f>IF(OR(R26="",V26&lt;=0),"",R26/V26-1)</f>
        <v/>
      </c>
      <c r="Y26" s="29">
        <f>IF('历史数据'!Y18="","",'历史数据'!Y18)</f>
        <v/>
      </c>
      <c r="Z26" s="24">
        <f>IF('历史数据'!Z18="","",'历史数据'!Z18/100000000)</f>
        <v/>
      </c>
      <c r="AA26" s="24">
        <f>IF('历史数据'!AA18="","",'历史数据'!AA18/100000000)</f>
        <v/>
      </c>
      <c r="AB26" s="24">
        <f>IF('历史数据'!AB18="","",'历史数据'!AB18/100000000)</f>
        <v/>
      </c>
      <c r="AC26" s="13" t="inlineStr">
        <is>
          <t>近五个交易日资金净额:optional_missing；近一月资金净额（最近22个交易日）:optional_missing</t>
        </is>
      </c>
      <c r="AD26" s="13" t="inlineStr">
        <is>
          <t>SUCCESS</t>
        </is>
      </c>
    </row>
    <row r="27" ht="21" customHeight="1" s="3">
      <c r="A27" s="12" t="inlineStr">
        <is>
          <t>000065</t>
        </is>
      </c>
      <c r="B27" s="13" t="inlineStr">
        <is>
          <t>北方国际</t>
        </is>
      </c>
      <c r="C27" s="25">
        <f>IF('历史数据'!D84="","",'历史数据'!D84)</f>
        <v/>
      </c>
      <c r="D27" s="13">
        <f>IF('历史数据'!E84="","",'历史数据'!E84)</f>
        <v/>
      </c>
      <c r="E27" s="24">
        <f>IF('历史数据'!G84="","",'历史数据'!G84/100000000)</f>
        <v/>
      </c>
      <c r="F27" s="26">
        <f>IF(OR('历史数据'!G84="",'历史数据'!H84&lt;=0),"",'历史数据'!G84/'历史数据'!H84-1)</f>
        <v/>
      </c>
      <c r="G27" s="26">
        <f>IF(OR('历史数据'!G84&lt;=0,'历史数据'!I84&lt;=0),"",POWER('历史数据'!G84/'历史数据'!I84,1/3)-1)</f>
        <v/>
      </c>
      <c r="H27" s="26">
        <f>IF(OR('历史数据'!G84&lt;=0,'历史数据'!J84=""),"",('历史数据'!G84-'历史数据'!J84)/'历史数据'!G84)</f>
        <v/>
      </c>
      <c r="I27" s="27">
        <f>IF(OR(H27="",'历史数据'!H84&lt;=0,'历史数据'!K84=""),"",(H27-('历史数据'!H84-'历史数据'!K84)/'历史数据'!H84)*100)</f>
        <v/>
      </c>
      <c r="J27" s="27">
        <f>IF(OR(H27="",'历史数据'!I84&lt;=0,'历史数据'!L84=""),"",(H27-('历史数据'!I84-'历史数据'!L84)/'历史数据'!I84)*100)</f>
        <v/>
      </c>
      <c r="K27" s="24">
        <f>IF('历史数据'!M84="","",'历史数据'!M84/100000000)</f>
        <v/>
      </c>
      <c r="L27" s="26">
        <f>IF(OR('历史数据'!G84=0,'历史数据'!M84=""),"",'历史数据'!M84/'历史数据'!G84)</f>
        <v/>
      </c>
      <c r="M27" s="26">
        <f>IF(OR('历史数据'!M84="",'历史数据'!N84=0),"",('历史数据'!M84-'历史数据'!N84)/ABS('历史数据'!N84))</f>
        <v/>
      </c>
      <c r="N27" s="26">
        <f>IF(OR('历史数据'!M84&lt;=0,'历史数据'!O84&lt;=0),"",POWER('历史数据'!M84/'历史数据'!O84,1/3)-1)</f>
        <v/>
      </c>
      <c r="O27" s="24">
        <f>IF('历史数据'!P84="","",'历史数据'!P84/100000000)</f>
        <v/>
      </c>
      <c r="P27" s="26">
        <f>IF(OR('历史数据'!P84="",'历史数据'!Q84=0),"",('历史数据'!P84-'历史数据'!Q84)/ABS('历史数据'!Q84))</f>
        <v/>
      </c>
      <c r="Q27" s="26">
        <f>IF(OR('历史数据'!P84&lt;=0,'历史数据'!R84&lt;=0),"",POWER('历史数据'!P84/'历史数据'!R84,1/3)-1)</f>
        <v/>
      </c>
      <c r="R27" s="24">
        <f>IF('历史数据'!S84="","",'历史数据'!S84/100000000)</f>
        <v/>
      </c>
      <c r="S27" s="25">
        <f>IF('历史数据'!T84="","",'历史数据'!T84)</f>
        <v/>
      </c>
      <c r="T27" s="28">
        <f>IF('历史数据'!U84="","",'历史数据'!U84)</f>
        <v/>
      </c>
      <c r="U27" s="28">
        <f>IF('历史数据'!V84="","",'历史数据'!V84/100000000)</f>
        <v/>
      </c>
      <c r="V27" s="24">
        <f>IF('历史数据'!W84="","",'历史数据'!W84/100000000)</f>
        <v/>
      </c>
      <c r="W27" s="28">
        <f>IF('历史数据'!X84="","",'历史数据'!X84)</f>
        <v/>
      </c>
      <c r="X27" s="26">
        <f>IF(OR(R27="",V27&lt;=0),"",R27/V27-1)</f>
        <v/>
      </c>
      <c r="Y27" s="29">
        <f>IF('历史数据'!Y84="","",'历史数据'!Y84)</f>
        <v/>
      </c>
      <c r="Z27" s="24">
        <f>IF('历史数据'!Z84="","",'历史数据'!Z84/100000000)</f>
        <v/>
      </c>
      <c r="AA27" s="24">
        <f>IF('历史数据'!AA84="","",'历史数据'!AA84/100000000)</f>
        <v/>
      </c>
      <c r="AB27" s="24">
        <f>IF('历史数据'!AB84="","",'历史数据'!AB84/100000000)</f>
        <v/>
      </c>
      <c r="AC27" s="13" t="inlineStr">
        <is>
          <t>近五个交易日资金净额:optional_missing；近一月资金净额（最近22个交易日）:optional_missing</t>
        </is>
      </c>
      <c r="AD27" s="13" t="inlineStr">
        <is>
          <t>SUCCESS</t>
        </is>
      </c>
    </row>
    <row r="28" ht="21" customHeight="1" s="3">
      <c r="A28" s="12" t="inlineStr">
        <is>
          <t>000016</t>
        </is>
      </c>
      <c r="B28" s="13" t="inlineStr">
        <is>
          <t>*ST康佳A</t>
        </is>
      </c>
      <c r="C28" s="25">
        <f>IF('历史数据'!D22="","",'历史数据'!D22)</f>
        <v/>
      </c>
      <c r="D28" s="13">
        <f>IF('历史数据'!E22="","",'历史数据'!E22)</f>
        <v/>
      </c>
      <c r="E28" s="24">
        <f>IF('历史数据'!G22="","",'历史数据'!G22/100000000)</f>
        <v/>
      </c>
      <c r="F28" s="26">
        <f>IF(OR('历史数据'!G22="",'历史数据'!H22&lt;=0),"",'历史数据'!G22/'历史数据'!H22-1)</f>
        <v/>
      </c>
      <c r="G28" s="26">
        <f>IF(OR('历史数据'!G22&lt;=0,'历史数据'!I22&lt;=0),"",POWER('历史数据'!G22/'历史数据'!I22,1/3)-1)</f>
        <v/>
      </c>
      <c r="H28" s="26">
        <f>IF(OR('历史数据'!G22&lt;=0,'历史数据'!J22=""),"",('历史数据'!G22-'历史数据'!J22)/'历史数据'!G22)</f>
        <v/>
      </c>
      <c r="I28" s="27">
        <f>IF(OR(H28="",'历史数据'!H22&lt;=0,'历史数据'!K22=""),"",(H28-('历史数据'!H22-'历史数据'!K22)/'历史数据'!H22)*100)</f>
        <v/>
      </c>
      <c r="J28" s="27">
        <f>IF(OR(H28="",'历史数据'!I22&lt;=0,'历史数据'!L22=""),"",(H28-('历史数据'!I22-'历史数据'!L22)/'历史数据'!I22)*100)</f>
        <v/>
      </c>
      <c r="K28" s="24">
        <f>IF('历史数据'!M22="","",'历史数据'!M22/100000000)</f>
        <v/>
      </c>
      <c r="L28" s="26">
        <f>IF(OR('历史数据'!G22=0,'历史数据'!M22=""),"",'历史数据'!M22/'历史数据'!G22)</f>
        <v/>
      </c>
      <c r="M28" s="26">
        <f>IF(OR('历史数据'!M22="",'历史数据'!N22=0),"",('历史数据'!M22-'历史数据'!N22)/ABS('历史数据'!N22))</f>
        <v/>
      </c>
      <c r="N28" s="26">
        <f>IF(OR('历史数据'!M22&lt;=0,'历史数据'!O22&lt;=0),"",POWER('历史数据'!M22/'历史数据'!O22,1/3)-1)</f>
        <v/>
      </c>
      <c r="O28" s="24">
        <f>IF('历史数据'!P22="","",'历史数据'!P22/100000000)</f>
        <v/>
      </c>
      <c r="P28" s="26">
        <f>IF(OR('历史数据'!P22="",'历史数据'!Q22=0),"",('历史数据'!P22-'历史数据'!Q22)/ABS('历史数据'!Q22))</f>
        <v/>
      </c>
      <c r="Q28" s="26">
        <f>IF(OR('历史数据'!P22&lt;=0,'历史数据'!R22&lt;=0),"",POWER('历史数据'!P22/'历史数据'!R22,1/3)-1)</f>
        <v/>
      </c>
      <c r="R28" s="24">
        <f>IF('历史数据'!S22="","",'历史数据'!S22/100000000)</f>
        <v/>
      </c>
      <c r="S28" s="25">
        <f>IF('历史数据'!T22="","",'历史数据'!T22)</f>
        <v/>
      </c>
      <c r="T28" s="28">
        <f>IF('历史数据'!U22="","",'历史数据'!U22)</f>
        <v/>
      </c>
      <c r="U28" s="28">
        <f>IF('历史数据'!V22="","",'历史数据'!V22/100000000)</f>
        <v/>
      </c>
      <c r="V28" s="24">
        <f>IF('历史数据'!W22="","",'历史数据'!W22/100000000)</f>
        <v/>
      </c>
      <c r="W28" s="28">
        <f>IF('历史数据'!X22="","",'历史数据'!X22)</f>
        <v/>
      </c>
      <c r="X28" s="26">
        <f>IF(OR(R28="",V28&lt;=0),"",R28/V28-1)</f>
        <v/>
      </c>
      <c r="Y28" s="29">
        <f>IF('历史数据'!Y22="","",'历史数据'!Y22)</f>
        <v/>
      </c>
      <c r="Z28" s="24">
        <f>IF('历史数据'!Z22="","",'历史数据'!Z22/100000000)</f>
        <v/>
      </c>
      <c r="AA28" s="24">
        <f>IF('历史数据'!AA22="","",'历史数据'!AA22/100000000)</f>
        <v/>
      </c>
      <c r="AB28" s="24">
        <f>IF('历史数据'!AB22="","",'历史数据'!AB22/100000000)</f>
        <v/>
      </c>
      <c r="AC28" s="13" t="inlineStr">
        <is>
          <t>近五个交易日资金净额:optional_missing；近一月资金净额（最近22个交易日）:optional_missing</t>
        </is>
      </c>
      <c r="AD28" s="13" t="inlineStr">
        <is>
          <t>SUCCESS</t>
        </is>
      </c>
    </row>
    <row r="29" ht="21" customHeight="1" s="3">
      <c r="A29" s="12" t="inlineStr">
        <is>
          <t>000061</t>
        </is>
      </c>
      <c r="B29" s="13" t="inlineStr">
        <is>
          <t>农产品</t>
        </is>
      </c>
      <c r="C29" s="25">
        <f>IF('历史数据'!D78="","",'历史数据'!D78)</f>
        <v/>
      </c>
      <c r="D29" s="13">
        <f>IF('历史数据'!E78="","",'历史数据'!E78)</f>
        <v/>
      </c>
      <c r="E29" s="24">
        <f>IF('历史数据'!G78="","",'历史数据'!G78/100000000)</f>
        <v/>
      </c>
      <c r="F29" s="26">
        <f>IF(OR('历史数据'!G78="",'历史数据'!H78&lt;=0),"",'历史数据'!G78/'历史数据'!H78-1)</f>
        <v/>
      </c>
      <c r="G29" s="26">
        <f>IF(OR('历史数据'!G78&lt;=0,'历史数据'!I78&lt;=0),"",POWER('历史数据'!G78/'历史数据'!I78,1/3)-1)</f>
        <v/>
      </c>
      <c r="H29" s="26">
        <f>IF(OR('历史数据'!G78&lt;=0,'历史数据'!J78=""),"",('历史数据'!G78-'历史数据'!J78)/'历史数据'!G78)</f>
        <v/>
      </c>
      <c r="I29" s="27">
        <f>IF(OR(H29="",'历史数据'!H78&lt;=0,'历史数据'!K78=""),"",(H29-('历史数据'!H78-'历史数据'!K78)/'历史数据'!H78)*100)</f>
        <v/>
      </c>
      <c r="J29" s="27">
        <f>IF(OR(H29="",'历史数据'!I78&lt;=0,'历史数据'!L78=""),"",(H29-('历史数据'!I78-'历史数据'!L78)/'历史数据'!I78)*100)</f>
        <v/>
      </c>
      <c r="K29" s="24">
        <f>IF('历史数据'!M78="","",'历史数据'!M78/100000000)</f>
        <v/>
      </c>
      <c r="L29" s="26">
        <f>IF(OR('历史数据'!G78=0,'历史数据'!M78=""),"",'历史数据'!M78/'历史数据'!G78)</f>
        <v/>
      </c>
      <c r="M29" s="26">
        <f>IF(OR('历史数据'!M78="",'历史数据'!N78=0),"",('历史数据'!M78-'历史数据'!N78)/ABS('历史数据'!N78))</f>
        <v/>
      </c>
      <c r="N29" s="26">
        <f>IF(OR('历史数据'!M78&lt;=0,'历史数据'!O78&lt;=0),"",POWER('历史数据'!M78/'历史数据'!O78,1/3)-1)</f>
        <v/>
      </c>
      <c r="O29" s="24">
        <f>IF('历史数据'!P78="","",'历史数据'!P78/100000000)</f>
        <v/>
      </c>
      <c r="P29" s="26">
        <f>IF(OR('历史数据'!P78="",'历史数据'!Q78=0),"",('历史数据'!P78-'历史数据'!Q78)/ABS('历史数据'!Q78))</f>
        <v/>
      </c>
      <c r="Q29" s="26">
        <f>IF(OR('历史数据'!P78&lt;=0,'历史数据'!R78&lt;=0),"",POWER('历史数据'!P78/'历史数据'!R78,1/3)-1)</f>
        <v/>
      </c>
      <c r="R29" s="24">
        <f>IF('历史数据'!S78="","",'历史数据'!S78/100000000)</f>
        <v/>
      </c>
      <c r="S29" s="25">
        <f>IF('历史数据'!T78="","",'历史数据'!T78)</f>
        <v/>
      </c>
      <c r="T29" s="28">
        <f>IF('历史数据'!U78="","",'历史数据'!U78)</f>
        <v/>
      </c>
      <c r="U29" s="28">
        <f>IF('历史数据'!V78="","",'历史数据'!V78/100000000)</f>
        <v/>
      </c>
      <c r="V29" s="24">
        <f>IF('历史数据'!W78="","",'历史数据'!W78/100000000)</f>
        <v/>
      </c>
      <c r="W29" s="28">
        <f>IF('历史数据'!X78="","",'历史数据'!X78)</f>
        <v/>
      </c>
      <c r="X29" s="26">
        <f>IF(OR(R29="",V29&lt;=0),"",R29/V29-1)</f>
        <v/>
      </c>
      <c r="Y29" s="29">
        <f>IF('历史数据'!Y78="","",'历史数据'!Y78)</f>
        <v/>
      </c>
      <c r="Z29" s="24">
        <f>IF('历史数据'!Z78="","",'历史数据'!Z78/100000000)</f>
        <v/>
      </c>
      <c r="AA29" s="24">
        <f>IF('历史数据'!AA78="","",'历史数据'!AA78/100000000)</f>
        <v/>
      </c>
      <c r="AB29" s="24">
        <f>IF('历史数据'!AB78="","",'历史数据'!AB78/100000000)</f>
        <v/>
      </c>
      <c r="AC29" s="13" t="inlineStr">
        <is>
          <t>近五个交易日资金净额:optional_missing；近一月资金净额（最近22个交易日）:optional_missing</t>
        </is>
      </c>
      <c r="AD29" s="13" t="inlineStr">
        <is>
          <t>SUCCESS</t>
        </is>
      </c>
    </row>
    <row r="30" ht="21" customHeight="1" s="3">
      <c r="A30" s="12" t="inlineStr">
        <is>
          <t>000019</t>
        </is>
      </c>
      <c r="B30" s="13" t="inlineStr">
        <is>
          <t>深粮控股</t>
        </is>
      </c>
      <c r="C30" s="25">
        <f>IF('历史数据'!D26="","",'历史数据'!D26)</f>
        <v/>
      </c>
      <c r="D30" s="13">
        <f>IF('历史数据'!E26="","",'历史数据'!E26)</f>
        <v/>
      </c>
      <c r="E30" s="24">
        <f>IF('历史数据'!G26="","",'历史数据'!G26/100000000)</f>
        <v/>
      </c>
      <c r="F30" s="26">
        <f>IF(OR('历史数据'!G26="",'历史数据'!H26&lt;=0),"",'历史数据'!G26/'历史数据'!H26-1)</f>
        <v/>
      </c>
      <c r="G30" s="26">
        <f>IF(OR('历史数据'!G26&lt;=0,'历史数据'!I26&lt;=0),"",POWER('历史数据'!G26/'历史数据'!I26,1/3)-1)</f>
        <v/>
      </c>
      <c r="H30" s="26">
        <f>IF(OR('历史数据'!G26&lt;=0,'历史数据'!J26=""),"",('历史数据'!G26-'历史数据'!J26)/'历史数据'!G26)</f>
        <v/>
      </c>
      <c r="I30" s="27">
        <f>IF(OR(H30="",'历史数据'!H26&lt;=0,'历史数据'!K26=""),"",(H30-('历史数据'!H26-'历史数据'!K26)/'历史数据'!H26)*100)</f>
        <v/>
      </c>
      <c r="J30" s="27">
        <f>IF(OR(H30="",'历史数据'!I26&lt;=0,'历史数据'!L26=""),"",(H30-('历史数据'!I26-'历史数据'!L26)/'历史数据'!I26)*100)</f>
        <v/>
      </c>
      <c r="K30" s="24">
        <f>IF('历史数据'!M26="","",'历史数据'!M26/100000000)</f>
        <v/>
      </c>
      <c r="L30" s="26">
        <f>IF(OR('历史数据'!G26=0,'历史数据'!M26=""),"",'历史数据'!M26/'历史数据'!G26)</f>
        <v/>
      </c>
      <c r="M30" s="26">
        <f>IF(OR('历史数据'!M26="",'历史数据'!N26=0),"",('历史数据'!M26-'历史数据'!N26)/ABS('历史数据'!N26))</f>
        <v/>
      </c>
      <c r="N30" s="26">
        <f>IF(OR('历史数据'!M26&lt;=0,'历史数据'!O26&lt;=0),"",POWER('历史数据'!M26/'历史数据'!O26,1/3)-1)</f>
        <v/>
      </c>
      <c r="O30" s="24">
        <f>IF('历史数据'!P26="","",'历史数据'!P26/100000000)</f>
        <v/>
      </c>
      <c r="P30" s="26">
        <f>IF(OR('历史数据'!P26="",'历史数据'!Q26=0),"",('历史数据'!P26-'历史数据'!Q26)/ABS('历史数据'!Q26))</f>
        <v/>
      </c>
      <c r="Q30" s="26">
        <f>IF(OR('历史数据'!P26&lt;=0,'历史数据'!R26&lt;=0),"",POWER('历史数据'!P26/'历史数据'!R26,1/3)-1)</f>
        <v/>
      </c>
      <c r="R30" s="24">
        <f>IF('历史数据'!S26="","",'历史数据'!S26/100000000)</f>
        <v/>
      </c>
      <c r="S30" s="25">
        <f>IF('历史数据'!T26="","",'历史数据'!T26)</f>
        <v/>
      </c>
      <c r="T30" s="28">
        <f>IF('历史数据'!U26="","",'历史数据'!U26)</f>
        <v/>
      </c>
      <c r="U30" s="28">
        <f>IF('历史数据'!V26="","",'历史数据'!V26/100000000)</f>
        <v/>
      </c>
      <c r="V30" s="24">
        <f>IF('历史数据'!W26="","",'历史数据'!W26/100000000)</f>
        <v/>
      </c>
      <c r="W30" s="28">
        <f>IF('历史数据'!X26="","",'历史数据'!X26)</f>
        <v/>
      </c>
      <c r="X30" s="26">
        <f>IF(OR(R30="",V30&lt;=0),"",R30/V30-1)</f>
        <v/>
      </c>
      <c r="Y30" s="29">
        <f>IF('历史数据'!Y26="","",'历史数据'!Y26)</f>
        <v/>
      </c>
      <c r="Z30" s="24">
        <f>IF('历史数据'!Z26="","",'历史数据'!Z26/100000000)</f>
        <v/>
      </c>
      <c r="AA30" s="24">
        <f>IF('历史数据'!AA26="","",'历史数据'!AA26/100000000)</f>
        <v/>
      </c>
      <c r="AB30" s="24">
        <f>IF('历史数据'!AB26="","",'历史数据'!AB26/100000000)</f>
        <v/>
      </c>
      <c r="AC30" s="13" t="inlineStr">
        <is>
          <t>近五个交易日资金净额:optional_missing；近一月资金净额（最近22个交易日）:optional_missing</t>
        </is>
      </c>
      <c r="AD30" s="13" t="inlineStr">
        <is>
          <t>SUCCESS</t>
        </is>
      </c>
    </row>
    <row r="31" ht="21" customHeight="1" s="3">
      <c r="A31" s="12" t="inlineStr">
        <is>
          <t>000035</t>
        </is>
      </c>
      <c r="B31" s="13" t="inlineStr">
        <is>
          <t>中国天楹</t>
        </is>
      </c>
      <c r="C31" s="25">
        <f>IF('历史数据'!D50="","",'历史数据'!D50)</f>
        <v/>
      </c>
      <c r="D31" s="13">
        <f>IF('历史数据'!E50="","",'历史数据'!E50)</f>
        <v/>
      </c>
      <c r="E31" s="24">
        <f>IF('历史数据'!G50="","",'历史数据'!G50/100000000)</f>
        <v/>
      </c>
      <c r="F31" s="26">
        <f>IF(OR('历史数据'!G50="",'历史数据'!H50&lt;=0),"",'历史数据'!G50/'历史数据'!H50-1)</f>
        <v/>
      </c>
      <c r="G31" s="26">
        <f>IF(OR('历史数据'!G50&lt;=0,'历史数据'!I50&lt;=0),"",POWER('历史数据'!G50/'历史数据'!I50,1/3)-1)</f>
        <v/>
      </c>
      <c r="H31" s="26">
        <f>IF(OR('历史数据'!G50&lt;=0,'历史数据'!J50=""),"",('历史数据'!G50-'历史数据'!J50)/'历史数据'!G50)</f>
        <v/>
      </c>
      <c r="I31" s="27">
        <f>IF(OR(H31="",'历史数据'!H50&lt;=0,'历史数据'!K50=""),"",(H31-('历史数据'!H50-'历史数据'!K50)/'历史数据'!H50)*100)</f>
        <v/>
      </c>
      <c r="J31" s="27">
        <f>IF(OR(H31="",'历史数据'!I50&lt;=0,'历史数据'!L50=""),"",(H31-('历史数据'!I50-'历史数据'!L50)/'历史数据'!I50)*100)</f>
        <v/>
      </c>
      <c r="K31" s="24">
        <f>IF('历史数据'!M50="","",'历史数据'!M50/100000000)</f>
        <v/>
      </c>
      <c r="L31" s="26">
        <f>IF(OR('历史数据'!G50=0,'历史数据'!M50=""),"",'历史数据'!M50/'历史数据'!G50)</f>
        <v/>
      </c>
      <c r="M31" s="26">
        <f>IF(OR('历史数据'!M50="",'历史数据'!N50=0),"",('历史数据'!M50-'历史数据'!N50)/ABS('历史数据'!N50))</f>
        <v/>
      </c>
      <c r="N31" s="26">
        <f>IF(OR('历史数据'!M50&lt;=0,'历史数据'!O50&lt;=0),"",POWER('历史数据'!M50/'历史数据'!O50,1/3)-1)</f>
        <v/>
      </c>
      <c r="O31" s="24">
        <f>IF('历史数据'!P50="","",'历史数据'!P50/100000000)</f>
        <v/>
      </c>
      <c r="P31" s="26">
        <f>IF(OR('历史数据'!P50="",'历史数据'!Q50=0),"",('历史数据'!P50-'历史数据'!Q50)/ABS('历史数据'!Q50))</f>
        <v/>
      </c>
      <c r="Q31" s="26">
        <f>IF(OR('历史数据'!P50&lt;=0,'历史数据'!R50&lt;=0),"",POWER('历史数据'!P50/'历史数据'!R50,1/3)-1)</f>
        <v/>
      </c>
      <c r="R31" s="24">
        <f>IF('历史数据'!S50="","",'历史数据'!S50/100000000)</f>
        <v/>
      </c>
      <c r="S31" s="25">
        <f>IF('历史数据'!T50="","",'历史数据'!T50)</f>
        <v/>
      </c>
      <c r="T31" s="28">
        <f>IF('历史数据'!U50="","",'历史数据'!U50)</f>
        <v/>
      </c>
      <c r="U31" s="28">
        <f>IF('历史数据'!V50="","",'历史数据'!V50/100000000)</f>
        <v/>
      </c>
      <c r="V31" s="24">
        <f>IF('历史数据'!W50="","",'历史数据'!W50/100000000)</f>
        <v/>
      </c>
      <c r="W31" s="28">
        <f>IF('历史数据'!X50="","",'历史数据'!X50)</f>
        <v/>
      </c>
      <c r="X31" s="26">
        <f>IF(OR(R31="",V31&lt;=0),"",R31/V31-1)</f>
        <v/>
      </c>
      <c r="Y31" s="29">
        <f>IF('历史数据'!Y50="","",'历史数据'!Y50)</f>
        <v/>
      </c>
      <c r="Z31" s="24">
        <f>IF('历史数据'!Z50="","",'历史数据'!Z50/100000000)</f>
        <v/>
      </c>
      <c r="AA31" s="24">
        <f>IF('历史数据'!AA50="","",'历史数据'!AA50/100000000)</f>
        <v/>
      </c>
      <c r="AB31" s="24">
        <f>IF('历史数据'!AB50="","",'历史数据'!AB50/100000000)</f>
        <v/>
      </c>
      <c r="AC31" s="13" t="inlineStr">
        <is>
          <t>近五个交易日资金净额:optional_missing；近一月资金净额（最近22个交易日）:optional_missing</t>
        </is>
      </c>
      <c r="AD31" s="13" t="inlineStr">
        <is>
          <t>SUCCESS</t>
        </is>
      </c>
    </row>
    <row r="32" ht="21" customHeight="1" s="3">
      <c r="A32" s="12" t="inlineStr">
        <is>
          <t>000089</t>
        </is>
      </c>
      <c r="B32" s="13" t="inlineStr">
        <is>
          <t>深圳机场</t>
        </is>
      </c>
      <c r="C32" s="25">
        <f>IF('历史数据'!D98="","",'历史数据'!D98)</f>
        <v/>
      </c>
      <c r="D32" s="13">
        <f>IF('历史数据'!E98="","",'历史数据'!E98)</f>
        <v/>
      </c>
      <c r="E32" s="24">
        <f>IF('历史数据'!G98="","",'历史数据'!G98/100000000)</f>
        <v/>
      </c>
      <c r="F32" s="26">
        <f>IF(OR('历史数据'!G98="",'历史数据'!H98&lt;=0),"",'历史数据'!G98/'历史数据'!H98-1)</f>
        <v/>
      </c>
      <c r="G32" s="26">
        <f>IF(OR('历史数据'!G98&lt;=0,'历史数据'!I98&lt;=0),"",POWER('历史数据'!G98/'历史数据'!I98,1/3)-1)</f>
        <v/>
      </c>
      <c r="H32" s="26">
        <f>IF(OR('历史数据'!G98&lt;=0,'历史数据'!J98=""),"",('历史数据'!G98-'历史数据'!J98)/'历史数据'!G98)</f>
        <v/>
      </c>
      <c r="I32" s="27">
        <f>IF(OR(H32="",'历史数据'!H98&lt;=0,'历史数据'!K98=""),"",(H32-('历史数据'!H98-'历史数据'!K98)/'历史数据'!H98)*100)</f>
        <v/>
      </c>
      <c r="J32" s="27">
        <f>IF(OR(H32="",'历史数据'!I98&lt;=0,'历史数据'!L98=""),"",(H32-('历史数据'!I98-'历史数据'!L98)/'历史数据'!I98)*100)</f>
        <v/>
      </c>
      <c r="K32" s="24">
        <f>IF('历史数据'!M98="","",'历史数据'!M98/100000000)</f>
        <v/>
      </c>
      <c r="L32" s="26">
        <f>IF(OR('历史数据'!G98=0,'历史数据'!M98=""),"",'历史数据'!M98/'历史数据'!G98)</f>
        <v/>
      </c>
      <c r="M32" s="26">
        <f>IF(OR('历史数据'!M98="",'历史数据'!N98=0),"",('历史数据'!M98-'历史数据'!N98)/ABS('历史数据'!N98))</f>
        <v/>
      </c>
      <c r="N32" s="26">
        <f>IF(OR('历史数据'!M98&lt;=0,'历史数据'!O98&lt;=0),"",POWER('历史数据'!M98/'历史数据'!O98,1/3)-1)</f>
        <v/>
      </c>
      <c r="O32" s="24">
        <f>IF('历史数据'!P98="","",'历史数据'!P98/100000000)</f>
        <v/>
      </c>
      <c r="P32" s="26">
        <f>IF(OR('历史数据'!P98="",'历史数据'!Q98=0),"",('历史数据'!P98-'历史数据'!Q98)/ABS('历史数据'!Q98))</f>
        <v/>
      </c>
      <c r="Q32" s="26">
        <f>IF(OR('历史数据'!P98&lt;=0,'历史数据'!R98&lt;=0),"",POWER('历史数据'!P98/'历史数据'!R98,1/3)-1)</f>
        <v/>
      </c>
      <c r="R32" s="24">
        <f>IF('历史数据'!S98="","",'历史数据'!S98/100000000)</f>
        <v/>
      </c>
      <c r="S32" s="25">
        <f>IF('历史数据'!T98="","",'历史数据'!T98)</f>
        <v/>
      </c>
      <c r="T32" s="28">
        <f>IF('历史数据'!U98="","",'历史数据'!U98)</f>
        <v/>
      </c>
      <c r="U32" s="28">
        <f>IF('历史数据'!V98="","",'历史数据'!V98/100000000)</f>
        <v/>
      </c>
      <c r="V32" s="24">
        <f>IF('历史数据'!W98="","",'历史数据'!W98/100000000)</f>
        <v/>
      </c>
      <c r="W32" s="28">
        <f>IF('历史数据'!X98="","",'历史数据'!X98)</f>
        <v/>
      </c>
      <c r="X32" s="26">
        <f>IF(OR(R32="",V32&lt;=0),"",R32/V32-1)</f>
        <v/>
      </c>
      <c r="Y32" s="29">
        <f>IF('历史数据'!Y98="","",'历史数据'!Y98)</f>
        <v/>
      </c>
      <c r="Z32" s="24">
        <f>IF('历史数据'!Z98="","",'历史数据'!Z98/100000000)</f>
        <v/>
      </c>
      <c r="AA32" s="24">
        <f>IF('历史数据'!AA98="","",'历史数据'!AA98/100000000)</f>
        <v/>
      </c>
      <c r="AB32" s="24">
        <f>IF('历史数据'!AB98="","",'历史数据'!AB98/100000000)</f>
        <v/>
      </c>
      <c r="AC32" s="13" t="inlineStr">
        <is>
          <t>近五个交易日资金净额:optional_missing；近一月资金净额（最近22个交易日）:optional_missing</t>
        </is>
      </c>
      <c r="AD32" s="13" t="inlineStr">
        <is>
          <t>SUCCESS</t>
        </is>
      </c>
    </row>
    <row r="33" ht="21" customHeight="1" s="3">
      <c r="A33" s="12" t="inlineStr">
        <is>
          <t>000048</t>
        </is>
      </c>
      <c r="B33" s="13" t="inlineStr">
        <is>
          <t>京基智农</t>
        </is>
      </c>
      <c r="C33" s="25">
        <f>IF('历史数据'!D62="","",'历史数据'!D62)</f>
        <v/>
      </c>
      <c r="D33" s="13">
        <f>IF('历史数据'!E62="","",'历史数据'!E62)</f>
        <v/>
      </c>
      <c r="E33" s="24">
        <f>IF('历史数据'!G62="","",'历史数据'!G62/100000000)</f>
        <v/>
      </c>
      <c r="F33" s="26">
        <f>IF(OR('历史数据'!G62="",'历史数据'!H62&lt;=0),"",'历史数据'!G62/'历史数据'!H62-1)</f>
        <v/>
      </c>
      <c r="G33" s="26">
        <f>IF(OR('历史数据'!G62&lt;=0,'历史数据'!I62&lt;=0),"",POWER('历史数据'!G62/'历史数据'!I62,1/3)-1)</f>
        <v/>
      </c>
      <c r="H33" s="26">
        <f>IF(OR('历史数据'!G62&lt;=0,'历史数据'!J62=""),"",('历史数据'!G62-'历史数据'!J62)/'历史数据'!G62)</f>
        <v/>
      </c>
      <c r="I33" s="27">
        <f>IF(OR(H33="",'历史数据'!H62&lt;=0,'历史数据'!K62=""),"",(H33-('历史数据'!H62-'历史数据'!K62)/'历史数据'!H62)*100)</f>
        <v/>
      </c>
      <c r="J33" s="27">
        <f>IF(OR(H33="",'历史数据'!I62&lt;=0,'历史数据'!L62=""),"",(H33-('历史数据'!I62-'历史数据'!L62)/'历史数据'!I62)*100)</f>
        <v/>
      </c>
      <c r="K33" s="24">
        <f>IF('历史数据'!M62="","",'历史数据'!M62/100000000)</f>
        <v/>
      </c>
      <c r="L33" s="26">
        <f>IF(OR('历史数据'!G62=0,'历史数据'!M62=""),"",'历史数据'!M62/'历史数据'!G62)</f>
        <v/>
      </c>
      <c r="M33" s="26">
        <f>IF(OR('历史数据'!M62="",'历史数据'!N62=0),"",('历史数据'!M62-'历史数据'!N62)/ABS('历史数据'!N62))</f>
        <v/>
      </c>
      <c r="N33" s="26">
        <f>IF(OR('历史数据'!M62&lt;=0,'历史数据'!O62&lt;=0),"",POWER('历史数据'!M62/'历史数据'!O62,1/3)-1)</f>
        <v/>
      </c>
      <c r="O33" s="24">
        <f>IF('历史数据'!P62="","",'历史数据'!P62/100000000)</f>
        <v/>
      </c>
      <c r="P33" s="26">
        <f>IF(OR('历史数据'!P62="",'历史数据'!Q62=0),"",('历史数据'!P62-'历史数据'!Q62)/ABS('历史数据'!Q62))</f>
        <v/>
      </c>
      <c r="Q33" s="26">
        <f>IF(OR('历史数据'!P62&lt;=0,'历史数据'!R62&lt;=0),"",POWER('历史数据'!P62/'历史数据'!R62,1/3)-1)</f>
        <v/>
      </c>
      <c r="R33" s="24">
        <f>IF('历史数据'!S62="","",'历史数据'!S62/100000000)</f>
        <v/>
      </c>
      <c r="S33" s="25">
        <f>IF('历史数据'!T62="","",'历史数据'!T62)</f>
        <v/>
      </c>
      <c r="T33" s="28">
        <f>IF('历史数据'!U62="","",'历史数据'!U62)</f>
        <v/>
      </c>
      <c r="U33" s="28">
        <f>IF('历史数据'!V62="","",'历史数据'!V62/100000000)</f>
        <v/>
      </c>
      <c r="V33" s="24">
        <f>IF('历史数据'!W62="","",'历史数据'!W62/100000000)</f>
        <v/>
      </c>
      <c r="W33" s="28">
        <f>IF('历史数据'!X62="","",'历史数据'!X62)</f>
        <v/>
      </c>
      <c r="X33" s="26">
        <f>IF(OR(R33="",V33&lt;=0),"",R33/V33-1)</f>
        <v/>
      </c>
      <c r="Y33" s="29">
        <f>IF('历史数据'!Y62="","",'历史数据'!Y62)</f>
        <v/>
      </c>
      <c r="Z33" s="24">
        <f>IF('历史数据'!Z62="","",'历史数据'!Z62/100000000)</f>
        <v/>
      </c>
      <c r="AA33" s="24">
        <f>IF('历史数据'!AA62="","",'历史数据'!AA62/100000000)</f>
        <v/>
      </c>
      <c r="AB33" s="24">
        <f>IF('历史数据'!AB62="","",'历史数据'!AB62/100000000)</f>
        <v/>
      </c>
      <c r="AC33" s="13" t="inlineStr">
        <is>
          <t>近五个交易日资金净额:optional_missing；近一月资金净额（最近22个交易日）:optional_missing</t>
        </is>
      </c>
      <c r="AD33" s="13" t="inlineStr">
        <is>
          <t>SUCCESS</t>
        </is>
      </c>
    </row>
    <row r="34" ht="21" customHeight="1" s="3">
      <c r="A34" s="12" t="inlineStr">
        <is>
          <t>000070</t>
        </is>
      </c>
      <c r="B34" s="13" t="inlineStr">
        <is>
          <t>特发信息</t>
        </is>
      </c>
      <c r="C34" s="25">
        <f>IF('历史数据'!D92="","",'历史数据'!D92)</f>
        <v/>
      </c>
      <c r="D34" s="13">
        <f>IF('历史数据'!E92="","",'历史数据'!E92)</f>
        <v/>
      </c>
      <c r="E34" s="24">
        <f>IF('历史数据'!G92="","",'历史数据'!G92/100000000)</f>
        <v/>
      </c>
      <c r="F34" s="26">
        <f>IF(OR('历史数据'!G92="",'历史数据'!H92&lt;=0),"",'历史数据'!G92/'历史数据'!H92-1)</f>
        <v/>
      </c>
      <c r="G34" s="26">
        <f>IF(OR('历史数据'!G92&lt;=0,'历史数据'!I92&lt;=0),"",POWER('历史数据'!G92/'历史数据'!I92,1/3)-1)</f>
        <v/>
      </c>
      <c r="H34" s="26">
        <f>IF(OR('历史数据'!G92&lt;=0,'历史数据'!J92=""),"",('历史数据'!G92-'历史数据'!J92)/'历史数据'!G92)</f>
        <v/>
      </c>
      <c r="I34" s="27">
        <f>IF(OR(H34="",'历史数据'!H92&lt;=0,'历史数据'!K92=""),"",(H34-('历史数据'!H92-'历史数据'!K92)/'历史数据'!H92)*100)</f>
        <v/>
      </c>
      <c r="J34" s="27">
        <f>IF(OR(H34="",'历史数据'!I92&lt;=0,'历史数据'!L92=""),"",(H34-('历史数据'!I92-'历史数据'!L92)/'历史数据'!I92)*100)</f>
        <v/>
      </c>
      <c r="K34" s="24">
        <f>IF('历史数据'!M92="","",'历史数据'!M92/100000000)</f>
        <v/>
      </c>
      <c r="L34" s="26">
        <f>IF(OR('历史数据'!G92=0,'历史数据'!M92=""),"",'历史数据'!M92/'历史数据'!G92)</f>
        <v/>
      </c>
      <c r="M34" s="26">
        <f>IF(OR('历史数据'!M92="",'历史数据'!N92=0),"",('历史数据'!M92-'历史数据'!N92)/ABS('历史数据'!N92))</f>
        <v/>
      </c>
      <c r="N34" s="26">
        <f>IF(OR('历史数据'!M92&lt;=0,'历史数据'!O92&lt;=0),"",POWER('历史数据'!M92/'历史数据'!O92,1/3)-1)</f>
        <v/>
      </c>
      <c r="O34" s="24">
        <f>IF('历史数据'!P92="","",'历史数据'!P92/100000000)</f>
        <v/>
      </c>
      <c r="P34" s="26">
        <f>IF(OR('历史数据'!P92="",'历史数据'!Q92=0),"",('历史数据'!P92-'历史数据'!Q92)/ABS('历史数据'!Q92))</f>
        <v/>
      </c>
      <c r="Q34" s="26">
        <f>IF(OR('历史数据'!P92&lt;=0,'历史数据'!R92&lt;=0),"",POWER('历史数据'!P92/'历史数据'!R92,1/3)-1)</f>
        <v/>
      </c>
      <c r="R34" s="24">
        <f>IF('历史数据'!S92="","",'历史数据'!S92/100000000)</f>
        <v/>
      </c>
      <c r="S34" s="25">
        <f>IF('历史数据'!T92="","",'历史数据'!T92)</f>
        <v/>
      </c>
      <c r="T34" s="28">
        <f>IF('历史数据'!U92="","",'历史数据'!U92)</f>
        <v/>
      </c>
      <c r="U34" s="28">
        <f>IF('历史数据'!V92="","",'历史数据'!V92/100000000)</f>
        <v/>
      </c>
      <c r="V34" s="24">
        <f>IF('历史数据'!W92="","",'历史数据'!W92/100000000)</f>
        <v/>
      </c>
      <c r="W34" s="28">
        <f>IF('历史数据'!X92="","",'历史数据'!X92)</f>
        <v/>
      </c>
      <c r="X34" s="26">
        <f>IF(OR(R34="",V34&lt;=0),"",R34/V34-1)</f>
        <v/>
      </c>
      <c r="Y34" s="29">
        <f>IF('历史数据'!Y92="","",'历史数据'!Y92)</f>
        <v/>
      </c>
      <c r="Z34" s="24">
        <f>IF('历史数据'!Z92="","",'历史数据'!Z92/100000000)</f>
        <v/>
      </c>
      <c r="AA34" s="24">
        <f>IF('历史数据'!AA92="","",'历史数据'!AA92/100000000)</f>
        <v/>
      </c>
      <c r="AB34" s="24">
        <f>IF('历史数据'!AB92="","",'历史数据'!AB92/100000000)</f>
        <v/>
      </c>
      <c r="AC34" s="13" t="inlineStr">
        <is>
          <t>近五个交易日资金净额:optional_missing；近一月资金净额（最近22个交易日）:optional_missing</t>
        </is>
      </c>
      <c r="AD34" s="13" t="inlineStr">
        <is>
          <t>SUCCESS</t>
        </is>
      </c>
    </row>
    <row r="35" ht="21" customHeight="1" s="3">
      <c r="A35" s="12" t="inlineStr">
        <is>
          <t>000026</t>
        </is>
      </c>
      <c r="B35" s="13" t="inlineStr">
        <is>
          <t>飞亚达</t>
        </is>
      </c>
      <c r="C35" s="25">
        <f>IF('历史数据'!D34="","",'历史数据'!D34)</f>
        <v/>
      </c>
      <c r="D35" s="13">
        <f>IF('历史数据'!E34="","",'历史数据'!E34)</f>
        <v/>
      </c>
      <c r="E35" s="24">
        <f>IF('历史数据'!G34="","",'历史数据'!G34/100000000)</f>
        <v/>
      </c>
      <c r="F35" s="26">
        <f>IF(OR('历史数据'!G34="",'历史数据'!H34&lt;=0),"",'历史数据'!G34/'历史数据'!H34-1)</f>
        <v/>
      </c>
      <c r="G35" s="26">
        <f>IF(OR('历史数据'!G34&lt;=0,'历史数据'!I34&lt;=0),"",POWER('历史数据'!G34/'历史数据'!I34,1/3)-1)</f>
        <v/>
      </c>
      <c r="H35" s="26">
        <f>IF(OR('历史数据'!G34&lt;=0,'历史数据'!J34=""),"",('历史数据'!G34-'历史数据'!J34)/'历史数据'!G34)</f>
        <v/>
      </c>
      <c r="I35" s="27">
        <f>IF(OR(H35="",'历史数据'!H34&lt;=0,'历史数据'!K34=""),"",(H35-('历史数据'!H34-'历史数据'!K34)/'历史数据'!H34)*100)</f>
        <v/>
      </c>
      <c r="J35" s="27">
        <f>IF(OR(H35="",'历史数据'!I34&lt;=0,'历史数据'!L34=""),"",(H35-('历史数据'!I34-'历史数据'!L34)/'历史数据'!I34)*100)</f>
        <v/>
      </c>
      <c r="K35" s="24">
        <f>IF('历史数据'!M34="","",'历史数据'!M34/100000000)</f>
        <v/>
      </c>
      <c r="L35" s="26">
        <f>IF(OR('历史数据'!G34=0,'历史数据'!M34=""),"",'历史数据'!M34/'历史数据'!G34)</f>
        <v/>
      </c>
      <c r="M35" s="26">
        <f>IF(OR('历史数据'!M34="",'历史数据'!N34=0),"",('历史数据'!M34-'历史数据'!N34)/ABS('历史数据'!N34))</f>
        <v/>
      </c>
      <c r="N35" s="26">
        <f>IF(OR('历史数据'!M34&lt;=0,'历史数据'!O34&lt;=0),"",POWER('历史数据'!M34/'历史数据'!O34,1/3)-1)</f>
        <v/>
      </c>
      <c r="O35" s="24">
        <f>IF('历史数据'!P34="","",'历史数据'!P34/100000000)</f>
        <v/>
      </c>
      <c r="P35" s="26">
        <f>IF(OR('历史数据'!P34="",'历史数据'!Q34=0),"",('历史数据'!P34-'历史数据'!Q34)/ABS('历史数据'!Q34))</f>
        <v/>
      </c>
      <c r="Q35" s="26">
        <f>IF(OR('历史数据'!P34&lt;=0,'历史数据'!R34&lt;=0),"",POWER('历史数据'!P34/'历史数据'!R34,1/3)-1)</f>
        <v/>
      </c>
      <c r="R35" s="24">
        <f>IF('历史数据'!S34="","",'历史数据'!S34/100000000)</f>
        <v/>
      </c>
      <c r="S35" s="25">
        <f>IF('历史数据'!T34="","",'历史数据'!T34)</f>
        <v/>
      </c>
      <c r="T35" s="28">
        <f>IF('历史数据'!U34="","",'历史数据'!U34)</f>
        <v/>
      </c>
      <c r="U35" s="28">
        <f>IF('历史数据'!V34="","",'历史数据'!V34/100000000)</f>
        <v/>
      </c>
      <c r="V35" s="24">
        <f>IF('历史数据'!W34="","",'历史数据'!W34/100000000)</f>
        <v/>
      </c>
      <c r="W35" s="28">
        <f>IF('历史数据'!X34="","",'历史数据'!X34)</f>
        <v/>
      </c>
      <c r="X35" s="26">
        <f>IF(OR(R35="",V35&lt;=0),"",R35/V35-1)</f>
        <v/>
      </c>
      <c r="Y35" s="29">
        <f>IF('历史数据'!Y34="","",'历史数据'!Y34)</f>
        <v/>
      </c>
      <c r="Z35" s="24">
        <f>IF('历史数据'!Z34="","",'历史数据'!Z34/100000000)</f>
        <v/>
      </c>
      <c r="AA35" s="24">
        <f>IF('历史数据'!AA34="","",'历史数据'!AA34/100000000)</f>
        <v/>
      </c>
      <c r="AB35" s="24">
        <f>IF('历史数据'!AB34="","",'历史数据'!AB34/100000000)</f>
        <v/>
      </c>
      <c r="AC35" s="13" t="inlineStr">
        <is>
          <t>近五个交易日资金净额:optional_missing；近一月资金净额（最近22个交易日）:optional_missing</t>
        </is>
      </c>
      <c r="AD35" s="13" t="inlineStr">
        <is>
          <t>SUCCESS</t>
        </is>
      </c>
    </row>
    <row r="36" ht="21" customHeight="1" s="3">
      <c r="A36" s="12" t="inlineStr">
        <is>
          <t>000055</t>
        </is>
      </c>
      <c r="B36" s="13" t="inlineStr">
        <is>
          <t>方大集团</t>
        </is>
      </c>
      <c r="C36" s="25">
        <f>IF('历史数据'!D68="","",'历史数据'!D68)</f>
        <v/>
      </c>
      <c r="D36" s="13">
        <f>IF('历史数据'!E68="","",'历史数据'!E68)</f>
        <v/>
      </c>
      <c r="E36" s="24">
        <f>IF('历史数据'!G68="","",'历史数据'!G68/100000000)</f>
        <v/>
      </c>
      <c r="F36" s="26">
        <f>IF(OR('历史数据'!G68="",'历史数据'!H68&lt;=0),"",'历史数据'!G68/'历史数据'!H68-1)</f>
        <v/>
      </c>
      <c r="G36" s="26">
        <f>IF(OR('历史数据'!G68&lt;=0,'历史数据'!I68&lt;=0),"",POWER('历史数据'!G68/'历史数据'!I68,1/3)-1)</f>
        <v/>
      </c>
      <c r="H36" s="26">
        <f>IF(OR('历史数据'!G68&lt;=0,'历史数据'!J68=""),"",('历史数据'!G68-'历史数据'!J68)/'历史数据'!G68)</f>
        <v/>
      </c>
      <c r="I36" s="27">
        <f>IF(OR(H36="",'历史数据'!H68&lt;=0,'历史数据'!K68=""),"",(H36-('历史数据'!H68-'历史数据'!K68)/'历史数据'!H68)*100)</f>
        <v/>
      </c>
      <c r="J36" s="27">
        <f>IF(OR(H36="",'历史数据'!I68&lt;=0,'历史数据'!L68=""),"",(H36-('历史数据'!I68-'历史数据'!L68)/'历史数据'!I68)*100)</f>
        <v/>
      </c>
      <c r="K36" s="24">
        <f>IF('历史数据'!M68="","",'历史数据'!M68/100000000)</f>
        <v/>
      </c>
      <c r="L36" s="26">
        <f>IF(OR('历史数据'!G68=0,'历史数据'!M68=""),"",'历史数据'!M68/'历史数据'!G68)</f>
        <v/>
      </c>
      <c r="M36" s="26">
        <f>IF(OR('历史数据'!M68="",'历史数据'!N68=0),"",('历史数据'!M68-'历史数据'!N68)/ABS('历史数据'!N68))</f>
        <v/>
      </c>
      <c r="N36" s="26">
        <f>IF(OR('历史数据'!M68&lt;=0,'历史数据'!O68&lt;=0),"",POWER('历史数据'!M68/'历史数据'!O68,1/3)-1)</f>
        <v/>
      </c>
      <c r="O36" s="24">
        <f>IF('历史数据'!P68="","",'历史数据'!P68/100000000)</f>
        <v/>
      </c>
      <c r="P36" s="26">
        <f>IF(OR('历史数据'!P68="",'历史数据'!Q68=0),"",('历史数据'!P68-'历史数据'!Q68)/ABS('历史数据'!Q68))</f>
        <v/>
      </c>
      <c r="Q36" s="26">
        <f>IF(OR('历史数据'!P68&lt;=0,'历史数据'!R68&lt;=0),"",POWER('历史数据'!P68/'历史数据'!R68,1/3)-1)</f>
        <v/>
      </c>
      <c r="R36" s="24">
        <f>IF('历史数据'!S68="","",'历史数据'!S68/100000000)</f>
        <v/>
      </c>
      <c r="S36" s="25">
        <f>IF('历史数据'!T68="","",'历史数据'!T68)</f>
        <v/>
      </c>
      <c r="T36" s="28">
        <f>IF('历史数据'!U68="","",'历史数据'!U68)</f>
        <v/>
      </c>
      <c r="U36" s="28">
        <f>IF('历史数据'!V68="","",'历史数据'!V68/100000000)</f>
        <v/>
      </c>
      <c r="V36" s="24">
        <f>IF('历史数据'!W68="","",'历史数据'!W68/100000000)</f>
        <v/>
      </c>
      <c r="W36" s="28">
        <f>IF('历史数据'!X68="","",'历史数据'!X68)</f>
        <v/>
      </c>
      <c r="X36" s="26">
        <f>IF(OR(R36="",V36&lt;=0),"",R36/V36-1)</f>
        <v/>
      </c>
      <c r="Y36" s="29">
        <f>IF('历史数据'!Y68="","",'历史数据'!Y68)</f>
        <v/>
      </c>
      <c r="Z36" s="24">
        <f>IF('历史数据'!Z68="","",'历史数据'!Z68/100000000)</f>
        <v/>
      </c>
      <c r="AA36" s="24">
        <f>IF('历史数据'!AA68="","",'历史数据'!AA68/100000000)</f>
        <v/>
      </c>
      <c r="AB36" s="24">
        <f>IF('历史数据'!AB68="","",'历史数据'!AB68/100000000)</f>
        <v/>
      </c>
      <c r="AC36" s="13" t="inlineStr">
        <is>
          <t>近五个交易日资金净额:optional_missing；近一月资金净额（最近22个交易日）:optional_missing</t>
        </is>
      </c>
      <c r="AD36" s="13" t="inlineStr">
        <is>
          <t>SUCCESS</t>
        </is>
      </c>
    </row>
    <row r="37" ht="21" customHeight="1" s="3">
      <c r="A37" s="12" t="inlineStr">
        <is>
          <t>000056</t>
        </is>
      </c>
      <c r="B37" s="13" t="inlineStr">
        <is>
          <t>*ST皇庭</t>
        </is>
      </c>
      <c r="C37" s="25">
        <f>IF('历史数据'!D70="","",'历史数据'!D70)</f>
        <v/>
      </c>
      <c r="D37" s="13">
        <f>IF('历史数据'!E70="","",'历史数据'!E70)</f>
        <v/>
      </c>
      <c r="E37" s="24">
        <f>IF('历史数据'!G70="","",'历史数据'!G70/100000000)</f>
        <v/>
      </c>
      <c r="F37" s="26">
        <f>IF(OR('历史数据'!G70="",'历史数据'!H70&lt;=0),"",'历史数据'!G70/'历史数据'!H70-1)</f>
        <v/>
      </c>
      <c r="G37" s="26">
        <f>IF(OR('历史数据'!G70&lt;=0,'历史数据'!I70&lt;=0),"",POWER('历史数据'!G70/'历史数据'!I70,1/3)-1)</f>
        <v/>
      </c>
      <c r="H37" s="26">
        <f>IF(OR('历史数据'!G70&lt;=0,'历史数据'!J70=""),"",('历史数据'!G70-'历史数据'!J70)/'历史数据'!G70)</f>
        <v/>
      </c>
      <c r="I37" s="27">
        <f>IF(OR(H37="",'历史数据'!H70&lt;=0,'历史数据'!K70=""),"",(H37-('历史数据'!H70-'历史数据'!K70)/'历史数据'!H70)*100)</f>
        <v/>
      </c>
      <c r="J37" s="27">
        <f>IF(OR(H37="",'历史数据'!I70&lt;=0,'历史数据'!L70=""),"",(H37-('历史数据'!I70-'历史数据'!L70)/'历史数据'!I70)*100)</f>
        <v/>
      </c>
      <c r="K37" s="24">
        <f>IF('历史数据'!M70="","",'历史数据'!M70/100000000)</f>
        <v/>
      </c>
      <c r="L37" s="26">
        <f>IF(OR('历史数据'!G70=0,'历史数据'!M70=""),"",'历史数据'!M70/'历史数据'!G70)</f>
        <v/>
      </c>
      <c r="M37" s="26">
        <f>IF(OR('历史数据'!M70="",'历史数据'!N70=0),"",('历史数据'!M70-'历史数据'!N70)/ABS('历史数据'!N70))</f>
        <v/>
      </c>
      <c r="N37" s="26">
        <f>IF(OR('历史数据'!M70&lt;=0,'历史数据'!O70&lt;=0),"",POWER('历史数据'!M70/'历史数据'!O70,1/3)-1)</f>
        <v/>
      </c>
      <c r="O37" s="24">
        <f>IF('历史数据'!P70="","",'历史数据'!P70/100000000)</f>
        <v/>
      </c>
      <c r="P37" s="26">
        <f>IF(OR('历史数据'!P70="",'历史数据'!Q70=0),"",('历史数据'!P70-'历史数据'!Q70)/ABS('历史数据'!Q70))</f>
        <v/>
      </c>
      <c r="Q37" s="26">
        <f>IF(OR('历史数据'!P70&lt;=0,'历史数据'!R70&lt;=0),"",POWER('历史数据'!P70/'历史数据'!R70,1/3)-1)</f>
        <v/>
      </c>
      <c r="R37" s="24">
        <f>IF('历史数据'!S70="","",'历史数据'!S70/100000000)</f>
        <v/>
      </c>
      <c r="S37" s="25">
        <f>IF('历史数据'!T70="","",'历史数据'!T70)</f>
        <v/>
      </c>
      <c r="T37" s="28">
        <f>IF('历史数据'!U70="","",'历史数据'!U70)</f>
        <v/>
      </c>
      <c r="U37" s="28">
        <f>IF('历史数据'!V70="","",'历史数据'!V70/100000000)</f>
        <v/>
      </c>
      <c r="V37" s="24">
        <f>IF('历史数据'!W70="","",'历史数据'!W70/100000000)</f>
        <v/>
      </c>
      <c r="W37" s="28">
        <f>IF('历史数据'!X70="","",'历史数据'!X70)</f>
        <v/>
      </c>
      <c r="X37" s="26">
        <f>IF(OR(R37="",V37&lt;=0),"",R37/V37-1)</f>
        <v/>
      </c>
      <c r="Y37" s="29">
        <f>IF('历史数据'!Y70="","",'历史数据'!Y70)</f>
        <v/>
      </c>
      <c r="Z37" s="24">
        <f>IF('历史数据'!Z70="","",'历史数据'!Z70/100000000)</f>
        <v/>
      </c>
      <c r="AA37" s="24">
        <f>IF('历史数据'!AA70="","",'历史数据'!AA70/100000000)</f>
        <v/>
      </c>
      <c r="AB37" s="24">
        <f>IF('历史数据'!AB70="","",'历史数据'!AB70/100000000)</f>
        <v/>
      </c>
      <c r="AC37" s="13" t="inlineStr">
        <is>
          <t>近五个交易日资金净额:optional_missing；近一月资金净额（最近22个交易日）:optional_missing</t>
        </is>
      </c>
      <c r="AD37" s="13" t="inlineStr">
        <is>
          <t>SUCCESS</t>
        </is>
      </c>
    </row>
    <row r="38" ht="21" customHeight="1" s="3">
      <c r="A38" s="12" t="inlineStr">
        <is>
          <t>000045</t>
        </is>
      </c>
      <c r="B38" s="13" t="inlineStr">
        <is>
          <t>深纺织Ａ</t>
        </is>
      </c>
      <c r="C38" s="25">
        <f>IF('历史数据'!D60="","",'历史数据'!D60)</f>
        <v/>
      </c>
      <c r="D38" s="13">
        <f>IF('历史数据'!E60="","",'历史数据'!E60)</f>
        <v/>
      </c>
      <c r="E38" s="24">
        <f>IF('历史数据'!G60="","",'历史数据'!G60/100000000)</f>
        <v/>
      </c>
      <c r="F38" s="26">
        <f>IF(OR('历史数据'!G60="",'历史数据'!H60&lt;=0),"",'历史数据'!G60/'历史数据'!H60-1)</f>
        <v/>
      </c>
      <c r="G38" s="26">
        <f>IF(OR('历史数据'!G60&lt;=0,'历史数据'!I60&lt;=0),"",POWER('历史数据'!G60/'历史数据'!I60,1/3)-1)</f>
        <v/>
      </c>
      <c r="H38" s="26">
        <f>IF(OR('历史数据'!G60&lt;=0,'历史数据'!J60=""),"",('历史数据'!G60-'历史数据'!J60)/'历史数据'!G60)</f>
        <v/>
      </c>
      <c r="I38" s="27">
        <f>IF(OR(H38="",'历史数据'!H60&lt;=0,'历史数据'!K60=""),"",(H38-('历史数据'!H60-'历史数据'!K60)/'历史数据'!H60)*100)</f>
        <v/>
      </c>
      <c r="J38" s="27">
        <f>IF(OR(H38="",'历史数据'!I60&lt;=0,'历史数据'!L60=""),"",(H38-('历史数据'!I60-'历史数据'!L60)/'历史数据'!I60)*100)</f>
        <v/>
      </c>
      <c r="K38" s="24">
        <f>IF('历史数据'!M60="","",'历史数据'!M60/100000000)</f>
        <v/>
      </c>
      <c r="L38" s="26">
        <f>IF(OR('历史数据'!G60=0,'历史数据'!M60=""),"",'历史数据'!M60/'历史数据'!G60)</f>
        <v/>
      </c>
      <c r="M38" s="26">
        <f>IF(OR('历史数据'!M60="",'历史数据'!N60=0),"",('历史数据'!M60-'历史数据'!N60)/ABS('历史数据'!N60))</f>
        <v/>
      </c>
      <c r="N38" s="26">
        <f>IF(OR('历史数据'!M60&lt;=0,'历史数据'!O60&lt;=0),"",POWER('历史数据'!M60/'历史数据'!O60,1/3)-1)</f>
        <v/>
      </c>
      <c r="O38" s="24">
        <f>IF('历史数据'!P60="","",'历史数据'!P60/100000000)</f>
        <v/>
      </c>
      <c r="P38" s="26">
        <f>IF(OR('历史数据'!P60="",'历史数据'!Q60=0),"",('历史数据'!P60-'历史数据'!Q60)/ABS('历史数据'!Q60))</f>
        <v/>
      </c>
      <c r="Q38" s="26">
        <f>IF(OR('历史数据'!P60&lt;=0,'历史数据'!R60&lt;=0),"",POWER('历史数据'!P60/'历史数据'!R60,1/3)-1)</f>
        <v/>
      </c>
      <c r="R38" s="24">
        <f>IF('历史数据'!S60="","",'历史数据'!S60/100000000)</f>
        <v/>
      </c>
      <c r="S38" s="25">
        <f>IF('历史数据'!T60="","",'历史数据'!T60)</f>
        <v/>
      </c>
      <c r="T38" s="28">
        <f>IF('历史数据'!U60="","",'历史数据'!U60)</f>
        <v/>
      </c>
      <c r="U38" s="28">
        <f>IF('历史数据'!V60="","",'历史数据'!V60/100000000)</f>
        <v/>
      </c>
      <c r="V38" s="24">
        <f>IF('历史数据'!W60="","",'历史数据'!W60/100000000)</f>
        <v/>
      </c>
      <c r="W38" s="28">
        <f>IF('历史数据'!X60="","",'历史数据'!X60)</f>
        <v/>
      </c>
      <c r="X38" s="26">
        <f>IF(OR(R38="",V38&lt;=0),"",R38/V38-1)</f>
        <v/>
      </c>
      <c r="Y38" s="29">
        <f>IF('历史数据'!Y60="","",'历史数据'!Y60)</f>
        <v/>
      </c>
      <c r="Z38" s="24">
        <f>IF('历史数据'!Z60="","",'历史数据'!Z60/100000000)</f>
        <v/>
      </c>
      <c r="AA38" s="24">
        <f>IF('历史数据'!AA60="","",'历史数据'!AA60/100000000)</f>
        <v/>
      </c>
      <c r="AB38" s="24">
        <f>IF('历史数据'!AB60="","",'历史数据'!AB60/100000000)</f>
        <v/>
      </c>
      <c r="AC38" s="13" t="inlineStr">
        <is>
          <t>近五个交易日资金净额:optional_missing；近一月资金净额（最近22个交易日）:optional_missing</t>
        </is>
      </c>
      <c r="AD38" s="13" t="inlineStr">
        <is>
          <t>SUCCESS</t>
        </is>
      </c>
    </row>
    <row r="39" ht="21" customHeight="1" s="3">
      <c r="A39" s="12" t="inlineStr">
        <is>
          <t>000006</t>
        </is>
      </c>
      <c r="B39" s="13" t="inlineStr">
        <is>
          <t>深振业Ａ</t>
        </is>
      </c>
      <c r="C39" s="25">
        <f>IF('历史数据'!D6="","",'历史数据'!D6)</f>
        <v/>
      </c>
      <c r="D39" s="13">
        <f>IF('历史数据'!E6="","",'历史数据'!E6)</f>
        <v/>
      </c>
      <c r="E39" s="24">
        <f>IF('历史数据'!G6="","",'历史数据'!G6/100000000)</f>
        <v/>
      </c>
      <c r="F39" s="26">
        <f>IF(OR('历史数据'!G6="",'历史数据'!H6&lt;=0),"",'历史数据'!G6/'历史数据'!H6-1)</f>
        <v/>
      </c>
      <c r="G39" s="26">
        <f>IF(OR('历史数据'!G6&lt;=0,'历史数据'!I6&lt;=0),"",POWER('历史数据'!G6/'历史数据'!I6,1/3)-1)</f>
        <v/>
      </c>
      <c r="H39" s="26">
        <f>IF(OR('历史数据'!G6&lt;=0,'历史数据'!J6=""),"",('历史数据'!G6-'历史数据'!J6)/'历史数据'!G6)</f>
        <v/>
      </c>
      <c r="I39" s="27">
        <f>IF(OR(H39="",'历史数据'!H6&lt;=0,'历史数据'!K6=""),"",(H39-('历史数据'!H6-'历史数据'!K6)/'历史数据'!H6)*100)</f>
        <v/>
      </c>
      <c r="J39" s="27">
        <f>IF(OR(H39="",'历史数据'!I6&lt;=0,'历史数据'!L6=""),"",(H39-('历史数据'!I6-'历史数据'!L6)/'历史数据'!I6)*100)</f>
        <v/>
      </c>
      <c r="K39" s="24">
        <f>IF('历史数据'!M6="","",'历史数据'!M6/100000000)</f>
        <v/>
      </c>
      <c r="L39" s="26">
        <f>IF(OR('历史数据'!G6=0,'历史数据'!M6=""),"",'历史数据'!M6/'历史数据'!G6)</f>
        <v/>
      </c>
      <c r="M39" s="26">
        <f>IF(OR('历史数据'!M6="",'历史数据'!N6=0),"",('历史数据'!M6-'历史数据'!N6)/ABS('历史数据'!N6))</f>
        <v/>
      </c>
      <c r="N39" s="26">
        <f>IF(OR('历史数据'!M6&lt;=0,'历史数据'!O6&lt;=0),"",POWER('历史数据'!M6/'历史数据'!O6,1/3)-1)</f>
        <v/>
      </c>
      <c r="O39" s="24">
        <f>IF('历史数据'!P6="","",'历史数据'!P6/100000000)</f>
        <v/>
      </c>
      <c r="P39" s="26">
        <f>IF(OR('历史数据'!P6="",'历史数据'!Q6=0),"",('历史数据'!P6-'历史数据'!Q6)/ABS('历史数据'!Q6))</f>
        <v/>
      </c>
      <c r="Q39" s="26">
        <f>IF(OR('历史数据'!P6&lt;=0,'历史数据'!R6&lt;=0),"",POWER('历史数据'!P6/'历史数据'!R6,1/3)-1)</f>
        <v/>
      </c>
      <c r="R39" s="24">
        <f>IF('历史数据'!S6="","",'历史数据'!S6/100000000)</f>
        <v/>
      </c>
      <c r="S39" s="25">
        <f>IF('历史数据'!T6="","",'历史数据'!T6)</f>
        <v/>
      </c>
      <c r="T39" s="28">
        <f>IF('历史数据'!U6="","",'历史数据'!U6)</f>
        <v/>
      </c>
      <c r="U39" s="28">
        <f>IF('历史数据'!V6="","",'历史数据'!V6/100000000)</f>
        <v/>
      </c>
      <c r="V39" s="24">
        <f>IF('历史数据'!W6="","",'历史数据'!W6/100000000)</f>
        <v/>
      </c>
      <c r="W39" s="28">
        <f>IF('历史数据'!X6="","",'历史数据'!X6)</f>
        <v/>
      </c>
      <c r="X39" s="26">
        <f>IF(OR(R39="",V39&lt;=0),"",R39/V39-1)</f>
        <v/>
      </c>
      <c r="Y39" s="29">
        <f>IF('历史数据'!Y6="","",'历史数据'!Y6)</f>
        <v/>
      </c>
      <c r="Z39" s="24">
        <f>IF('历史数据'!Z6="","",'历史数据'!Z6/100000000)</f>
        <v/>
      </c>
      <c r="AA39" s="24">
        <f>IF('历史数据'!AA6="","",'历史数据'!AA6/100000000)</f>
        <v/>
      </c>
      <c r="AB39" s="24">
        <f>IF('历史数据'!AB6="","",'历史数据'!AB6/100000000)</f>
        <v/>
      </c>
      <c r="AC39" s="13" t="inlineStr">
        <is>
          <t>近五个交易日资金净额:optional_missing；近一月资金净额（最近22个交易日）:optional_missing</t>
        </is>
      </c>
      <c r="AD39" s="13" t="inlineStr">
        <is>
          <t>SUCCESS</t>
        </is>
      </c>
    </row>
    <row r="40" ht="21" customHeight="1" s="3">
      <c r="A40" s="12" t="inlineStr">
        <is>
          <t>000042</t>
        </is>
      </c>
      <c r="B40" s="13" t="inlineStr">
        <is>
          <t>中洲控股</t>
        </is>
      </c>
      <c r="C40" s="25">
        <f>IF('历史数据'!D58="","",'历史数据'!D58)</f>
        <v/>
      </c>
      <c r="D40" s="13">
        <f>IF('历史数据'!E58="","",'历史数据'!E58)</f>
        <v/>
      </c>
      <c r="E40" s="24">
        <f>IF('历史数据'!G58="","",'历史数据'!G58/100000000)</f>
        <v/>
      </c>
      <c r="F40" s="26">
        <f>IF(OR('历史数据'!G58="",'历史数据'!H58&lt;=0),"",'历史数据'!G58/'历史数据'!H58-1)</f>
        <v/>
      </c>
      <c r="G40" s="26">
        <f>IF(OR('历史数据'!G58&lt;=0,'历史数据'!I58&lt;=0),"",POWER('历史数据'!G58/'历史数据'!I58,1/3)-1)</f>
        <v/>
      </c>
      <c r="H40" s="26">
        <f>IF(OR('历史数据'!G58&lt;=0,'历史数据'!J58=""),"",('历史数据'!G58-'历史数据'!J58)/'历史数据'!G58)</f>
        <v/>
      </c>
      <c r="I40" s="27">
        <f>IF(OR(H40="",'历史数据'!H58&lt;=0,'历史数据'!K58=""),"",(H40-('历史数据'!H58-'历史数据'!K58)/'历史数据'!H58)*100)</f>
        <v/>
      </c>
      <c r="J40" s="27">
        <f>IF(OR(H40="",'历史数据'!I58&lt;=0,'历史数据'!L58=""),"",(H40-('历史数据'!I58-'历史数据'!L58)/'历史数据'!I58)*100)</f>
        <v/>
      </c>
      <c r="K40" s="24">
        <f>IF('历史数据'!M58="","",'历史数据'!M58/100000000)</f>
        <v/>
      </c>
      <c r="L40" s="26">
        <f>IF(OR('历史数据'!G58=0,'历史数据'!M58=""),"",'历史数据'!M58/'历史数据'!G58)</f>
        <v/>
      </c>
      <c r="M40" s="26">
        <f>IF(OR('历史数据'!M58="",'历史数据'!N58=0),"",('历史数据'!M58-'历史数据'!N58)/ABS('历史数据'!N58))</f>
        <v/>
      </c>
      <c r="N40" s="26">
        <f>IF(OR('历史数据'!M58&lt;=0,'历史数据'!O58&lt;=0),"",POWER('历史数据'!M58/'历史数据'!O58,1/3)-1)</f>
        <v/>
      </c>
      <c r="O40" s="24">
        <f>IF('历史数据'!P58="","",'历史数据'!P58/100000000)</f>
        <v/>
      </c>
      <c r="P40" s="26">
        <f>IF(OR('历史数据'!P58="",'历史数据'!Q58=0),"",('历史数据'!P58-'历史数据'!Q58)/ABS('历史数据'!Q58))</f>
        <v/>
      </c>
      <c r="Q40" s="26">
        <f>IF(OR('历史数据'!P58&lt;=0,'历史数据'!R58&lt;=0),"",POWER('历史数据'!P58/'历史数据'!R58,1/3)-1)</f>
        <v/>
      </c>
      <c r="R40" s="24">
        <f>IF('历史数据'!S58="","",'历史数据'!S58/100000000)</f>
        <v/>
      </c>
      <c r="S40" s="25">
        <f>IF('历史数据'!T58="","",'历史数据'!T58)</f>
        <v/>
      </c>
      <c r="T40" s="28">
        <f>IF('历史数据'!U58="","",'历史数据'!U58)</f>
        <v/>
      </c>
      <c r="U40" s="28">
        <f>IF('历史数据'!V58="","",'历史数据'!V58/100000000)</f>
        <v/>
      </c>
      <c r="V40" s="24">
        <f>IF('历史数据'!W58="","",'历史数据'!W58/100000000)</f>
        <v/>
      </c>
      <c r="W40" s="28">
        <f>IF('历史数据'!X58="","",'历史数据'!X58)</f>
        <v/>
      </c>
      <c r="X40" s="26">
        <f>IF(OR(R40="",V40&lt;=0),"",R40/V40-1)</f>
        <v/>
      </c>
      <c r="Y40" s="29">
        <f>IF('历史数据'!Y58="","",'历史数据'!Y58)</f>
        <v/>
      </c>
      <c r="Z40" s="24">
        <f>IF('历史数据'!Z58="","",'历史数据'!Z58/100000000)</f>
        <v/>
      </c>
      <c r="AA40" s="24">
        <f>IF('历史数据'!AA58="","",'历史数据'!AA58/100000000)</f>
        <v/>
      </c>
      <c r="AB40" s="24">
        <f>IF('历史数据'!AB58="","",'历史数据'!AB58/100000000)</f>
        <v/>
      </c>
      <c r="AC40" s="13" t="inlineStr">
        <is>
          <t>近五个交易日资金净额:optional_missing；近一月资金净额（最近22个交易日）:optional_missing</t>
        </is>
      </c>
      <c r="AD40" s="13" t="inlineStr">
        <is>
          <t>SUCCESS</t>
        </is>
      </c>
    </row>
    <row r="41" ht="21" customHeight="1" s="3">
      <c r="A41" s="12" t="inlineStr">
        <is>
          <t>000011</t>
        </is>
      </c>
      <c r="B41" s="13" t="inlineStr">
        <is>
          <t>深物业A</t>
        </is>
      </c>
      <c r="C41" s="25">
        <f>IF('历史数据'!D16="","",'历史数据'!D16)</f>
        <v/>
      </c>
      <c r="D41" s="13">
        <f>IF('历史数据'!E16="","",'历史数据'!E16)</f>
        <v/>
      </c>
      <c r="E41" s="24">
        <f>IF('历史数据'!G16="","",'历史数据'!G16/100000000)</f>
        <v/>
      </c>
      <c r="F41" s="26">
        <f>IF(OR('历史数据'!G16="",'历史数据'!H16&lt;=0),"",'历史数据'!G16/'历史数据'!H16-1)</f>
        <v/>
      </c>
      <c r="G41" s="26">
        <f>IF(OR('历史数据'!G16&lt;=0,'历史数据'!I16&lt;=0),"",POWER('历史数据'!G16/'历史数据'!I16,1/3)-1)</f>
        <v/>
      </c>
      <c r="H41" s="26">
        <f>IF(OR('历史数据'!G16&lt;=0,'历史数据'!J16=""),"",('历史数据'!G16-'历史数据'!J16)/'历史数据'!G16)</f>
        <v/>
      </c>
      <c r="I41" s="27">
        <f>IF(OR(H41="",'历史数据'!H16&lt;=0,'历史数据'!K16=""),"",(H41-('历史数据'!H16-'历史数据'!K16)/'历史数据'!H16)*100)</f>
        <v/>
      </c>
      <c r="J41" s="27">
        <f>IF(OR(H41="",'历史数据'!I16&lt;=0,'历史数据'!L16=""),"",(H41-('历史数据'!I16-'历史数据'!L16)/'历史数据'!I16)*100)</f>
        <v/>
      </c>
      <c r="K41" s="24">
        <f>IF('历史数据'!M16="","",'历史数据'!M16/100000000)</f>
        <v/>
      </c>
      <c r="L41" s="26">
        <f>IF(OR('历史数据'!G16=0,'历史数据'!M16=""),"",'历史数据'!M16/'历史数据'!G16)</f>
        <v/>
      </c>
      <c r="M41" s="26">
        <f>IF(OR('历史数据'!M16="",'历史数据'!N16=0),"",('历史数据'!M16-'历史数据'!N16)/ABS('历史数据'!N16))</f>
        <v/>
      </c>
      <c r="N41" s="26">
        <f>IF(OR('历史数据'!M16&lt;=0,'历史数据'!O16&lt;=0),"",POWER('历史数据'!M16/'历史数据'!O16,1/3)-1)</f>
        <v/>
      </c>
      <c r="O41" s="24">
        <f>IF('历史数据'!P16="","",'历史数据'!P16/100000000)</f>
        <v/>
      </c>
      <c r="P41" s="26">
        <f>IF(OR('历史数据'!P16="",'历史数据'!Q16=0),"",('历史数据'!P16-'历史数据'!Q16)/ABS('历史数据'!Q16))</f>
        <v/>
      </c>
      <c r="Q41" s="26">
        <f>IF(OR('历史数据'!P16&lt;=0,'历史数据'!R16&lt;=0),"",POWER('历史数据'!P16/'历史数据'!R16,1/3)-1)</f>
        <v/>
      </c>
      <c r="R41" s="24">
        <f>IF('历史数据'!S16="","",'历史数据'!S16/100000000)</f>
        <v/>
      </c>
      <c r="S41" s="25">
        <f>IF('历史数据'!T16="","",'历史数据'!T16)</f>
        <v/>
      </c>
      <c r="T41" s="28">
        <f>IF('历史数据'!U16="","",'历史数据'!U16)</f>
        <v/>
      </c>
      <c r="U41" s="28">
        <f>IF('历史数据'!V16="","",'历史数据'!V16/100000000)</f>
        <v/>
      </c>
      <c r="V41" s="24">
        <f>IF('历史数据'!W16="","",'历史数据'!W16/100000000)</f>
        <v/>
      </c>
      <c r="W41" s="28">
        <f>IF('历史数据'!X16="","",'历史数据'!X16)</f>
        <v/>
      </c>
      <c r="X41" s="26">
        <f>IF(OR(R41="",V41&lt;=0),"",R41/V41-1)</f>
        <v/>
      </c>
      <c r="Y41" s="29">
        <f>IF('历史数据'!Y16="","",'历史数据'!Y16)</f>
        <v/>
      </c>
      <c r="Z41" s="24">
        <f>IF('历史数据'!Z16="","",'历史数据'!Z16/100000000)</f>
        <v/>
      </c>
      <c r="AA41" s="24">
        <f>IF('历史数据'!AA16="","",'历史数据'!AA16/100000000)</f>
        <v/>
      </c>
      <c r="AB41" s="24">
        <f>IF('历史数据'!AB16="","",'历史数据'!AB16/100000000)</f>
        <v/>
      </c>
      <c r="AC41" s="13" t="inlineStr">
        <is>
          <t>近五个交易日资金净额:optional_missing；近一月资金净额（最近22个交易日）:optional_missing</t>
        </is>
      </c>
      <c r="AD41" s="13" t="inlineStr">
        <is>
          <t>SUCCESS</t>
        </is>
      </c>
    </row>
    <row r="42" ht="21" customHeight="1" s="3">
      <c r="A42" s="12" t="inlineStr">
        <is>
          <t>000008</t>
        </is>
      </c>
      <c r="B42" s="13" t="inlineStr">
        <is>
          <t>神州高铁</t>
        </is>
      </c>
      <c r="C42" s="25">
        <f>IF('历史数据'!D10="","",'历史数据'!D10)</f>
        <v/>
      </c>
      <c r="D42" s="13">
        <f>IF('历史数据'!E10="","",'历史数据'!E10)</f>
        <v/>
      </c>
      <c r="E42" s="24">
        <f>IF('历史数据'!G10="","",'历史数据'!G10/100000000)</f>
        <v/>
      </c>
      <c r="F42" s="26">
        <f>IF(OR('历史数据'!G10="",'历史数据'!H10&lt;=0),"",'历史数据'!G10/'历史数据'!H10-1)</f>
        <v/>
      </c>
      <c r="G42" s="26">
        <f>IF(OR('历史数据'!G10&lt;=0,'历史数据'!I10&lt;=0),"",POWER('历史数据'!G10/'历史数据'!I10,1/3)-1)</f>
        <v/>
      </c>
      <c r="H42" s="26">
        <f>IF(OR('历史数据'!G10&lt;=0,'历史数据'!J10=""),"",('历史数据'!G10-'历史数据'!J10)/'历史数据'!G10)</f>
        <v/>
      </c>
      <c r="I42" s="27">
        <f>IF(OR(H42="",'历史数据'!H10&lt;=0,'历史数据'!K10=""),"",(H42-('历史数据'!H10-'历史数据'!K10)/'历史数据'!H10)*100)</f>
        <v/>
      </c>
      <c r="J42" s="27">
        <f>IF(OR(H42="",'历史数据'!I10&lt;=0,'历史数据'!L10=""),"",(H42-('历史数据'!I10-'历史数据'!L10)/'历史数据'!I10)*100)</f>
        <v/>
      </c>
      <c r="K42" s="24">
        <f>IF('历史数据'!M10="","",'历史数据'!M10/100000000)</f>
        <v/>
      </c>
      <c r="L42" s="26">
        <f>IF(OR('历史数据'!G10=0,'历史数据'!M10=""),"",'历史数据'!M10/'历史数据'!G10)</f>
        <v/>
      </c>
      <c r="M42" s="26">
        <f>IF(OR('历史数据'!M10="",'历史数据'!N10=0),"",('历史数据'!M10-'历史数据'!N10)/ABS('历史数据'!N10))</f>
        <v/>
      </c>
      <c r="N42" s="26">
        <f>IF(OR('历史数据'!M10&lt;=0,'历史数据'!O10&lt;=0),"",POWER('历史数据'!M10/'历史数据'!O10,1/3)-1)</f>
        <v/>
      </c>
      <c r="O42" s="24">
        <f>IF('历史数据'!P10="","",'历史数据'!P10/100000000)</f>
        <v/>
      </c>
      <c r="P42" s="26">
        <f>IF(OR('历史数据'!P10="",'历史数据'!Q10=0),"",('历史数据'!P10-'历史数据'!Q10)/ABS('历史数据'!Q10))</f>
        <v/>
      </c>
      <c r="Q42" s="26">
        <f>IF(OR('历史数据'!P10&lt;=0,'历史数据'!R10&lt;=0),"",POWER('历史数据'!P10/'历史数据'!R10,1/3)-1)</f>
        <v/>
      </c>
      <c r="R42" s="24">
        <f>IF('历史数据'!S10="","",'历史数据'!S10/100000000)</f>
        <v/>
      </c>
      <c r="S42" s="25">
        <f>IF('历史数据'!T10="","",'历史数据'!T10)</f>
        <v/>
      </c>
      <c r="T42" s="28">
        <f>IF('历史数据'!U10="","",'历史数据'!U10)</f>
        <v/>
      </c>
      <c r="U42" s="28">
        <f>IF('历史数据'!V10="","",'历史数据'!V10/100000000)</f>
        <v/>
      </c>
      <c r="V42" s="24">
        <f>IF('历史数据'!W10="","",'历史数据'!W10/100000000)</f>
        <v/>
      </c>
      <c r="W42" s="28">
        <f>IF('历史数据'!X10="","",'历史数据'!X10)</f>
        <v/>
      </c>
      <c r="X42" s="26">
        <f>IF(OR(R42="",V42&lt;=0),"",R42/V42-1)</f>
        <v/>
      </c>
      <c r="Y42" s="29">
        <f>IF('历史数据'!Y10="","",'历史数据'!Y10)</f>
        <v/>
      </c>
      <c r="Z42" s="24">
        <f>IF('历史数据'!Z10="","",'历史数据'!Z10/100000000)</f>
        <v/>
      </c>
      <c r="AA42" s="24">
        <f>IF('历史数据'!AA10="","",'历史数据'!AA10/100000000)</f>
        <v/>
      </c>
      <c r="AB42" s="24">
        <f>IF('历史数据'!AB10="","",'历史数据'!AB10/100000000)</f>
        <v/>
      </c>
      <c r="AC42" s="13" t="inlineStr">
        <is>
          <t>近五个交易日资金净额:optional_missing；近一月资金净额（最近22个交易日）:optional_missing</t>
        </is>
      </c>
      <c r="AD42" s="13" t="inlineStr">
        <is>
          <t>SUCCESS</t>
        </is>
      </c>
    </row>
    <row r="43" ht="21" customHeight="1" s="3">
      <c r="A43" s="12" t="inlineStr">
        <is>
          <t>000058</t>
        </is>
      </c>
      <c r="B43" s="13" t="inlineStr">
        <is>
          <t>深赛格</t>
        </is>
      </c>
      <c r="C43" s="25">
        <f>IF('历史数据'!D72="","",'历史数据'!D72)</f>
        <v/>
      </c>
      <c r="D43" s="13">
        <f>IF('历史数据'!E72="","",'历史数据'!E72)</f>
        <v/>
      </c>
      <c r="E43" s="24">
        <f>IF('历史数据'!G72="","",'历史数据'!G72/100000000)</f>
        <v/>
      </c>
      <c r="F43" s="26">
        <f>IF(OR('历史数据'!G72="",'历史数据'!H72&lt;=0),"",'历史数据'!G72/'历史数据'!H72-1)</f>
        <v/>
      </c>
      <c r="G43" s="26">
        <f>IF(OR('历史数据'!G72&lt;=0,'历史数据'!I72&lt;=0),"",POWER('历史数据'!G72/'历史数据'!I72,1/3)-1)</f>
        <v/>
      </c>
      <c r="H43" s="26">
        <f>IF(OR('历史数据'!G72&lt;=0,'历史数据'!J72=""),"",('历史数据'!G72-'历史数据'!J72)/'历史数据'!G72)</f>
        <v/>
      </c>
      <c r="I43" s="27">
        <f>IF(OR(H43="",'历史数据'!H72&lt;=0,'历史数据'!K72=""),"",(H43-('历史数据'!H72-'历史数据'!K72)/'历史数据'!H72)*100)</f>
        <v/>
      </c>
      <c r="J43" s="27">
        <f>IF(OR(H43="",'历史数据'!I72&lt;=0,'历史数据'!L72=""),"",(H43-('历史数据'!I72-'历史数据'!L72)/'历史数据'!I72)*100)</f>
        <v/>
      </c>
      <c r="K43" s="24">
        <f>IF('历史数据'!M72="","",'历史数据'!M72/100000000)</f>
        <v/>
      </c>
      <c r="L43" s="26">
        <f>IF(OR('历史数据'!G72=0,'历史数据'!M72=""),"",'历史数据'!M72/'历史数据'!G72)</f>
        <v/>
      </c>
      <c r="M43" s="26">
        <f>IF(OR('历史数据'!M72="",'历史数据'!N72=0),"",('历史数据'!M72-'历史数据'!N72)/ABS('历史数据'!N72))</f>
        <v/>
      </c>
      <c r="N43" s="26">
        <f>IF(OR('历史数据'!M72&lt;=0,'历史数据'!O72&lt;=0),"",POWER('历史数据'!M72/'历史数据'!O72,1/3)-1)</f>
        <v/>
      </c>
      <c r="O43" s="24">
        <f>IF('历史数据'!P72="","",'历史数据'!P72/100000000)</f>
        <v/>
      </c>
      <c r="P43" s="26">
        <f>IF(OR('历史数据'!P72="",'历史数据'!Q72=0),"",('历史数据'!P72-'历史数据'!Q72)/ABS('历史数据'!Q72))</f>
        <v/>
      </c>
      <c r="Q43" s="26">
        <f>IF(OR('历史数据'!P72&lt;=0,'历史数据'!R72&lt;=0),"",POWER('历史数据'!P72/'历史数据'!R72,1/3)-1)</f>
        <v/>
      </c>
      <c r="R43" s="24">
        <f>IF('历史数据'!S72="","",'历史数据'!S72/100000000)</f>
        <v/>
      </c>
      <c r="S43" s="25">
        <f>IF('历史数据'!T72="","",'历史数据'!T72)</f>
        <v/>
      </c>
      <c r="T43" s="28">
        <f>IF('历史数据'!U72="","",'历史数据'!U72)</f>
        <v/>
      </c>
      <c r="U43" s="28">
        <f>IF('历史数据'!V72="","",'历史数据'!V72/100000000)</f>
        <v/>
      </c>
      <c r="V43" s="24">
        <f>IF('历史数据'!W72="","",'历史数据'!W72/100000000)</f>
        <v/>
      </c>
      <c r="W43" s="28">
        <f>IF('历史数据'!X72="","",'历史数据'!X72)</f>
        <v/>
      </c>
      <c r="X43" s="26">
        <f>IF(OR(R43="",V43&lt;=0),"",R43/V43-1)</f>
        <v/>
      </c>
      <c r="Y43" s="29">
        <f>IF('历史数据'!Y72="","",'历史数据'!Y72)</f>
        <v/>
      </c>
      <c r="Z43" s="24">
        <f>IF('历史数据'!Z72="","",'历史数据'!Z72/100000000)</f>
        <v/>
      </c>
      <c r="AA43" s="24">
        <f>IF('历史数据'!AA72="","",'历史数据'!AA72/100000000)</f>
        <v/>
      </c>
      <c r="AB43" s="24">
        <f>IF('历史数据'!AB72="","",'历史数据'!AB72/100000000)</f>
        <v/>
      </c>
      <c r="AC43" s="13" t="inlineStr">
        <is>
          <t>近五个交易日资金净额:optional_missing；近一月资金净额（最近22个交易日）:optional_missing</t>
        </is>
      </c>
      <c r="AD43" s="13" t="inlineStr">
        <is>
          <t>SUCCESS</t>
        </is>
      </c>
    </row>
    <row r="44" ht="21" customHeight="1" s="3">
      <c r="A44" s="12" t="inlineStr">
        <is>
          <t>000029</t>
        </is>
      </c>
      <c r="B44" s="13" t="inlineStr">
        <is>
          <t>深深房Ａ</t>
        </is>
      </c>
      <c r="C44" s="25">
        <f>IF('历史数据'!D40="","",'历史数据'!D40)</f>
        <v/>
      </c>
      <c r="D44" s="13">
        <f>IF('历史数据'!E40="","",'历史数据'!E40)</f>
        <v/>
      </c>
      <c r="E44" s="24">
        <f>IF('历史数据'!G40="","",'历史数据'!G40/100000000)</f>
        <v/>
      </c>
      <c r="F44" s="26">
        <f>IF(OR('历史数据'!G40="",'历史数据'!H40&lt;=0),"",'历史数据'!G40/'历史数据'!H40-1)</f>
        <v/>
      </c>
      <c r="G44" s="26">
        <f>IF(OR('历史数据'!G40&lt;=0,'历史数据'!I40&lt;=0),"",POWER('历史数据'!G40/'历史数据'!I40,1/3)-1)</f>
        <v/>
      </c>
      <c r="H44" s="26">
        <f>IF(OR('历史数据'!G40&lt;=0,'历史数据'!J40=""),"",('历史数据'!G40-'历史数据'!J40)/'历史数据'!G40)</f>
        <v/>
      </c>
      <c r="I44" s="27">
        <f>IF(OR(H44="",'历史数据'!H40&lt;=0,'历史数据'!K40=""),"",(H44-('历史数据'!H40-'历史数据'!K40)/'历史数据'!H40)*100)</f>
        <v/>
      </c>
      <c r="J44" s="27">
        <f>IF(OR(H44="",'历史数据'!I40&lt;=0,'历史数据'!L40=""),"",(H44-('历史数据'!I40-'历史数据'!L40)/'历史数据'!I40)*100)</f>
        <v/>
      </c>
      <c r="K44" s="24">
        <f>IF('历史数据'!M40="","",'历史数据'!M40/100000000)</f>
        <v/>
      </c>
      <c r="L44" s="26">
        <f>IF(OR('历史数据'!G40=0,'历史数据'!M40=""),"",'历史数据'!M40/'历史数据'!G40)</f>
        <v/>
      </c>
      <c r="M44" s="26">
        <f>IF(OR('历史数据'!M40="",'历史数据'!N40=0),"",('历史数据'!M40-'历史数据'!N40)/ABS('历史数据'!N40))</f>
        <v/>
      </c>
      <c r="N44" s="26">
        <f>IF(OR('历史数据'!M40&lt;=0,'历史数据'!O40&lt;=0),"",POWER('历史数据'!M40/'历史数据'!O40,1/3)-1)</f>
        <v/>
      </c>
      <c r="O44" s="24">
        <f>IF('历史数据'!P40="","",'历史数据'!P40/100000000)</f>
        <v/>
      </c>
      <c r="P44" s="26">
        <f>IF(OR('历史数据'!P40="",'历史数据'!Q40=0),"",('历史数据'!P40-'历史数据'!Q40)/ABS('历史数据'!Q40))</f>
        <v/>
      </c>
      <c r="Q44" s="26">
        <f>IF(OR('历史数据'!P40&lt;=0,'历史数据'!R40&lt;=0),"",POWER('历史数据'!P40/'历史数据'!R40,1/3)-1)</f>
        <v/>
      </c>
      <c r="R44" s="24">
        <f>IF('历史数据'!S40="","",'历史数据'!S40/100000000)</f>
        <v/>
      </c>
      <c r="S44" s="25">
        <f>IF('历史数据'!T40="","",'历史数据'!T40)</f>
        <v/>
      </c>
      <c r="T44" s="28">
        <f>IF('历史数据'!U40="","",'历史数据'!U40)</f>
        <v/>
      </c>
      <c r="U44" s="28">
        <f>IF('历史数据'!V40="","",'历史数据'!V40/100000000)</f>
        <v/>
      </c>
      <c r="V44" s="24">
        <f>IF('历史数据'!W40="","",'历史数据'!W40/100000000)</f>
        <v/>
      </c>
      <c r="W44" s="28">
        <f>IF('历史数据'!X40="","",'历史数据'!X40)</f>
        <v/>
      </c>
      <c r="X44" s="26">
        <f>IF(OR(R44="",V44&lt;=0),"",R44/V44-1)</f>
        <v/>
      </c>
      <c r="Y44" s="29">
        <f>IF('历史数据'!Y40="","",'历史数据'!Y40)</f>
        <v/>
      </c>
      <c r="Z44" s="24">
        <f>IF('历史数据'!Z40="","",'历史数据'!Z40/100000000)</f>
        <v/>
      </c>
      <c r="AA44" s="24">
        <f>IF('历史数据'!AA40="","",'历史数据'!AA40/100000000)</f>
        <v/>
      </c>
      <c r="AB44" s="24">
        <f>IF('历史数据'!AB40="","",'历史数据'!AB40/100000000)</f>
        <v/>
      </c>
      <c r="AC44" s="13" t="inlineStr">
        <is>
          <t>近五个交易日资金净额:optional_missing；近一月资金净额（最近22个交易日）:optional_missing</t>
        </is>
      </c>
      <c r="AD44" s="13" t="inlineStr">
        <is>
          <t>SUCCESS</t>
        </is>
      </c>
    </row>
    <row r="45" ht="21" customHeight="1" s="3">
      <c r="A45" s="12" t="inlineStr">
        <is>
          <t>000025</t>
        </is>
      </c>
      <c r="B45" s="13" t="inlineStr">
        <is>
          <t>特力Ａ</t>
        </is>
      </c>
      <c r="C45" s="25">
        <f>IF('历史数据'!D32="","",'历史数据'!D32)</f>
        <v/>
      </c>
      <c r="D45" s="13">
        <f>IF('历史数据'!E32="","",'历史数据'!E32)</f>
        <v/>
      </c>
      <c r="E45" s="24">
        <f>IF('历史数据'!G32="","",'历史数据'!G32/100000000)</f>
        <v/>
      </c>
      <c r="F45" s="26">
        <f>IF(OR('历史数据'!G32="",'历史数据'!H32&lt;=0),"",'历史数据'!G32/'历史数据'!H32-1)</f>
        <v/>
      </c>
      <c r="G45" s="26">
        <f>IF(OR('历史数据'!G32&lt;=0,'历史数据'!I32&lt;=0),"",POWER('历史数据'!G32/'历史数据'!I32,1/3)-1)</f>
        <v/>
      </c>
      <c r="H45" s="26">
        <f>IF(OR('历史数据'!G32&lt;=0,'历史数据'!J32=""),"",('历史数据'!G32-'历史数据'!J32)/'历史数据'!G32)</f>
        <v/>
      </c>
      <c r="I45" s="27">
        <f>IF(OR(H45="",'历史数据'!H32&lt;=0,'历史数据'!K32=""),"",(H45-('历史数据'!H32-'历史数据'!K32)/'历史数据'!H32)*100)</f>
        <v/>
      </c>
      <c r="J45" s="27">
        <f>IF(OR(H45="",'历史数据'!I32&lt;=0,'历史数据'!L32=""),"",(H45-('历史数据'!I32-'历史数据'!L32)/'历史数据'!I32)*100)</f>
        <v/>
      </c>
      <c r="K45" s="24">
        <f>IF('历史数据'!M32="","",'历史数据'!M32/100000000)</f>
        <v/>
      </c>
      <c r="L45" s="26">
        <f>IF(OR('历史数据'!G32=0,'历史数据'!M32=""),"",'历史数据'!M32/'历史数据'!G32)</f>
        <v/>
      </c>
      <c r="M45" s="26">
        <f>IF(OR('历史数据'!M32="",'历史数据'!N32=0),"",('历史数据'!M32-'历史数据'!N32)/ABS('历史数据'!N32))</f>
        <v/>
      </c>
      <c r="N45" s="26">
        <f>IF(OR('历史数据'!M32&lt;=0,'历史数据'!O32&lt;=0),"",POWER('历史数据'!M32/'历史数据'!O32,1/3)-1)</f>
        <v/>
      </c>
      <c r="O45" s="24">
        <f>IF('历史数据'!P32="","",'历史数据'!P32/100000000)</f>
        <v/>
      </c>
      <c r="P45" s="26">
        <f>IF(OR('历史数据'!P32="",'历史数据'!Q32=0),"",('历史数据'!P32-'历史数据'!Q32)/ABS('历史数据'!Q32))</f>
        <v/>
      </c>
      <c r="Q45" s="26">
        <f>IF(OR('历史数据'!P32&lt;=0,'历史数据'!R32&lt;=0),"",POWER('历史数据'!P32/'历史数据'!R32,1/3)-1)</f>
        <v/>
      </c>
      <c r="R45" s="24">
        <f>IF('历史数据'!S32="","",'历史数据'!S32/100000000)</f>
        <v/>
      </c>
      <c r="S45" s="25">
        <f>IF('历史数据'!T32="","",'历史数据'!T32)</f>
        <v/>
      </c>
      <c r="T45" s="28">
        <f>IF('历史数据'!U32="","",'历史数据'!U32)</f>
        <v/>
      </c>
      <c r="U45" s="28">
        <f>IF('历史数据'!V32="","",'历史数据'!V32/100000000)</f>
        <v/>
      </c>
      <c r="V45" s="24">
        <f>IF('历史数据'!W32="","",'历史数据'!W32/100000000)</f>
        <v/>
      </c>
      <c r="W45" s="28">
        <f>IF('历史数据'!X32="","",'历史数据'!X32)</f>
        <v/>
      </c>
      <c r="X45" s="26">
        <f>IF(OR(R45="",V45&lt;=0),"",R45/V45-1)</f>
        <v/>
      </c>
      <c r="Y45" s="29">
        <f>IF('历史数据'!Y32="","",'历史数据'!Y32)</f>
        <v/>
      </c>
      <c r="Z45" s="24">
        <f>IF('历史数据'!Z32="","",'历史数据'!Z32/100000000)</f>
        <v/>
      </c>
      <c r="AA45" s="24">
        <f>IF('历史数据'!AA32="","",'历史数据'!AA32/100000000)</f>
        <v/>
      </c>
      <c r="AB45" s="24">
        <f>IF('历史数据'!AB32="","",'历史数据'!AB32/100000000)</f>
        <v/>
      </c>
      <c r="AC45" s="13" t="inlineStr">
        <is>
          <t>近五个交易日资金净额:optional_missing；近一月资金净额（最近22个交易日）:optional_missing</t>
        </is>
      </c>
      <c r="AD45" s="13" t="inlineStr">
        <is>
          <t>SUCCESS</t>
        </is>
      </c>
    </row>
    <row r="46" ht="21" customHeight="1" s="3">
      <c r="A46" s="12" t="inlineStr">
        <is>
          <t>000088</t>
        </is>
      </c>
      <c r="B46" s="13" t="inlineStr">
        <is>
          <t>盐田港</t>
        </is>
      </c>
      <c r="C46" s="25">
        <f>IF('历史数据'!D96="","",'历史数据'!D96)</f>
        <v/>
      </c>
      <c r="D46" s="13">
        <f>IF('历史数据'!E96="","",'历史数据'!E96)</f>
        <v/>
      </c>
      <c r="E46" s="24">
        <f>IF('历史数据'!G96="","",'历史数据'!G96/100000000)</f>
        <v/>
      </c>
      <c r="F46" s="26">
        <f>IF(OR('历史数据'!G96="",'历史数据'!H96&lt;=0),"",'历史数据'!G96/'历史数据'!H96-1)</f>
        <v/>
      </c>
      <c r="G46" s="26">
        <f>IF(OR('历史数据'!G96&lt;=0,'历史数据'!I96&lt;=0),"",POWER('历史数据'!G96/'历史数据'!I96,1/3)-1)</f>
        <v/>
      </c>
      <c r="H46" s="26">
        <f>IF(OR('历史数据'!G96&lt;=0,'历史数据'!J96=""),"",('历史数据'!G96-'历史数据'!J96)/'历史数据'!G96)</f>
        <v/>
      </c>
      <c r="I46" s="27">
        <f>IF(OR(H46="",'历史数据'!H96&lt;=0,'历史数据'!K96=""),"",(H46-('历史数据'!H96-'历史数据'!K96)/'历史数据'!H96)*100)</f>
        <v/>
      </c>
      <c r="J46" s="27">
        <f>IF(OR(H46="",'历史数据'!I96&lt;=0,'历史数据'!L96=""),"",(H46-('历史数据'!I96-'历史数据'!L96)/'历史数据'!I96)*100)</f>
        <v/>
      </c>
      <c r="K46" s="24">
        <f>IF('历史数据'!M96="","",'历史数据'!M96/100000000)</f>
        <v/>
      </c>
      <c r="L46" s="26">
        <f>IF(OR('历史数据'!G96=0,'历史数据'!M96=""),"",'历史数据'!M96/'历史数据'!G96)</f>
        <v/>
      </c>
      <c r="M46" s="26">
        <f>IF(OR('历史数据'!M96="",'历史数据'!N96=0),"",('历史数据'!M96-'历史数据'!N96)/ABS('历史数据'!N96))</f>
        <v/>
      </c>
      <c r="N46" s="26">
        <f>IF(OR('历史数据'!M96&lt;=0,'历史数据'!O96&lt;=0),"",POWER('历史数据'!M96/'历史数据'!O96,1/3)-1)</f>
        <v/>
      </c>
      <c r="O46" s="24">
        <f>IF('历史数据'!P96="","",'历史数据'!P96/100000000)</f>
        <v/>
      </c>
      <c r="P46" s="26">
        <f>IF(OR('历史数据'!P96="",'历史数据'!Q96=0),"",('历史数据'!P96-'历史数据'!Q96)/ABS('历史数据'!Q96))</f>
        <v/>
      </c>
      <c r="Q46" s="26">
        <f>IF(OR('历史数据'!P96&lt;=0,'历史数据'!R96&lt;=0),"",POWER('历史数据'!P96/'历史数据'!R96,1/3)-1)</f>
        <v/>
      </c>
      <c r="R46" s="24">
        <f>IF('历史数据'!S96="","",'历史数据'!S96/100000000)</f>
        <v/>
      </c>
      <c r="S46" s="25">
        <f>IF('历史数据'!T96="","",'历史数据'!T96)</f>
        <v/>
      </c>
      <c r="T46" s="28">
        <f>IF('历史数据'!U96="","",'历史数据'!U96)</f>
        <v/>
      </c>
      <c r="U46" s="28">
        <f>IF('历史数据'!V96="","",'历史数据'!V96/100000000)</f>
        <v/>
      </c>
      <c r="V46" s="24">
        <f>IF('历史数据'!W96="","",'历史数据'!W96/100000000)</f>
        <v/>
      </c>
      <c r="W46" s="28">
        <f>IF('历史数据'!X96="","",'历史数据'!X96)</f>
        <v/>
      </c>
      <c r="X46" s="26">
        <f>IF(OR(R46="",V46&lt;=0),"",R46/V46-1)</f>
        <v/>
      </c>
      <c r="Y46" s="29">
        <f>IF('历史数据'!Y96="","",'历史数据'!Y96)</f>
        <v/>
      </c>
      <c r="Z46" s="24">
        <f>IF('历史数据'!Z96="","",'历史数据'!Z96/100000000)</f>
        <v/>
      </c>
      <c r="AA46" s="24">
        <f>IF('历史数据'!AA96="","",'历史数据'!AA96/100000000)</f>
        <v/>
      </c>
      <c r="AB46" s="24">
        <f>IF('历史数据'!AB96="","",'历史数据'!AB96/100000000)</f>
        <v/>
      </c>
      <c r="AC46" s="13" t="inlineStr">
        <is>
          <t>近五个交易日资金净额:optional_missing；近一月资金净额（最近22个交易日）:optional_missing</t>
        </is>
      </c>
      <c r="AD46" s="13" t="inlineStr">
        <is>
          <t>SUCCESS</t>
        </is>
      </c>
    </row>
    <row r="47" ht="21" customHeight="1" s="3">
      <c r="A47" s="12" t="inlineStr">
        <is>
          <t>000020</t>
        </is>
      </c>
      <c r="B47" s="13" t="inlineStr">
        <is>
          <t>深华发Ａ</t>
        </is>
      </c>
      <c r="C47" s="25">
        <f>IF('历史数据'!D28="","",'历史数据'!D28)</f>
        <v/>
      </c>
      <c r="D47" s="13">
        <f>IF('历史数据'!E28="","",'历史数据'!E28)</f>
        <v/>
      </c>
      <c r="E47" s="24">
        <f>IF('历史数据'!G28="","",'历史数据'!G28/100000000)</f>
        <v/>
      </c>
      <c r="F47" s="26">
        <f>IF(OR('历史数据'!G28="",'历史数据'!H28&lt;=0),"",'历史数据'!G28/'历史数据'!H28-1)</f>
        <v/>
      </c>
      <c r="G47" s="26">
        <f>IF(OR('历史数据'!G28&lt;=0,'历史数据'!I28&lt;=0),"",POWER('历史数据'!G28/'历史数据'!I28,1/3)-1)</f>
        <v/>
      </c>
      <c r="H47" s="26">
        <f>IF(OR('历史数据'!G28&lt;=0,'历史数据'!J28=""),"",('历史数据'!G28-'历史数据'!J28)/'历史数据'!G28)</f>
        <v/>
      </c>
      <c r="I47" s="27">
        <f>IF(OR(H47="",'历史数据'!H28&lt;=0,'历史数据'!K28=""),"",(H47-('历史数据'!H28-'历史数据'!K28)/'历史数据'!H28)*100)</f>
        <v/>
      </c>
      <c r="J47" s="27">
        <f>IF(OR(H47="",'历史数据'!I28&lt;=0,'历史数据'!L28=""),"",(H47-('历史数据'!I28-'历史数据'!L28)/'历史数据'!I28)*100)</f>
        <v/>
      </c>
      <c r="K47" s="24">
        <f>IF('历史数据'!M28="","",'历史数据'!M28/100000000)</f>
        <v/>
      </c>
      <c r="L47" s="26">
        <f>IF(OR('历史数据'!G28=0,'历史数据'!M28=""),"",'历史数据'!M28/'历史数据'!G28)</f>
        <v/>
      </c>
      <c r="M47" s="26">
        <f>IF(OR('历史数据'!M28="",'历史数据'!N28=0),"",('历史数据'!M28-'历史数据'!N28)/ABS('历史数据'!N28))</f>
        <v/>
      </c>
      <c r="N47" s="26">
        <f>IF(OR('历史数据'!M28&lt;=0,'历史数据'!O28&lt;=0),"",POWER('历史数据'!M28/'历史数据'!O28,1/3)-1)</f>
        <v/>
      </c>
      <c r="O47" s="24">
        <f>IF('历史数据'!P28="","",'历史数据'!P28/100000000)</f>
        <v/>
      </c>
      <c r="P47" s="26">
        <f>IF(OR('历史数据'!P28="",'历史数据'!Q28=0),"",('历史数据'!P28-'历史数据'!Q28)/ABS('历史数据'!Q28))</f>
        <v/>
      </c>
      <c r="Q47" s="26">
        <f>IF(OR('历史数据'!P28&lt;=0,'历史数据'!R28&lt;=0),"",POWER('历史数据'!P28/'历史数据'!R28,1/3)-1)</f>
        <v/>
      </c>
      <c r="R47" s="24">
        <f>IF('历史数据'!S28="","",'历史数据'!S28/100000000)</f>
        <v/>
      </c>
      <c r="S47" s="25">
        <f>IF('历史数据'!T28="","",'历史数据'!T28)</f>
        <v/>
      </c>
      <c r="T47" s="28">
        <f>IF('历史数据'!U28="","",'历史数据'!U28)</f>
        <v/>
      </c>
      <c r="U47" s="28">
        <f>IF('历史数据'!V28="","",'历史数据'!V28/100000000)</f>
        <v/>
      </c>
      <c r="V47" s="24">
        <f>IF('历史数据'!W28="","",'历史数据'!W28/100000000)</f>
        <v/>
      </c>
      <c r="W47" s="28">
        <f>IF('历史数据'!X28="","",'历史数据'!X28)</f>
        <v/>
      </c>
      <c r="X47" s="26">
        <f>IF(OR(R47="",V47&lt;=0),"",R47/V47-1)</f>
        <v/>
      </c>
      <c r="Y47" s="29">
        <f>IF('历史数据'!Y28="","",'历史数据'!Y28)</f>
        <v/>
      </c>
      <c r="Z47" s="24">
        <f>IF('历史数据'!Z28="","",'历史数据'!Z28/100000000)</f>
        <v/>
      </c>
      <c r="AA47" s="24">
        <f>IF('历史数据'!AA28="","",'历史数据'!AA28/100000000)</f>
        <v/>
      </c>
      <c r="AB47" s="24">
        <f>IF('历史数据'!AB28="","",'历史数据'!AB28/100000000)</f>
        <v/>
      </c>
      <c r="AC47" s="13" t="inlineStr">
        <is>
          <t>近五个交易日资金净额:optional_missing；近一月资金净额（最近22个交易日）:optional_missing</t>
        </is>
      </c>
      <c r="AD47" s="13" t="inlineStr">
        <is>
          <t>SUCCESS</t>
        </is>
      </c>
    </row>
    <row r="48" ht="21" customHeight="1" s="3">
      <c r="A48" s="12" t="inlineStr">
        <is>
          <t>000068</t>
        </is>
      </c>
      <c r="B48" s="13" t="inlineStr">
        <is>
          <t>华控赛格</t>
        </is>
      </c>
      <c r="C48" s="25">
        <f>IF('历史数据'!D88="","",'历史数据'!D88)</f>
        <v/>
      </c>
      <c r="D48" s="13">
        <f>IF('历史数据'!E88="","",'历史数据'!E88)</f>
        <v/>
      </c>
      <c r="E48" s="24">
        <f>IF('历史数据'!G88="","",'历史数据'!G88/100000000)</f>
        <v/>
      </c>
      <c r="F48" s="26">
        <f>IF(OR('历史数据'!G88="",'历史数据'!H88&lt;=0),"",'历史数据'!G88/'历史数据'!H88-1)</f>
        <v/>
      </c>
      <c r="G48" s="26">
        <f>IF(OR('历史数据'!G88&lt;=0,'历史数据'!I88&lt;=0),"",POWER('历史数据'!G88/'历史数据'!I88,1/3)-1)</f>
        <v/>
      </c>
      <c r="H48" s="26">
        <f>IF(OR('历史数据'!G88&lt;=0,'历史数据'!J88=""),"",('历史数据'!G88-'历史数据'!J88)/'历史数据'!G88)</f>
        <v/>
      </c>
      <c r="I48" s="27">
        <f>IF(OR(H48="",'历史数据'!H88&lt;=0,'历史数据'!K88=""),"",(H48-('历史数据'!H88-'历史数据'!K88)/'历史数据'!H88)*100)</f>
        <v/>
      </c>
      <c r="J48" s="27">
        <f>IF(OR(H48="",'历史数据'!I88&lt;=0,'历史数据'!L88=""),"",(H48-('历史数据'!I88-'历史数据'!L88)/'历史数据'!I88)*100)</f>
        <v/>
      </c>
      <c r="K48" s="24">
        <f>IF('历史数据'!M88="","",'历史数据'!M88/100000000)</f>
        <v/>
      </c>
      <c r="L48" s="26">
        <f>IF(OR('历史数据'!G88=0,'历史数据'!M88=""),"",'历史数据'!M88/'历史数据'!G88)</f>
        <v/>
      </c>
      <c r="M48" s="26">
        <f>IF(OR('历史数据'!M88="",'历史数据'!N88=0),"",('历史数据'!M88-'历史数据'!N88)/ABS('历史数据'!N88))</f>
        <v/>
      </c>
      <c r="N48" s="26">
        <f>IF(OR('历史数据'!M88&lt;=0,'历史数据'!O88&lt;=0),"",POWER('历史数据'!M88/'历史数据'!O88,1/3)-1)</f>
        <v/>
      </c>
      <c r="O48" s="24">
        <f>IF('历史数据'!P88="","",'历史数据'!P88/100000000)</f>
        <v/>
      </c>
      <c r="P48" s="26">
        <f>IF(OR('历史数据'!P88="",'历史数据'!Q88=0),"",('历史数据'!P88-'历史数据'!Q88)/ABS('历史数据'!Q88))</f>
        <v/>
      </c>
      <c r="Q48" s="26">
        <f>IF(OR('历史数据'!P88&lt;=0,'历史数据'!R88&lt;=0),"",POWER('历史数据'!P88/'历史数据'!R88,1/3)-1)</f>
        <v/>
      </c>
      <c r="R48" s="24">
        <f>IF('历史数据'!S88="","",'历史数据'!S88/100000000)</f>
        <v/>
      </c>
      <c r="S48" s="25">
        <f>IF('历史数据'!T88="","",'历史数据'!T88)</f>
        <v/>
      </c>
      <c r="T48" s="28">
        <f>IF('历史数据'!U88="","",'历史数据'!U88)</f>
        <v/>
      </c>
      <c r="U48" s="28">
        <f>IF('历史数据'!V88="","",'历史数据'!V88/100000000)</f>
        <v/>
      </c>
      <c r="V48" s="24">
        <f>IF('历史数据'!W88="","",'历史数据'!W88/100000000)</f>
        <v/>
      </c>
      <c r="W48" s="28">
        <f>IF('历史数据'!X88="","",'历史数据'!X88)</f>
        <v/>
      </c>
      <c r="X48" s="26">
        <f>IF(OR(R48="",V48&lt;=0),"",R48/V48-1)</f>
        <v/>
      </c>
      <c r="Y48" s="29">
        <f>IF('历史数据'!Y88="","",'历史数据'!Y88)</f>
        <v/>
      </c>
      <c r="Z48" s="24">
        <f>IF('历史数据'!Z88="","",'历史数据'!Z88/100000000)</f>
        <v/>
      </c>
      <c r="AA48" s="24">
        <f>IF('历史数据'!AA88="","",'历史数据'!AA88/100000000)</f>
        <v/>
      </c>
      <c r="AB48" s="24">
        <f>IF('历史数据'!AB88="","",'历史数据'!AB88/100000000)</f>
        <v/>
      </c>
      <c r="AC48" s="13" t="inlineStr">
        <is>
          <t>近五个交易日资金净额:optional_missing；近一月资金净额（最近22个交易日）:optional_missing</t>
        </is>
      </c>
      <c r="AD48" s="13" t="inlineStr">
        <is>
          <t>SUCCESS</t>
        </is>
      </c>
    </row>
    <row r="49" ht="21" customHeight="1" s="3">
      <c r="A49" s="12" t="inlineStr">
        <is>
          <t>000017</t>
        </is>
      </c>
      <c r="B49" s="13" t="inlineStr">
        <is>
          <t>深中华A</t>
        </is>
      </c>
      <c r="C49" s="25">
        <f>IF('历史数据'!D24="","",'历史数据'!D24)</f>
        <v/>
      </c>
      <c r="D49" s="13">
        <f>IF('历史数据'!E24="","",'历史数据'!E24)</f>
        <v/>
      </c>
      <c r="E49" s="24">
        <f>IF('历史数据'!G24="","",'历史数据'!G24/100000000)</f>
        <v/>
      </c>
      <c r="F49" s="26">
        <f>IF(OR('历史数据'!G24="",'历史数据'!H24&lt;=0),"",'历史数据'!G24/'历史数据'!H24-1)</f>
        <v/>
      </c>
      <c r="G49" s="26">
        <f>IF(OR('历史数据'!G24&lt;=0,'历史数据'!I24&lt;=0),"",POWER('历史数据'!G24/'历史数据'!I24,1/3)-1)</f>
        <v/>
      </c>
      <c r="H49" s="26">
        <f>IF(OR('历史数据'!G24&lt;=0,'历史数据'!J24=""),"",('历史数据'!G24-'历史数据'!J24)/'历史数据'!G24)</f>
        <v/>
      </c>
      <c r="I49" s="27">
        <f>IF(OR(H49="",'历史数据'!H24&lt;=0,'历史数据'!K24=""),"",(H49-('历史数据'!H24-'历史数据'!K24)/'历史数据'!H24)*100)</f>
        <v/>
      </c>
      <c r="J49" s="27">
        <f>IF(OR(H49="",'历史数据'!I24&lt;=0,'历史数据'!L24=""),"",(H49-('历史数据'!I24-'历史数据'!L24)/'历史数据'!I24)*100)</f>
        <v/>
      </c>
      <c r="K49" s="24">
        <f>IF('历史数据'!M24="","",'历史数据'!M24/100000000)</f>
        <v/>
      </c>
      <c r="L49" s="26">
        <f>IF(OR('历史数据'!G24=0,'历史数据'!M24=""),"",'历史数据'!M24/'历史数据'!G24)</f>
        <v/>
      </c>
      <c r="M49" s="26">
        <f>IF(OR('历史数据'!M24="",'历史数据'!N24=0),"",('历史数据'!M24-'历史数据'!N24)/ABS('历史数据'!N24))</f>
        <v/>
      </c>
      <c r="N49" s="26">
        <f>IF(OR('历史数据'!M24&lt;=0,'历史数据'!O24&lt;=0),"",POWER('历史数据'!M24/'历史数据'!O24,1/3)-1)</f>
        <v/>
      </c>
      <c r="O49" s="24">
        <f>IF('历史数据'!P24="","",'历史数据'!P24/100000000)</f>
        <v/>
      </c>
      <c r="P49" s="26">
        <f>IF(OR('历史数据'!P24="",'历史数据'!Q24=0),"",('历史数据'!P24-'历史数据'!Q24)/ABS('历史数据'!Q24))</f>
        <v/>
      </c>
      <c r="Q49" s="26">
        <f>IF(OR('历史数据'!P24&lt;=0,'历史数据'!R24&lt;=0),"",POWER('历史数据'!P24/'历史数据'!R24,1/3)-1)</f>
        <v/>
      </c>
      <c r="R49" s="24">
        <f>IF('历史数据'!S24="","",'历史数据'!S24/100000000)</f>
        <v/>
      </c>
      <c r="S49" s="25">
        <f>IF('历史数据'!T24="","",'历史数据'!T24)</f>
        <v/>
      </c>
      <c r="T49" s="28">
        <f>IF('历史数据'!U24="","",'历史数据'!U24)</f>
        <v/>
      </c>
      <c r="U49" s="28">
        <f>IF('历史数据'!V24="","",'历史数据'!V24/100000000)</f>
        <v/>
      </c>
      <c r="V49" s="24">
        <f>IF('历史数据'!W24="","",'历史数据'!W24/100000000)</f>
        <v/>
      </c>
      <c r="W49" s="28">
        <f>IF('历史数据'!X24="","",'历史数据'!X24)</f>
        <v/>
      </c>
      <c r="X49" s="26">
        <f>IF(OR(R49="",V49&lt;=0),"",R49/V49-1)</f>
        <v/>
      </c>
      <c r="Y49" s="29">
        <f>IF('历史数据'!Y24="","",'历史数据'!Y24)</f>
        <v/>
      </c>
      <c r="Z49" s="24">
        <f>IF('历史数据'!Z24="","",'历史数据'!Z24/100000000)</f>
        <v/>
      </c>
      <c r="AA49" s="24">
        <f>IF('历史数据'!AA24="","",'历史数据'!AA24/100000000)</f>
        <v/>
      </c>
      <c r="AB49" s="24">
        <f>IF('历史数据'!AB24="","",'历史数据'!AB24/100000000)</f>
        <v/>
      </c>
      <c r="AC49" s="13" t="inlineStr">
        <is>
          <t>近五个交易日资金净额:optional_missing；近一月资金净额（最近22个交易日）:optional_missing</t>
        </is>
      </c>
      <c r="AD49" s="13" t="inlineStr">
        <is>
          <t>SUCCESS</t>
        </is>
      </c>
    </row>
    <row r="50" ht="21" customHeight="1" s="3">
      <c r="A50" s="12" t="inlineStr">
        <is>
          <t>000010</t>
        </is>
      </c>
      <c r="B50" s="13" t="inlineStr">
        <is>
          <t>*ST美丽</t>
        </is>
      </c>
      <c r="C50" s="25">
        <f>IF('历史数据'!D14="","",'历史数据'!D14)</f>
        <v/>
      </c>
      <c r="D50" s="13">
        <f>IF('历史数据'!E14="","",'历史数据'!E14)</f>
        <v/>
      </c>
      <c r="E50" s="24">
        <f>IF('历史数据'!G14="","",'历史数据'!G14/100000000)</f>
        <v/>
      </c>
      <c r="F50" s="26">
        <f>IF(OR('历史数据'!G14="",'历史数据'!H14&lt;=0),"",'历史数据'!G14/'历史数据'!H14-1)</f>
        <v/>
      </c>
      <c r="G50" s="26">
        <f>IF(OR('历史数据'!G14&lt;=0,'历史数据'!I14&lt;=0),"",POWER('历史数据'!G14/'历史数据'!I14,1/3)-1)</f>
        <v/>
      </c>
      <c r="H50" s="26">
        <f>IF(OR('历史数据'!G14&lt;=0,'历史数据'!J14=""),"",('历史数据'!G14-'历史数据'!J14)/'历史数据'!G14)</f>
        <v/>
      </c>
      <c r="I50" s="27">
        <f>IF(OR(H50="",'历史数据'!H14&lt;=0,'历史数据'!K14=""),"",(H50-('历史数据'!H14-'历史数据'!K14)/'历史数据'!H14)*100)</f>
        <v/>
      </c>
      <c r="J50" s="27">
        <f>IF(OR(H50="",'历史数据'!I14&lt;=0,'历史数据'!L14=""),"",(H50-('历史数据'!I14-'历史数据'!L14)/'历史数据'!I14)*100)</f>
        <v/>
      </c>
      <c r="K50" s="24">
        <f>IF('历史数据'!M14="","",'历史数据'!M14/100000000)</f>
        <v/>
      </c>
      <c r="L50" s="26">
        <f>IF(OR('历史数据'!G14=0,'历史数据'!M14=""),"",'历史数据'!M14/'历史数据'!G14)</f>
        <v/>
      </c>
      <c r="M50" s="26">
        <f>IF(OR('历史数据'!M14="",'历史数据'!N14=0),"",('历史数据'!M14-'历史数据'!N14)/ABS('历史数据'!N14))</f>
        <v/>
      </c>
      <c r="N50" s="26">
        <f>IF(OR('历史数据'!M14&lt;=0,'历史数据'!O14&lt;=0),"",POWER('历史数据'!M14/'历史数据'!O14,1/3)-1)</f>
        <v/>
      </c>
      <c r="O50" s="24">
        <f>IF('历史数据'!P14="","",'历史数据'!P14/100000000)</f>
        <v/>
      </c>
      <c r="P50" s="26">
        <f>IF(OR('历史数据'!P14="",'历史数据'!Q14=0),"",('历史数据'!P14-'历史数据'!Q14)/ABS('历史数据'!Q14))</f>
        <v/>
      </c>
      <c r="Q50" s="26">
        <f>IF(OR('历史数据'!P14&lt;=0,'历史数据'!R14&lt;=0),"",POWER('历史数据'!P14/'历史数据'!R14,1/3)-1)</f>
        <v/>
      </c>
      <c r="R50" s="24">
        <f>IF('历史数据'!S14="","",'历史数据'!S14/100000000)</f>
        <v/>
      </c>
      <c r="S50" s="25">
        <f>IF('历史数据'!T14="","",'历史数据'!T14)</f>
        <v/>
      </c>
      <c r="T50" s="28">
        <f>IF('历史数据'!U14="","",'历史数据'!U14)</f>
        <v/>
      </c>
      <c r="U50" s="28">
        <f>IF('历史数据'!V14="","",'历史数据'!V14/100000000)</f>
        <v/>
      </c>
      <c r="V50" s="24">
        <f>IF('历史数据'!W14="","",'历史数据'!W14/100000000)</f>
        <v/>
      </c>
      <c r="W50" s="28">
        <f>IF('历史数据'!X14="","",'历史数据'!X14)</f>
        <v/>
      </c>
      <c r="X50" s="26">
        <f>IF(OR(R50="",V50&lt;=0),"",R50/V50-1)</f>
        <v/>
      </c>
      <c r="Y50" s="29">
        <f>IF('历史数据'!Y14="","",'历史数据'!Y14)</f>
        <v/>
      </c>
      <c r="Z50" s="24">
        <f>IF('历史数据'!Z14="","",'历史数据'!Z14/100000000)</f>
        <v/>
      </c>
      <c r="AA50" s="24">
        <f>IF('历史数据'!AA14="","",'历史数据'!AA14/100000000)</f>
        <v/>
      </c>
      <c r="AB50" s="24">
        <f>IF('历史数据'!AB14="","",'历史数据'!AB14/100000000)</f>
        <v/>
      </c>
      <c r="AC50" s="13" t="inlineStr">
        <is>
          <t>近五个交易日资金净额:optional_missing；近一月资金净额（最近22个交易日）:optional_missing</t>
        </is>
      </c>
      <c r="AD50" s="13" t="inlineStr">
        <is>
          <t>SUCCESS</t>
        </is>
      </c>
    </row>
    <row r="51" ht="21" customHeight="1" s="3">
      <c r="A51" s="12" t="inlineStr">
        <is>
          <t>000036</t>
        </is>
      </c>
      <c r="B51" s="13" t="inlineStr">
        <is>
          <t>华联控股</t>
        </is>
      </c>
      <c r="C51" s="25">
        <f>IF('历史数据'!D52="","",'历史数据'!D52)</f>
        <v/>
      </c>
      <c r="D51" s="13">
        <f>IF('历史数据'!E52="","",'历史数据'!E52)</f>
        <v/>
      </c>
      <c r="E51" s="24">
        <f>IF('历史数据'!G52="","",'历史数据'!G52/100000000)</f>
        <v/>
      </c>
      <c r="F51" s="26">
        <f>IF(OR('历史数据'!G52="",'历史数据'!H52&lt;=0),"",'历史数据'!G52/'历史数据'!H52-1)</f>
        <v/>
      </c>
      <c r="G51" s="26">
        <f>IF(OR('历史数据'!G52&lt;=0,'历史数据'!I52&lt;=0),"",POWER('历史数据'!G52/'历史数据'!I52,1/3)-1)</f>
        <v/>
      </c>
      <c r="H51" s="26">
        <f>IF(OR('历史数据'!G52&lt;=0,'历史数据'!J52=""),"",('历史数据'!G52-'历史数据'!J52)/'历史数据'!G52)</f>
        <v/>
      </c>
      <c r="I51" s="27">
        <f>IF(OR(H51="",'历史数据'!H52&lt;=0,'历史数据'!K52=""),"",(H51-('历史数据'!H52-'历史数据'!K52)/'历史数据'!H52)*100)</f>
        <v/>
      </c>
      <c r="J51" s="27">
        <f>IF(OR(H51="",'历史数据'!I52&lt;=0,'历史数据'!L52=""),"",(H51-('历史数据'!I52-'历史数据'!L52)/'历史数据'!I52)*100)</f>
        <v/>
      </c>
      <c r="K51" s="24">
        <f>IF('历史数据'!M52="","",'历史数据'!M52/100000000)</f>
        <v/>
      </c>
      <c r="L51" s="26">
        <f>IF(OR('历史数据'!G52=0,'历史数据'!M52=""),"",'历史数据'!M52/'历史数据'!G52)</f>
        <v/>
      </c>
      <c r="M51" s="26">
        <f>IF(OR('历史数据'!M52="",'历史数据'!N52=0),"",('历史数据'!M52-'历史数据'!N52)/ABS('历史数据'!N52))</f>
        <v/>
      </c>
      <c r="N51" s="26">
        <f>IF(OR('历史数据'!M52&lt;=0,'历史数据'!O52&lt;=0),"",POWER('历史数据'!M52/'历史数据'!O52,1/3)-1)</f>
        <v/>
      </c>
      <c r="O51" s="24">
        <f>IF('历史数据'!P52="","",'历史数据'!P52/100000000)</f>
        <v/>
      </c>
      <c r="P51" s="26">
        <f>IF(OR('历史数据'!P52="",'历史数据'!Q52=0),"",('历史数据'!P52-'历史数据'!Q52)/ABS('历史数据'!Q52))</f>
        <v/>
      </c>
      <c r="Q51" s="26">
        <f>IF(OR('历史数据'!P52&lt;=0,'历史数据'!R52&lt;=0),"",POWER('历史数据'!P52/'历史数据'!R52,1/3)-1)</f>
        <v/>
      </c>
      <c r="R51" s="24">
        <f>IF('历史数据'!S52="","",'历史数据'!S52/100000000)</f>
        <v/>
      </c>
      <c r="S51" s="25">
        <f>IF('历史数据'!T52="","",'历史数据'!T52)</f>
        <v/>
      </c>
      <c r="T51" s="28">
        <f>IF('历史数据'!U52="","",'历史数据'!U52)</f>
        <v/>
      </c>
      <c r="U51" s="28">
        <f>IF('历史数据'!V52="","",'历史数据'!V52/100000000)</f>
        <v/>
      </c>
      <c r="V51" s="24">
        <f>IF('历史数据'!W52="","",'历史数据'!W52/100000000)</f>
        <v/>
      </c>
      <c r="W51" s="28">
        <f>IF('历史数据'!X52="","",'历史数据'!X52)</f>
        <v/>
      </c>
      <c r="X51" s="26">
        <f>IF(OR(R51="",V51&lt;=0),"",R51/V51-1)</f>
        <v/>
      </c>
      <c r="Y51" s="29">
        <f>IF('历史数据'!Y52="","",'历史数据'!Y52)</f>
        <v/>
      </c>
      <c r="Z51" s="24">
        <f>IF('历史数据'!Z52="","",'历史数据'!Z52/100000000)</f>
        <v/>
      </c>
      <c r="AA51" s="24">
        <f>IF('历史数据'!AA52="","",'历史数据'!AA52/100000000)</f>
        <v/>
      </c>
      <c r="AB51" s="24">
        <f>IF('历史数据'!AB52="","",'历史数据'!AB52/100000000)</f>
        <v/>
      </c>
      <c r="AC51" s="13" t="inlineStr">
        <is>
          <t>近五个交易日资金净额:optional_missing；近一月资金净额（最近22个交易日）:optional_missing</t>
        </is>
      </c>
      <c r="AD51" s="13" t="inlineStr">
        <is>
          <t>SUCCESS</t>
        </is>
      </c>
    </row>
    <row r="52" ht="21" customHeight="1" s="3">
      <c r="A52" s="12" t="inlineStr">
        <is>
          <t>000037</t>
        </is>
      </c>
      <c r="B52" s="13" t="inlineStr">
        <is>
          <t>深南电A</t>
        </is>
      </c>
      <c r="C52" s="25">
        <f>IF('历史数据'!D54="","",'历史数据'!D54)</f>
        <v/>
      </c>
      <c r="D52" s="13">
        <f>IF('历史数据'!E54="","",'历史数据'!E54)</f>
        <v/>
      </c>
      <c r="E52" s="24">
        <f>IF('历史数据'!G54="","",'历史数据'!G54/100000000)</f>
        <v/>
      </c>
      <c r="F52" s="26">
        <f>IF(OR('历史数据'!G54="",'历史数据'!H54&lt;=0),"",'历史数据'!G54/'历史数据'!H54-1)</f>
        <v/>
      </c>
      <c r="G52" s="26">
        <f>IF(OR('历史数据'!G54&lt;=0,'历史数据'!I54&lt;=0),"",POWER('历史数据'!G54/'历史数据'!I54,1/3)-1)</f>
        <v/>
      </c>
      <c r="H52" s="26">
        <f>IF(OR('历史数据'!G54&lt;=0,'历史数据'!J54=""),"",('历史数据'!G54-'历史数据'!J54)/'历史数据'!G54)</f>
        <v/>
      </c>
      <c r="I52" s="27">
        <f>IF(OR(H52="",'历史数据'!H54&lt;=0,'历史数据'!K54=""),"",(H52-('历史数据'!H54-'历史数据'!K54)/'历史数据'!H54)*100)</f>
        <v/>
      </c>
      <c r="J52" s="27">
        <f>IF(OR(H52="",'历史数据'!I54&lt;=0,'历史数据'!L54=""),"",(H52-('历史数据'!I54-'历史数据'!L54)/'历史数据'!I54)*100)</f>
        <v/>
      </c>
      <c r="K52" s="24">
        <f>IF('历史数据'!M54="","",'历史数据'!M54/100000000)</f>
        <v/>
      </c>
      <c r="L52" s="26">
        <f>IF(OR('历史数据'!G54=0,'历史数据'!M54=""),"",'历史数据'!M54/'历史数据'!G54)</f>
        <v/>
      </c>
      <c r="M52" s="26">
        <f>IF(OR('历史数据'!M54="",'历史数据'!N54=0),"",('历史数据'!M54-'历史数据'!N54)/ABS('历史数据'!N54))</f>
        <v/>
      </c>
      <c r="N52" s="26">
        <f>IF(OR('历史数据'!M54&lt;=0,'历史数据'!O54&lt;=0),"",POWER('历史数据'!M54/'历史数据'!O54,1/3)-1)</f>
        <v/>
      </c>
      <c r="O52" s="24">
        <f>IF('历史数据'!P54="","",'历史数据'!P54/100000000)</f>
        <v/>
      </c>
      <c r="P52" s="26">
        <f>IF(OR('历史数据'!P54="",'历史数据'!Q54=0),"",('历史数据'!P54-'历史数据'!Q54)/ABS('历史数据'!Q54))</f>
        <v/>
      </c>
      <c r="Q52" s="26">
        <f>IF(OR('历史数据'!P54&lt;=0,'历史数据'!R54&lt;=0),"",POWER('历史数据'!P54/'历史数据'!R54,1/3)-1)</f>
        <v/>
      </c>
      <c r="R52" s="24">
        <f>IF('历史数据'!S54="","",'历史数据'!S54/100000000)</f>
        <v/>
      </c>
      <c r="S52" s="25">
        <f>IF('历史数据'!T54="","",'历史数据'!T54)</f>
        <v/>
      </c>
      <c r="T52" s="28">
        <f>IF('历史数据'!U54="","",'历史数据'!U54)</f>
        <v/>
      </c>
      <c r="U52" s="28">
        <f>IF('历史数据'!V54="","",'历史数据'!V54/100000000)</f>
        <v/>
      </c>
      <c r="V52" s="24">
        <f>IF('历史数据'!W54="","",'历史数据'!W54/100000000)</f>
        <v/>
      </c>
      <c r="W52" s="28">
        <f>IF('历史数据'!X54="","",'历史数据'!X54)</f>
        <v/>
      </c>
      <c r="X52" s="26">
        <f>IF(OR(R52="",V52&lt;=0),"",R52/V52-1)</f>
        <v/>
      </c>
      <c r="Y52" s="29">
        <f>IF('历史数据'!Y54="","",'历史数据'!Y54)</f>
        <v/>
      </c>
      <c r="Z52" s="24">
        <f>IF('历史数据'!Z54="","",'历史数据'!Z54/100000000)</f>
        <v/>
      </c>
      <c r="AA52" s="24">
        <f>IF('历史数据'!AA54="","",'历史数据'!AA54/100000000)</f>
        <v/>
      </c>
      <c r="AB52" s="24">
        <f>IF('历史数据'!AB54="","",'历史数据'!AB54/100000000)</f>
        <v/>
      </c>
      <c r="AC52" s="13" t="inlineStr">
        <is>
          <t>近五个交易日资金净额:optional_missing；近一月资金净额（最近22个交易日）:optional_missing</t>
        </is>
      </c>
      <c r="AD52" s="13" t="inlineStr">
        <is>
          <t>SUCCESS</t>
        </is>
      </c>
    </row>
    <row r="53" ht="21" customHeight="1" s="3">
      <c r="A53" s="12" t="inlineStr">
        <is>
          <t>000007</t>
        </is>
      </c>
      <c r="B53" s="13" t="inlineStr">
        <is>
          <t>全新好</t>
        </is>
      </c>
      <c r="C53" s="25">
        <f>IF('历史数据'!D8="","",'历史数据'!D8)</f>
        <v/>
      </c>
      <c r="D53" s="13">
        <f>IF('历史数据'!E8="","",'历史数据'!E8)</f>
        <v/>
      </c>
      <c r="E53" s="24">
        <f>IF('历史数据'!G8="","",'历史数据'!G8/100000000)</f>
        <v/>
      </c>
      <c r="F53" s="26">
        <f>IF(OR('历史数据'!G8="",'历史数据'!H8&lt;=0),"",'历史数据'!G8/'历史数据'!H8-1)</f>
        <v/>
      </c>
      <c r="G53" s="26">
        <f>IF(OR('历史数据'!G8&lt;=0,'历史数据'!I8&lt;=0),"",POWER('历史数据'!G8/'历史数据'!I8,1/3)-1)</f>
        <v/>
      </c>
      <c r="H53" s="26">
        <f>IF(OR('历史数据'!G8&lt;=0,'历史数据'!J8=""),"",('历史数据'!G8-'历史数据'!J8)/'历史数据'!G8)</f>
        <v/>
      </c>
      <c r="I53" s="27">
        <f>IF(OR(H53="",'历史数据'!H8&lt;=0,'历史数据'!K8=""),"",(H53-('历史数据'!H8-'历史数据'!K8)/'历史数据'!H8)*100)</f>
        <v/>
      </c>
      <c r="J53" s="27">
        <f>IF(OR(H53="",'历史数据'!I8&lt;=0,'历史数据'!L8=""),"",(H53-('历史数据'!I8-'历史数据'!L8)/'历史数据'!I8)*100)</f>
        <v/>
      </c>
      <c r="K53" s="24">
        <f>IF('历史数据'!M8="","",'历史数据'!M8/100000000)</f>
        <v/>
      </c>
      <c r="L53" s="26">
        <f>IF(OR('历史数据'!G8=0,'历史数据'!M8=""),"",'历史数据'!M8/'历史数据'!G8)</f>
        <v/>
      </c>
      <c r="M53" s="26">
        <f>IF(OR('历史数据'!M8="",'历史数据'!N8=0),"",('历史数据'!M8-'历史数据'!N8)/ABS('历史数据'!N8))</f>
        <v/>
      </c>
      <c r="N53" s="26">
        <f>IF(OR('历史数据'!M8&lt;=0,'历史数据'!O8&lt;=0),"",POWER('历史数据'!M8/'历史数据'!O8,1/3)-1)</f>
        <v/>
      </c>
      <c r="O53" s="24">
        <f>IF('历史数据'!P8="","",'历史数据'!P8/100000000)</f>
        <v/>
      </c>
      <c r="P53" s="26">
        <f>IF(OR('历史数据'!P8="",'历史数据'!Q8=0),"",('历史数据'!P8-'历史数据'!Q8)/ABS('历史数据'!Q8))</f>
        <v/>
      </c>
      <c r="Q53" s="26">
        <f>IF(OR('历史数据'!P8&lt;=0,'历史数据'!R8&lt;=0),"",POWER('历史数据'!P8/'历史数据'!R8,1/3)-1)</f>
        <v/>
      </c>
      <c r="R53" s="24">
        <f>IF('历史数据'!S8="","",'历史数据'!S8/100000000)</f>
        <v/>
      </c>
      <c r="S53" s="25">
        <f>IF('历史数据'!T8="","",'历史数据'!T8)</f>
        <v/>
      </c>
      <c r="T53" s="28">
        <f>IF('历史数据'!U8="","",'历史数据'!U8)</f>
        <v/>
      </c>
      <c r="U53" s="28">
        <f>IF('历史数据'!V8="","",'历史数据'!V8/100000000)</f>
        <v/>
      </c>
      <c r="V53" s="24">
        <f>IF('历史数据'!W8="","",'历史数据'!W8/100000000)</f>
        <v/>
      </c>
      <c r="W53" s="28">
        <f>IF('历史数据'!X8="","",'历史数据'!X8)</f>
        <v/>
      </c>
      <c r="X53" s="26">
        <f>IF(OR(R53="",V53&lt;=0),"",R53/V53-1)</f>
        <v/>
      </c>
      <c r="Y53" s="29">
        <f>IF('历史数据'!Y8="","",'历史数据'!Y8)</f>
        <v/>
      </c>
      <c r="Z53" s="24">
        <f>IF('历史数据'!Z8="","",'历史数据'!Z8/100000000)</f>
        <v/>
      </c>
      <c r="AA53" s="24">
        <f>IF('历史数据'!AA8="","",'历史数据'!AA8/100000000)</f>
        <v/>
      </c>
      <c r="AB53" s="24">
        <f>IF('历史数据'!AB8="","",'历史数据'!AB8/100000000)</f>
        <v/>
      </c>
      <c r="AC53" s="13" t="inlineStr">
        <is>
          <t>近五个交易日资金净额:optional_missing；近一月资金净额（最近22个交易日）:optional_missing</t>
        </is>
      </c>
      <c r="AD53" s="13" t="inlineStr">
        <is>
          <t>SUCCESS</t>
        </is>
      </c>
    </row>
    <row r="54" ht="21" customHeight="1" s="3">
      <c r="A54" s="12" t="inlineStr">
        <is>
          <t>000014</t>
        </is>
      </c>
      <c r="B54" s="13" t="inlineStr">
        <is>
          <t>沙河股份</t>
        </is>
      </c>
      <c r="C54" s="25">
        <f>IF('历史数据'!D20="","",'历史数据'!D20)</f>
        <v/>
      </c>
      <c r="D54" s="13">
        <f>IF('历史数据'!E20="","",'历史数据'!E20)</f>
        <v/>
      </c>
      <c r="E54" s="24">
        <f>IF('历史数据'!G20="","",'历史数据'!G20/100000000)</f>
        <v/>
      </c>
      <c r="F54" s="26">
        <f>IF(OR('历史数据'!G20="",'历史数据'!H20&lt;=0),"",'历史数据'!G20/'历史数据'!H20-1)</f>
        <v/>
      </c>
      <c r="G54" s="26">
        <f>IF(OR('历史数据'!G20&lt;=0,'历史数据'!I20&lt;=0),"",POWER('历史数据'!G20/'历史数据'!I20,1/3)-1)</f>
        <v/>
      </c>
      <c r="H54" s="26">
        <f>IF(OR('历史数据'!G20&lt;=0,'历史数据'!J20=""),"",('历史数据'!G20-'历史数据'!J20)/'历史数据'!G20)</f>
        <v/>
      </c>
      <c r="I54" s="27">
        <f>IF(OR(H54="",'历史数据'!H20&lt;=0,'历史数据'!K20=""),"",(H54-('历史数据'!H20-'历史数据'!K20)/'历史数据'!H20)*100)</f>
        <v/>
      </c>
      <c r="J54" s="27">
        <f>IF(OR(H54="",'历史数据'!I20&lt;=0,'历史数据'!L20=""),"",(H54-('历史数据'!I20-'历史数据'!L20)/'历史数据'!I20)*100)</f>
        <v/>
      </c>
      <c r="K54" s="24">
        <f>IF('历史数据'!M20="","",'历史数据'!M20/100000000)</f>
        <v/>
      </c>
      <c r="L54" s="26">
        <f>IF(OR('历史数据'!G20=0,'历史数据'!M20=""),"",'历史数据'!M20/'历史数据'!G20)</f>
        <v/>
      </c>
      <c r="M54" s="26">
        <f>IF(OR('历史数据'!M20="",'历史数据'!N20=0),"",('历史数据'!M20-'历史数据'!N20)/ABS('历史数据'!N20))</f>
        <v/>
      </c>
      <c r="N54" s="26">
        <f>IF(OR('历史数据'!M20&lt;=0,'历史数据'!O20&lt;=0),"",POWER('历史数据'!M20/'历史数据'!O20,1/3)-1)</f>
        <v/>
      </c>
      <c r="O54" s="24">
        <f>IF('历史数据'!P20="","",'历史数据'!P20/100000000)</f>
        <v/>
      </c>
      <c r="P54" s="26">
        <f>IF(OR('历史数据'!P20="",'历史数据'!Q20=0),"",('历史数据'!P20-'历史数据'!Q20)/ABS('历史数据'!Q20))</f>
        <v/>
      </c>
      <c r="Q54" s="26">
        <f>IF(OR('历史数据'!P20&lt;=0,'历史数据'!R20&lt;=0),"",POWER('历史数据'!P20/'历史数据'!R20,1/3)-1)</f>
        <v/>
      </c>
      <c r="R54" s="24">
        <f>IF('历史数据'!S20="","",'历史数据'!S20/100000000)</f>
        <v/>
      </c>
      <c r="S54" s="25">
        <f>IF('历史数据'!T20="","",'历史数据'!T20)</f>
        <v/>
      </c>
      <c r="T54" s="28">
        <f>IF('历史数据'!U20="","",'历史数据'!U20)</f>
        <v/>
      </c>
      <c r="U54" s="28">
        <f>IF('历史数据'!V20="","",'历史数据'!V20/100000000)</f>
        <v/>
      </c>
      <c r="V54" s="24">
        <f>IF('历史数据'!W20="","",'历史数据'!W20/100000000)</f>
        <v/>
      </c>
      <c r="W54" s="28">
        <f>IF('历史数据'!X20="","",'历史数据'!X20)</f>
        <v/>
      </c>
      <c r="X54" s="26">
        <f>IF(OR(R54="",V54&lt;=0),"",R54/V54-1)</f>
        <v/>
      </c>
      <c r="Y54" s="29">
        <f>IF('历史数据'!Y20="","",'历史数据'!Y20)</f>
        <v/>
      </c>
      <c r="Z54" s="24">
        <f>IF('历史数据'!Z20="","",'历史数据'!Z20/100000000)</f>
        <v/>
      </c>
      <c r="AA54" s="24">
        <f>IF('历史数据'!AA20="","",'历史数据'!AA20/100000000)</f>
        <v/>
      </c>
      <c r="AB54" s="24">
        <f>IF('历史数据'!AB20="","",'历史数据'!AB20/100000000)</f>
        <v/>
      </c>
      <c r="AC54" s="13" t="inlineStr">
        <is>
          <t>近五个交易日资金净额:optional_missing；近一月资金净额（最近22个交易日）:optional_missing</t>
        </is>
      </c>
      <c r="AD54" s="13" t="inlineStr">
        <is>
          <t>SUCCESS</t>
        </is>
      </c>
    </row>
  </sheetData>
  <autoFilter ref="A4:AD54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5B9BD5"/>
    <outlinePr summaryBelow="1" summaryRight="1"/>
    <pageSetUpPr fitToPage="1"/>
  </sheetPr>
  <dimension ref="A1:AD50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3.9"/>
  <cols>
    <col width="12" customWidth="1" style="3" min="1" max="1"/>
    <col width="18" customWidth="1" style="3" min="2" max="2"/>
    <col width="13" customWidth="1" style="3" min="3" max="3"/>
    <col width="11" customWidth="1" style="3" min="4" max="4"/>
    <col width="16" customWidth="1" style="3" min="5" max="5"/>
    <col width="14" customWidth="1" style="3" min="6" max="7"/>
    <col width="18" customWidth="1" style="3" min="7" max="7"/>
    <col width="11" bestFit="1" customWidth="1" style="3" min="8" max="8"/>
    <col width="20" customWidth="1" style="3" min="9" max="10"/>
    <col width="20" customWidth="1" style="3" min="10" max="10"/>
    <col width="16" customWidth="1" style="3" min="11" max="11"/>
    <col width="13" customWidth="1" style="3" min="12" max="15"/>
    <col width="16" customWidth="1" style="3" min="13" max="13"/>
    <col width="19" customWidth="1" style="3" min="14" max="14"/>
    <col width="19" customWidth="1" style="3" min="15" max="15"/>
    <col width="19" customWidth="1" style="3" min="16" max="16"/>
    <col width="22" customWidth="1" style="3" min="17" max="17"/>
    <col width="15" customWidth="1" style="3" min="18" max="18"/>
    <col width="13" customWidth="1" style="3" min="19" max="19"/>
    <col width="11" customWidth="1" style="3" min="20" max="20"/>
    <col width="13" customWidth="1" style="3" min="21" max="21"/>
    <col width="16" customWidth="1" style="3" min="22" max="22"/>
    <col width="11" bestFit="1" customWidth="1" style="3" min="23" max="24"/>
    <col width="13" customWidth="1" style="3" min="24" max="24"/>
    <col width="19" customWidth="1" style="3" min="25" max="25"/>
    <col width="19" bestFit="1" customWidth="1" style="3" min="26" max="26"/>
    <col width="18" customWidth="1" style="3" min="27" max="27"/>
    <col width="22" customWidth="1" style="3" min="28" max="28"/>
    <col width="42" customWidth="1" style="3" min="29" max="29"/>
    <col width="13" customWidth="1" style="3" min="30" max="30"/>
  </cols>
  <sheetData>
    <row r="1" ht="24" customHeight="1" s="3">
      <c r="A1" s="4" t="inlineStr">
        <is>
          <t>股票分析表生成器｜财务年度 2025｜交易统计年度 2026｜运行日期 2026-08-29｜金额：亿元；股数：亿股</t>
        </is>
      </c>
    </row>
    <row r="2" ht="25" customHeight="1" s="3">
      <c r="A2" s="5" t="inlineStr">
        <is>
          <t>范围：港交所普通股；仅纳入可取得结构化关键财务数据的公司。港股大宗交易和资金流允许留空。</t>
        </is>
      </c>
    </row>
    <row r="3" ht="24" customHeight="1" s="3">
      <c r="A3" s="6" t="inlineStr">
        <is>
          <t>公司信息</t>
        </is>
      </c>
      <c r="E3" s="7" t="inlineStr">
        <is>
          <t>营业收入</t>
        </is>
      </c>
      <c r="H3" s="7" t="inlineStr">
        <is>
          <t>毛利率</t>
        </is>
      </c>
      <c r="K3" s="7" t="inlineStr">
        <is>
          <t>归母净利润</t>
        </is>
      </c>
      <c r="O3" s="7" t="inlineStr">
        <is>
          <t>经营活动现金流</t>
        </is>
      </c>
      <c r="R3" s="8" t="inlineStr">
        <is>
          <t>上市发行与市场交易</t>
        </is>
      </c>
      <c r="AC3" s="6" t="inlineStr">
        <is>
          <t>数据状态</t>
        </is>
      </c>
    </row>
    <row r="4" ht="52" customHeight="1" s="3">
      <c r="A4" s="9" t="inlineStr">
        <is>
          <t>证券代码</t>
        </is>
      </c>
      <c r="B4" s="9" t="inlineStr">
        <is>
          <t>公司名称</t>
        </is>
      </c>
      <c r="C4" s="9" t="inlineStr">
        <is>
          <t>实际报告期</t>
        </is>
      </c>
      <c r="D4" s="9" t="inlineStr">
        <is>
          <t>报表币种</t>
        </is>
      </c>
      <c r="E4" s="10" t="inlineStr">
        <is>
          <t>2025年营业收入</t>
        </is>
      </c>
      <c r="F4" s="10" t="inlineStr">
        <is>
          <t>营业收入同比</t>
        </is>
      </c>
      <c r="G4" s="10" t="inlineStr">
        <is>
          <t>营业收入三年 CAGR</t>
        </is>
      </c>
      <c r="H4" s="10" t="inlineStr">
        <is>
          <t>毛利率</t>
        </is>
      </c>
      <c r="I4" s="10" t="inlineStr">
        <is>
          <t>毛利率同比变化（百分点）</t>
        </is>
      </c>
      <c r="J4" s="10" t="inlineStr">
        <is>
          <t>毛利率三年变化（百分点）</t>
        </is>
      </c>
      <c r="K4" s="10" t="inlineStr">
        <is>
          <t>归母净利润</t>
        </is>
      </c>
      <c r="L4" s="10" t="inlineStr">
        <is>
          <t>归母净利率</t>
        </is>
      </c>
      <c r="M4" s="10" t="inlineStr">
        <is>
          <t>归母净利润同比</t>
        </is>
      </c>
      <c r="N4" s="10" t="inlineStr">
        <is>
          <t>归母净利润三年 CAGR</t>
        </is>
      </c>
      <c r="O4" s="10" t="inlineStr">
        <is>
          <t>经营活动现金流净额</t>
        </is>
      </c>
      <c r="P4" s="10" t="inlineStr">
        <is>
          <t>经营活动现金流同比</t>
        </is>
      </c>
      <c r="Q4" s="10" t="inlineStr">
        <is>
          <t>经营活动现金流三年 CAGR</t>
        </is>
      </c>
      <c r="R4" s="11" t="inlineStr">
        <is>
          <t>最新总市值</t>
        </is>
      </c>
      <c r="S4" s="11" t="inlineStr">
        <is>
          <t>上市日期</t>
        </is>
      </c>
      <c r="T4" s="11" t="inlineStr">
        <is>
          <t>发行价</t>
        </is>
      </c>
      <c r="U4" s="11" t="inlineStr">
        <is>
          <t>发行股数</t>
        </is>
      </c>
      <c r="V4" s="11" t="inlineStr">
        <is>
          <t>发行时总市值</t>
        </is>
      </c>
      <c r="W4" s="11" t="inlineStr">
        <is>
          <t>现价</t>
        </is>
      </c>
      <c r="X4" s="11" t="inlineStr">
        <is>
          <t>市值增长率</t>
        </is>
      </c>
      <c r="Y4" s="11" t="inlineStr">
        <is>
          <t>当年累计大宗交易笔数</t>
        </is>
      </c>
      <c r="Z4" s="11" t="inlineStr">
        <is>
          <t>当年累计大宗交易金额</t>
        </is>
      </c>
      <c r="AA4" s="11" t="inlineStr">
        <is>
          <t>近五个交易日资金净额</t>
        </is>
      </c>
      <c r="AB4" s="11" t="inlineStr">
        <is>
          <t>近一月资金净额（最近22个交易日）</t>
        </is>
      </c>
      <c r="AC4" s="9" t="inlineStr">
        <is>
          <t>字段状态摘要</t>
        </is>
      </c>
      <c r="AD4" s="9" t="inlineStr">
        <is>
          <t>公司状态</t>
        </is>
      </c>
    </row>
    <row r="5" ht="21" customHeight="1" s="3">
      <c r="A5" s="12" t="inlineStr">
        <is>
          <t>00005</t>
        </is>
      </c>
      <c r="B5" s="13" t="inlineStr">
        <is>
          <t>HSBC HOLDINGS</t>
        </is>
      </c>
      <c r="C5" s="14">
        <f>IF('历史数据'!D11="","",'历史数据'!D11)</f>
        <v/>
      </c>
      <c r="D5" s="15">
        <f>IF('历史数据'!E11="","",'历史数据'!E11)</f>
        <v/>
      </c>
      <c r="E5" s="16">
        <f>IF('历史数据'!G11="","",'历史数据'!G11/100000000)</f>
        <v/>
      </c>
      <c r="F5" s="17">
        <f>IF(OR('历史数据'!G11="",'历史数据'!H11&lt;=0),"",'历史数据'!G11/'历史数据'!H11-1)</f>
        <v/>
      </c>
      <c r="G5" s="17">
        <f>IF(OR('历史数据'!G11&lt;=0,'历史数据'!I11&lt;=0),"",POWER('历史数据'!G11/'历史数据'!I11,1/3)-1)</f>
        <v/>
      </c>
      <c r="H5" s="17">
        <f>IF(OR('历史数据'!G11&lt;=0,'历史数据'!J11=""),"",('历史数据'!G11-'历史数据'!J11)/'历史数据'!G11)</f>
        <v/>
      </c>
      <c r="I5" s="18">
        <f>IF(OR(H5="",'历史数据'!H11&lt;=0,'历史数据'!K11=""),"",(H5-('历史数据'!H11-'历史数据'!K11)/'历史数据'!H11)*100)</f>
        <v/>
      </c>
      <c r="J5" s="18">
        <f>IF(OR(H5="",'历史数据'!I11&lt;=0,'历史数据'!L11=""),"",(H5-('历史数据'!I11-'历史数据'!L11)/'历史数据'!I11)*100)</f>
        <v/>
      </c>
      <c r="K5" s="16">
        <f>IF('历史数据'!M11="","",'历史数据'!M11/100000000)</f>
        <v/>
      </c>
      <c r="L5" s="17">
        <f>IF(OR('历史数据'!G11=0,'历史数据'!M11=""),"",'历史数据'!M11/'历史数据'!G11)</f>
        <v/>
      </c>
      <c r="M5" s="17">
        <f>IF(OR('历史数据'!M11="",'历史数据'!N11=0),"",('历史数据'!M11-'历史数据'!N11)/ABS('历史数据'!N11))</f>
        <v/>
      </c>
      <c r="N5" s="17">
        <f>IF(OR('历史数据'!M11&lt;=0,'历史数据'!O11&lt;=0),"",POWER('历史数据'!M11/'历史数据'!O11,1/3)-1)</f>
        <v/>
      </c>
      <c r="O5" s="16">
        <f>IF('历史数据'!P11="","",'历史数据'!P11/100000000)</f>
        <v/>
      </c>
      <c r="P5" s="19">
        <f>IF(OR('历史数据'!P11="",'历史数据'!Q11=0),"",('历史数据'!P11-'历史数据'!Q11)/ABS('历史数据'!Q11))</f>
        <v/>
      </c>
      <c r="Q5" s="19">
        <f>IF(OR('历史数据'!P11&lt;=0,'历史数据'!R11&lt;=0),"",POWER('历史数据'!P11/'历史数据'!R11,1/3)-1)</f>
        <v/>
      </c>
      <c r="R5" s="20">
        <f>IF('历史数据'!S11="","",'历史数据'!S11/100000000)</f>
        <v/>
      </c>
      <c r="S5" s="21">
        <f>IF('历史数据'!T11="","",'历史数据'!T11)</f>
        <v/>
      </c>
      <c r="T5" s="22">
        <f>IF('历史数据'!U11="","",'历史数据'!U11)</f>
        <v/>
      </c>
      <c r="U5" s="22">
        <f>IF('历史数据'!V11="","",'历史数据'!V11/100000000)</f>
        <v/>
      </c>
      <c r="V5" s="20">
        <f>IF('历史数据'!W11="","",'历史数据'!W11/100000000)</f>
        <v/>
      </c>
      <c r="W5" s="22">
        <f>IF('历史数据'!X11="","",'历史数据'!X11)</f>
        <v/>
      </c>
      <c r="X5" s="19">
        <f>IF(OR(R5="",V5&lt;=0),"",R5/V5-1)</f>
        <v/>
      </c>
      <c r="Y5" s="23">
        <f>IF('历史数据'!Y11="","",'历史数据'!Y11)</f>
        <v/>
      </c>
      <c r="Z5" s="20">
        <f>IF('历史数据'!Z11="","",'历史数据'!Z11/100000000)</f>
        <v/>
      </c>
      <c r="AA5" s="24">
        <f>IF('历史数据'!AA11="","",'历史数据'!AA11/100000000)</f>
        <v/>
      </c>
      <c r="AB5" s="24">
        <f>IF('历史数据'!AB11="","",'历史数据'!AB11/100000000)</f>
        <v/>
      </c>
      <c r="AC5" s="13" t="inlineStr">
        <is>
          <t>毛利率:missing；毛利率同比变化（百分点）:missing；毛利率三年变化（百分点）:missing；市值增长率:missing；发行价:optional_missing；发行股数:optional_missing</t>
        </is>
      </c>
      <c r="AD5" s="13" t="inlineStr">
        <is>
          <t>PARTIAL</t>
        </is>
      </c>
    </row>
    <row r="6" ht="21" customHeight="1" s="3">
      <c r="A6" s="12" t="inlineStr">
        <is>
          <t>00001</t>
        </is>
      </c>
      <c r="B6" s="13" t="inlineStr">
        <is>
          <t>CKH HOLDINGS</t>
        </is>
      </c>
      <c r="C6" s="25">
        <f>IF('历史数据'!D3="","",'历史数据'!D3)</f>
        <v/>
      </c>
      <c r="D6" s="13">
        <f>IF('历史数据'!E3="","",'历史数据'!E3)</f>
        <v/>
      </c>
      <c r="E6" s="24">
        <f>IF('历史数据'!G3="","",'历史数据'!G3/100000000)</f>
        <v/>
      </c>
      <c r="F6" s="26">
        <f>IF(OR('历史数据'!G3="",'历史数据'!H3&lt;=0),"",'历史数据'!G3/'历史数据'!H3-1)</f>
        <v/>
      </c>
      <c r="G6" s="26">
        <f>IF(OR('历史数据'!G3&lt;=0,'历史数据'!I3&lt;=0),"",POWER('历史数据'!G3/'历史数据'!I3,1/3)-1)</f>
        <v/>
      </c>
      <c r="H6" s="26">
        <f>IF(OR('历史数据'!G3&lt;=0,'历史数据'!J3=""),"",('历史数据'!G3-'历史数据'!J3)/'历史数据'!G3)</f>
        <v/>
      </c>
      <c r="I6" s="27">
        <f>IF(OR(H6="",'历史数据'!H3&lt;=0,'历史数据'!K3=""),"",(H6-('历史数据'!H3-'历史数据'!K3)/'历史数据'!H3)*100)</f>
        <v/>
      </c>
      <c r="J6" s="27">
        <f>IF(OR(H6="",'历史数据'!I3&lt;=0,'历史数据'!L3=""),"",(H6-('历史数据'!I3-'历史数据'!L3)/'历史数据'!I3)*100)</f>
        <v/>
      </c>
      <c r="K6" s="24">
        <f>IF('历史数据'!M3="","",'历史数据'!M3/100000000)</f>
        <v/>
      </c>
      <c r="L6" s="26">
        <f>IF(OR('历史数据'!G3=0,'历史数据'!M3=""),"",'历史数据'!M3/'历史数据'!G3)</f>
        <v/>
      </c>
      <c r="M6" s="26">
        <f>IF(OR('历史数据'!M3="",'历史数据'!N3=0),"",('历史数据'!M3-'历史数据'!N3)/ABS('历史数据'!N3))</f>
        <v/>
      </c>
      <c r="N6" s="26">
        <f>IF(OR('历史数据'!M3&lt;=0,'历史数据'!O3&lt;=0),"",POWER('历史数据'!M3/'历史数据'!O3,1/3)-1)</f>
        <v/>
      </c>
      <c r="O6" s="24">
        <f>IF('历史数据'!P3="","",'历史数据'!P3/100000000)</f>
        <v/>
      </c>
      <c r="P6" s="26">
        <f>IF(OR('历史数据'!P3="",'历史数据'!Q3=0),"",('历史数据'!P3-'历史数据'!Q3)/ABS('历史数据'!Q3))</f>
        <v/>
      </c>
      <c r="Q6" s="26">
        <f>IF(OR('历史数据'!P3&lt;=0,'历史数据'!R3&lt;=0),"",POWER('历史数据'!P3/'历史数据'!R3,1/3)-1)</f>
        <v/>
      </c>
      <c r="R6" s="24">
        <f>IF('历史数据'!S3="","",'历史数据'!S3/100000000)</f>
        <v/>
      </c>
      <c r="S6" s="25">
        <f>IF('历史数据'!T3="","",'历史数据'!T3)</f>
        <v/>
      </c>
      <c r="T6" s="28">
        <f>IF('历史数据'!U3="","",'历史数据'!U3)</f>
        <v/>
      </c>
      <c r="U6" s="28">
        <f>IF('历史数据'!V3="","",'历史数据'!V3/100000000)</f>
        <v/>
      </c>
      <c r="V6" s="24">
        <f>IF('历史数据'!W3="","",'历史数据'!W3/100000000)</f>
        <v/>
      </c>
      <c r="W6" s="28">
        <f>IF('历史数据'!X3="","",'历史数据'!X3)</f>
        <v/>
      </c>
      <c r="X6" s="26">
        <f>IF(OR(R6="",V6&lt;=0),"",R6/V6-1)</f>
        <v/>
      </c>
      <c r="Y6" s="29">
        <f>IF('历史数据'!Y3="","",'历史数据'!Y3)</f>
        <v/>
      </c>
      <c r="Z6" s="24">
        <f>IF('历史数据'!Z3="","",'历史数据'!Z3/100000000)</f>
        <v/>
      </c>
      <c r="AA6" s="24">
        <f>IF('历史数据'!AA3="","",'历史数据'!AA3/100000000)</f>
        <v/>
      </c>
      <c r="AB6" s="24">
        <f>IF('历史数据'!AB3="","",'历史数据'!AB3/100000000)</f>
        <v/>
      </c>
      <c r="AC6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6" s="13" t="inlineStr">
        <is>
          <t>SUCCESS</t>
        </is>
      </c>
    </row>
    <row r="7" ht="21" customHeight="1" s="3">
      <c r="A7" s="12" t="inlineStr">
        <is>
          <t>00019</t>
        </is>
      </c>
      <c r="B7" s="13" t="inlineStr">
        <is>
          <t>SWIRE PACIFIC A</t>
        </is>
      </c>
      <c r="C7" s="25">
        <f>IF('历史数据'!D33="","",'历史数据'!D33)</f>
        <v/>
      </c>
      <c r="D7" s="13">
        <f>IF('历史数据'!E33="","",'历史数据'!E33)</f>
        <v/>
      </c>
      <c r="E7" s="24">
        <f>IF('历史数据'!G33="","",'历史数据'!G33/100000000)</f>
        <v/>
      </c>
      <c r="F7" s="26">
        <f>IF(OR('历史数据'!G33="",'历史数据'!H33&lt;=0),"",'历史数据'!G33/'历史数据'!H33-1)</f>
        <v/>
      </c>
      <c r="G7" s="26">
        <f>IF(OR('历史数据'!G33&lt;=0,'历史数据'!I33&lt;=0),"",POWER('历史数据'!G33/'历史数据'!I33,1/3)-1)</f>
        <v/>
      </c>
      <c r="H7" s="26">
        <f>IF(OR('历史数据'!G33&lt;=0,'历史数据'!J33=""),"",('历史数据'!G33-'历史数据'!J33)/'历史数据'!G33)</f>
        <v/>
      </c>
      <c r="I7" s="27">
        <f>IF(OR(H7="",'历史数据'!H33&lt;=0,'历史数据'!K33=""),"",(H7-('历史数据'!H33-'历史数据'!K33)/'历史数据'!H33)*100)</f>
        <v/>
      </c>
      <c r="J7" s="27">
        <f>IF(OR(H7="",'历史数据'!I33&lt;=0,'历史数据'!L33=""),"",(H7-('历史数据'!I33-'历史数据'!L33)/'历史数据'!I33)*100)</f>
        <v/>
      </c>
      <c r="K7" s="24">
        <f>IF('历史数据'!M33="","",'历史数据'!M33/100000000)</f>
        <v/>
      </c>
      <c r="L7" s="26">
        <f>IF(OR('历史数据'!G33=0,'历史数据'!M33=""),"",'历史数据'!M33/'历史数据'!G33)</f>
        <v/>
      </c>
      <c r="M7" s="26">
        <f>IF(OR('历史数据'!M33="",'历史数据'!N33=0),"",('历史数据'!M33-'历史数据'!N33)/ABS('历史数据'!N33))</f>
        <v/>
      </c>
      <c r="N7" s="26">
        <f>IF(OR('历史数据'!M33&lt;=0,'历史数据'!O33&lt;=0),"",POWER('历史数据'!M33/'历史数据'!O33,1/3)-1)</f>
        <v/>
      </c>
      <c r="O7" s="24">
        <f>IF('历史数据'!P33="","",'历史数据'!P33/100000000)</f>
        <v/>
      </c>
      <c r="P7" s="26">
        <f>IF(OR('历史数据'!P33="",'历史数据'!Q33=0),"",('历史数据'!P33-'历史数据'!Q33)/ABS('历史数据'!Q33))</f>
        <v/>
      </c>
      <c r="Q7" s="26">
        <f>IF(OR('历史数据'!P33&lt;=0,'历史数据'!R33&lt;=0),"",POWER('历史数据'!P33/'历史数据'!R33,1/3)-1)</f>
        <v/>
      </c>
      <c r="R7" s="24">
        <f>IF('历史数据'!S33="","",'历史数据'!S33/100000000)</f>
        <v/>
      </c>
      <c r="S7" s="25">
        <f>IF('历史数据'!T33="","",'历史数据'!T33)</f>
        <v/>
      </c>
      <c r="T7" s="28">
        <f>IF('历史数据'!U33="","",'历史数据'!U33)</f>
        <v/>
      </c>
      <c r="U7" s="28">
        <f>IF('历史数据'!V33="","",'历史数据'!V33/100000000)</f>
        <v/>
      </c>
      <c r="V7" s="24">
        <f>IF('历史数据'!W33="","",'历史数据'!W33/100000000)</f>
        <v/>
      </c>
      <c r="W7" s="28">
        <f>IF('历史数据'!X33="","",'历史数据'!X33)</f>
        <v/>
      </c>
      <c r="X7" s="26">
        <f>IF(OR(R7="",V7&lt;=0),"",R7/V7-1)</f>
        <v/>
      </c>
      <c r="Y7" s="29">
        <f>IF('历史数据'!Y33="","",'历史数据'!Y33)</f>
        <v/>
      </c>
      <c r="Z7" s="24">
        <f>IF('历史数据'!Z33="","",'历史数据'!Z33/100000000)</f>
        <v/>
      </c>
      <c r="AA7" s="24">
        <f>IF('历史数据'!AA33="","",'历史数据'!AA33/100000000)</f>
        <v/>
      </c>
      <c r="AB7" s="24">
        <f>IF('历史数据'!AB33="","",'历史数据'!AB33/100000000)</f>
        <v/>
      </c>
      <c r="AC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7" s="13" t="inlineStr">
        <is>
          <t>SUCCESS</t>
        </is>
      </c>
    </row>
    <row r="8" ht="21" customHeight="1" s="3">
      <c r="A8" s="12" t="inlineStr">
        <is>
          <t>00002</t>
        </is>
      </c>
      <c r="B8" s="13" t="inlineStr">
        <is>
          <t>CLP HOLDINGS</t>
        </is>
      </c>
      <c r="C8" s="25">
        <f>IF('历史数据'!D5="","",'历史数据'!D5)</f>
        <v/>
      </c>
      <c r="D8" s="13">
        <f>IF('历史数据'!E5="","",'历史数据'!E5)</f>
        <v/>
      </c>
      <c r="E8" s="24">
        <f>IF('历史数据'!G5="","",'历史数据'!G5/100000000)</f>
        <v/>
      </c>
      <c r="F8" s="26">
        <f>IF(OR('历史数据'!G5="",'历史数据'!H5&lt;=0),"",'历史数据'!G5/'历史数据'!H5-1)</f>
        <v/>
      </c>
      <c r="G8" s="26">
        <f>IF(OR('历史数据'!G5&lt;=0,'历史数据'!I5&lt;=0),"",POWER('历史数据'!G5/'历史数据'!I5,1/3)-1)</f>
        <v/>
      </c>
      <c r="H8" s="26">
        <f>IF(OR('历史数据'!G5&lt;=0,'历史数据'!J5=""),"",('历史数据'!G5-'历史数据'!J5)/'历史数据'!G5)</f>
        <v/>
      </c>
      <c r="I8" s="27">
        <f>IF(OR(H8="",'历史数据'!H5&lt;=0,'历史数据'!K5=""),"",(H8-('历史数据'!H5-'历史数据'!K5)/'历史数据'!H5)*100)</f>
        <v/>
      </c>
      <c r="J8" s="27">
        <f>IF(OR(H8="",'历史数据'!I5&lt;=0,'历史数据'!L5=""),"",(H8-('历史数据'!I5-'历史数据'!L5)/'历史数据'!I5)*100)</f>
        <v/>
      </c>
      <c r="K8" s="24">
        <f>IF('历史数据'!M5="","",'历史数据'!M5/100000000)</f>
        <v/>
      </c>
      <c r="L8" s="26">
        <f>IF(OR('历史数据'!G5=0,'历史数据'!M5=""),"",'历史数据'!M5/'历史数据'!G5)</f>
        <v/>
      </c>
      <c r="M8" s="26">
        <f>IF(OR('历史数据'!M5="",'历史数据'!N5=0),"",('历史数据'!M5-'历史数据'!N5)/ABS('历史数据'!N5))</f>
        <v/>
      </c>
      <c r="N8" s="26">
        <f>IF(OR('历史数据'!M5&lt;=0,'历史数据'!O5&lt;=0),"",POWER('历史数据'!M5/'历史数据'!O5,1/3)-1)</f>
        <v/>
      </c>
      <c r="O8" s="24">
        <f>IF('历史数据'!P5="","",'历史数据'!P5/100000000)</f>
        <v/>
      </c>
      <c r="P8" s="26">
        <f>IF(OR('历史数据'!P5="",'历史数据'!Q5=0),"",('历史数据'!P5-'历史数据'!Q5)/ABS('历史数据'!Q5))</f>
        <v/>
      </c>
      <c r="Q8" s="26">
        <f>IF(OR('历史数据'!P5&lt;=0,'历史数据'!R5&lt;=0),"",POWER('历史数据'!P5/'历史数据'!R5,1/3)-1)</f>
        <v/>
      </c>
      <c r="R8" s="24">
        <f>IF('历史数据'!S5="","",'历史数据'!S5/100000000)</f>
        <v/>
      </c>
      <c r="S8" s="25">
        <f>IF('历史数据'!T5="","",'历史数据'!T5)</f>
        <v/>
      </c>
      <c r="T8" s="28">
        <f>IF('历史数据'!U5="","",'历史数据'!U5)</f>
        <v/>
      </c>
      <c r="U8" s="28">
        <f>IF('历史数据'!V5="","",'历史数据'!V5/100000000)</f>
        <v/>
      </c>
      <c r="V8" s="24">
        <f>IF('历史数据'!W5="","",'历史数据'!W5/100000000)</f>
        <v/>
      </c>
      <c r="W8" s="28">
        <f>IF('历史数据'!X5="","",'历史数据'!X5)</f>
        <v/>
      </c>
      <c r="X8" s="26">
        <f>IF(OR(R8="",V8&lt;=0),"",R8/V8-1)</f>
        <v/>
      </c>
      <c r="Y8" s="29">
        <f>IF('历史数据'!Y5="","",'历史数据'!Y5)</f>
        <v/>
      </c>
      <c r="Z8" s="24">
        <f>IF('历史数据'!Z5="","",'历史数据'!Z5/100000000)</f>
        <v/>
      </c>
      <c r="AA8" s="24">
        <f>IF('历史数据'!AA5="","",'历史数据'!AA5/100000000)</f>
        <v/>
      </c>
      <c r="AB8" s="24">
        <f>IF('历史数据'!AB5="","",'历史数据'!AB5/100000000)</f>
        <v/>
      </c>
      <c r="AC8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8" s="13" t="inlineStr">
        <is>
          <t>SUCCESS</t>
        </is>
      </c>
    </row>
    <row r="9" ht="21" customHeight="1" s="3">
      <c r="A9" s="12" t="inlineStr">
        <is>
          <t>00016</t>
        </is>
      </c>
      <c r="B9" s="13" t="inlineStr">
        <is>
          <t>SHK PPT</t>
        </is>
      </c>
      <c r="C9" s="25">
        <f>IF('历史数据'!D27="","",'历史数据'!D27)</f>
        <v/>
      </c>
      <c r="D9" s="13">
        <f>IF('历史数据'!E27="","",'历史数据'!E27)</f>
        <v/>
      </c>
      <c r="E9" s="24">
        <f>IF('历史数据'!G27="","",'历史数据'!G27/100000000)</f>
        <v/>
      </c>
      <c r="F9" s="26">
        <f>IF(OR('历史数据'!G27="",'历史数据'!H27&lt;=0),"",'历史数据'!G27/'历史数据'!H27-1)</f>
        <v/>
      </c>
      <c r="G9" s="26">
        <f>IF(OR('历史数据'!G27&lt;=0,'历史数据'!I27&lt;=0),"",POWER('历史数据'!G27/'历史数据'!I27,1/3)-1)</f>
        <v/>
      </c>
      <c r="H9" s="26">
        <f>IF(OR('历史数据'!G27&lt;=0,'历史数据'!J27=""),"",('历史数据'!G27-'历史数据'!J27)/'历史数据'!G27)</f>
        <v/>
      </c>
      <c r="I9" s="27">
        <f>IF(OR(H9="",'历史数据'!H27&lt;=0,'历史数据'!K27=""),"",(H9-('历史数据'!H27-'历史数据'!K27)/'历史数据'!H27)*100)</f>
        <v/>
      </c>
      <c r="J9" s="27">
        <f>IF(OR(H9="",'历史数据'!I27&lt;=0,'历史数据'!L27=""),"",(H9-('历史数据'!I27-'历史数据'!L27)/'历史数据'!I27)*100)</f>
        <v/>
      </c>
      <c r="K9" s="24">
        <f>IF('历史数据'!M27="","",'历史数据'!M27/100000000)</f>
        <v/>
      </c>
      <c r="L9" s="26">
        <f>IF(OR('历史数据'!G27=0,'历史数据'!M27=""),"",'历史数据'!M27/'历史数据'!G27)</f>
        <v/>
      </c>
      <c r="M9" s="26">
        <f>IF(OR('历史数据'!M27="",'历史数据'!N27=0),"",('历史数据'!M27-'历史数据'!N27)/ABS('历史数据'!N27))</f>
        <v/>
      </c>
      <c r="N9" s="26">
        <f>IF(OR('历史数据'!M27&lt;=0,'历史数据'!O27&lt;=0),"",POWER('历史数据'!M27/'历史数据'!O27,1/3)-1)</f>
        <v/>
      </c>
      <c r="O9" s="24">
        <f>IF('历史数据'!P27="","",'历史数据'!P27/100000000)</f>
        <v/>
      </c>
      <c r="P9" s="26">
        <f>IF(OR('历史数据'!P27="",'历史数据'!Q27=0),"",('历史数据'!P27-'历史数据'!Q27)/ABS('历史数据'!Q27))</f>
        <v/>
      </c>
      <c r="Q9" s="26">
        <f>IF(OR('历史数据'!P27&lt;=0,'历史数据'!R27&lt;=0),"",POWER('历史数据'!P27/'历史数据'!R27,1/3)-1)</f>
        <v/>
      </c>
      <c r="R9" s="24">
        <f>IF('历史数据'!S27="","",'历史数据'!S27/100000000)</f>
        <v/>
      </c>
      <c r="S9" s="25">
        <f>IF('历史数据'!T27="","",'历史数据'!T27)</f>
        <v/>
      </c>
      <c r="T9" s="28">
        <f>IF('历史数据'!U27="","",'历史数据'!U27)</f>
        <v/>
      </c>
      <c r="U9" s="28">
        <f>IF('历史数据'!V27="","",'历史数据'!V27/100000000)</f>
        <v/>
      </c>
      <c r="V9" s="24">
        <f>IF('历史数据'!W27="","",'历史数据'!W27/100000000)</f>
        <v/>
      </c>
      <c r="W9" s="28">
        <f>IF('历史数据'!X27="","",'历史数据'!X27)</f>
        <v/>
      </c>
      <c r="X9" s="26">
        <f>IF(OR(R9="",V9&lt;=0),"",R9/V9-1)</f>
        <v/>
      </c>
      <c r="Y9" s="29">
        <f>IF('历史数据'!Y27="","",'历史数据'!Y27)</f>
        <v/>
      </c>
      <c r="Z9" s="24">
        <f>IF('历史数据'!Z27="","",'历史数据'!Z27/100000000)</f>
        <v/>
      </c>
      <c r="AA9" s="24">
        <f>IF('历史数据'!AA27="","",'历史数据'!AA27/100000000)</f>
        <v/>
      </c>
      <c r="AB9" s="24">
        <f>IF('历史数据'!AB27="","",'历史数据'!AB27/100000000)</f>
        <v/>
      </c>
      <c r="AC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9" s="13" t="inlineStr">
        <is>
          <t>SUCCESS</t>
        </is>
      </c>
    </row>
    <row r="10" ht="21" customHeight="1" s="3">
      <c r="A10" s="12" t="inlineStr">
        <is>
          <t>00003</t>
        </is>
      </c>
      <c r="B10" s="13" t="inlineStr">
        <is>
          <t>HK &amp; CHINA GAS</t>
        </is>
      </c>
      <c r="C10" s="25">
        <f>IF('历史数据'!D7="","",'历史数据'!D7)</f>
        <v/>
      </c>
      <c r="D10" s="13">
        <f>IF('历史数据'!E7="","",'历史数据'!E7)</f>
        <v/>
      </c>
      <c r="E10" s="24">
        <f>IF('历史数据'!G7="","",'历史数据'!G7/100000000)</f>
        <v/>
      </c>
      <c r="F10" s="26">
        <f>IF(OR('历史数据'!G7="",'历史数据'!H7&lt;=0),"",'历史数据'!G7/'历史数据'!H7-1)</f>
        <v/>
      </c>
      <c r="G10" s="26">
        <f>IF(OR('历史数据'!G7&lt;=0,'历史数据'!I7&lt;=0),"",POWER('历史数据'!G7/'历史数据'!I7,1/3)-1)</f>
        <v/>
      </c>
      <c r="H10" s="26">
        <f>IF(OR('历史数据'!G7&lt;=0,'历史数据'!J7=""),"",('历史数据'!G7-'历史数据'!J7)/'历史数据'!G7)</f>
        <v/>
      </c>
      <c r="I10" s="27">
        <f>IF(OR(H10="",'历史数据'!H7&lt;=0,'历史数据'!K7=""),"",(H10-('历史数据'!H7-'历史数据'!K7)/'历史数据'!H7)*100)</f>
        <v/>
      </c>
      <c r="J10" s="27">
        <f>IF(OR(H10="",'历史数据'!I7&lt;=0,'历史数据'!L7=""),"",(H10-('历史数据'!I7-'历史数据'!L7)/'历史数据'!I7)*100)</f>
        <v/>
      </c>
      <c r="K10" s="24">
        <f>IF('历史数据'!M7="","",'历史数据'!M7/100000000)</f>
        <v/>
      </c>
      <c r="L10" s="26">
        <f>IF(OR('历史数据'!G7=0,'历史数据'!M7=""),"",'历史数据'!M7/'历史数据'!G7)</f>
        <v/>
      </c>
      <c r="M10" s="26">
        <f>IF(OR('历史数据'!M7="",'历史数据'!N7=0),"",('历史数据'!M7-'历史数据'!N7)/ABS('历史数据'!N7))</f>
        <v/>
      </c>
      <c r="N10" s="26">
        <f>IF(OR('历史数据'!M7&lt;=0,'历史数据'!O7&lt;=0),"",POWER('历史数据'!M7/'历史数据'!O7,1/3)-1)</f>
        <v/>
      </c>
      <c r="O10" s="24">
        <f>IF('历史数据'!P7="","",'历史数据'!P7/100000000)</f>
        <v/>
      </c>
      <c r="P10" s="26">
        <f>IF(OR('历史数据'!P7="",'历史数据'!Q7=0),"",('历史数据'!P7-'历史数据'!Q7)/ABS('历史数据'!Q7))</f>
        <v/>
      </c>
      <c r="Q10" s="26">
        <f>IF(OR('历史数据'!P7&lt;=0,'历史数据'!R7&lt;=0),"",POWER('历史数据'!P7/'历史数据'!R7,1/3)-1)</f>
        <v/>
      </c>
      <c r="R10" s="24">
        <f>IF('历史数据'!S7="","",'历史数据'!S7/100000000)</f>
        <v/>
      </c>
      <c r="S10" s="25">
        <f>IF('历史数据'!T7="","",'历史数据'!T7)</f>
        <v/>
      </c>
      <c r="T10" s="28">
        <f>IF('历史数据'!U7="","",'历史数据'!U7)</f>
        <v/>
      </c>
      <c r="U10" s="28">
        <f>IF('历史数据'!V7="","",'历史数据'!V7/100000000)</f>
        <v/>
      </c>
      <c r="V10" s="24">
        <f>IF('历史数据'!W7="","",'历史数据'!W7/100000000)</f>
        <v/>
      </c>
      <c r="W10" s="28">
        <f>IF('历史数据'!X7="","",'历史数据'!X7)</f>
        <v/>
      </c>
      <c r="X10" s="26">
        <f>IF(OR(R10="",V10&lt;=0),"",R10/V10-1)</f>
        <v/>
      </c>
      <c r="Y10" s="29">
        <f>IF('历史数据'!Y7="","",'历史数据'!Y7)</f>
        <v/>
      </c>
      <c r="Z10" s="24">
        <f>IF('历史数据'!Z7="","",'历史数据'!Z7/100000000)</f>
        <v/>
      </c>
      <c r="AA10" s="24">
        <f>IF('历史数据'!AA7="","",'历史数据'!AA7/100000000)</f>
        <v/>
      </c>
      <c r="AB10" s="24">
        <f>IF('历史数据'!AB7="","",'历史数据'!AB7/100000000)</f>
        <v/>
      </c>
      <c r="AC10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10" s="13" t="inlineStr">
        <is>
          <t>SUCCESS</t>
        </is>
      </c>
    </row>
    <row r="11" ht="21" customHeight="1" s="3">
      <c r="A11" s="12" t="inlineStr">
        <is>
          <t>00027</t>
        </is>
      </c>
      <c r="B11" s="13" t="inlineStr">
        <is>
          <t>GALAXY ENT</t>
        </is>
      </c>
      <c r="C11" s="25">
        <f>IF('历史数据'!D47="","",'历史数据'!D47)</f>
        <v/>
      </c>
      <c r="D11" s="13">
        <f>IF('历史数据'!E47="","",'历史数据'!E47)</f>
        <v/>
      </c>
      <c r="E11" s="24">
        <f>IF('历史数据'!G47="","",'历史数据'!G47/100000000)</f>
        <v/>
      </c>
      <c r="F11" s="26">
        <f>IF(OR('历史数据'!G47="",'历史数据'!H47&lt;=0),"",'历史数据'!G47/'历史数据'!H47-1)</f>
        <v/>
      </c>
      <c r="G11" s="26">
        <f>IF(OR('历史数据'!G47&lt;=0,'历史数据'!I47&lt;=0),"",POWER('历史数据'!G47/'历史数据'!I47,1/3)-1)</f>
        <v/>
      </c>
      <c r="H11" s="26">
        <f>IF(OR('历史数据'!G47&lt;=0,'历史数据'!J47=""),"",('历史数据'!G47-'历史数据'!J47)/'历史数据'!G47)</f>
        <v/>
      </c>
      <c r="I11" s="27">
        <f>IF(OR(H11="",'历史数据'!H47&lt;=0,'历史数据'!K47=""),"",(H11-('历史数据'!H47-'历史数据'!K47)/'历史数据'!H47)*100)</f>
        <v/>
      </c>
      <c r="J11" s="27">
        <f>IF(OR(H11="",'历史数据'!I47&lt;=0,'历史数据'!L47=""),"",(H11-('历史数据'!I47-'历史数据'!L47)/'历史数据'!I47)*100)</f>
        <v/>
      </c>
      <c r="K11" s="24">
        <f>IF('历史数据'!M47="","",'历史数据'!M47/100000000)</f>
        <v/>
      </c>
      <c r="L11" s="26">
        <f>IF(OR('历史数据'!G47=0,'历史数据'!M47=""),"",'历史数据'!M47/'历史数据'!G47)</f>
        <v/>
      </c>
      <c r="M11" s="26">
        <f>IF(OR('历史数据'!M47="",'历史数据'!N47=0),"",('历史数据'!M47-'历史数据'!N47)/ABS('历史数据'!N47))</f>
        <v/>
      </c>
      <c r="N11" s="26">
        <f>IF(OR('历史数据'!M47&lt;=0,'历史数据'!O47&lt;=0),"",POWER('历史数据'!M47/'历史数据'!O47,1/3)-1)</f>
        <v/>
      </c>
      <c r="O11" s="24">
        <f>IF('历史数据'!P47="","",'历史数据'!P47/100000000)</f>
        <v/>
      </c>
      <c r="P11" s="26">
        <f>IF(OR('历史数据'!P47="",'历史数据'!Q47=0),"",('历史数据'!P47-'历史数据'!Q47)/ABS('历史数据'!Q47))</f>
        <v/>
      </c>
      <c r="Q11" s="26">
        <f>IF(OR('历史数据'!P47&lt;=0,'历史数据'!R47&lt;=0),"",POWER('历史数据'!P47/'历史数据'!R47,1/3)-1)</f>
        <v/>
      </c>
      <c r="R11" s="24">
        <f>IF('历史数据'!S47="","",'历史数据'!S47/100000000)</f>
        <v/>
      </c>
      <c r="S11" s="25">
        <f>IF('历史数据'!T47="","",'历史数据'!T47)</f>
        <v/>
      </c>
      <c r="T11" s="28">
        <f>IF('历史数据'!U47="","",'历史数据'!U47)</f>
        <v/>
      </c>
      <c r="U11" s="28">
        <f>IF('历史数据'!V47="","",'历史数据'!V47/100000000)</f>
        <v/>
      </c>
      <c r="V11" s="24">
        <f>IF('历史数据'!W47="","",'历史数据'!W47/100000000)</f>
        <v/>
      </c>
      <c r="W11" s="28">
        <f>IF('历史数据'!X47="","",'历史数据'!X47)</f>
        <v/>
      </c>
      <c r="X11" s="26">
        <f>IF(OR(R11="",V11&lt;=0),"",R11/V11-1)</f>
        <v/>
      </c>
      <c r="Y11" s="29">
        <f>IF('历史数据'!Y47="","",'历史数据'!Y47)</f>
        <v/>
      </c>
      <c r="Z11" s="24">
        <f>IF('历史数据'!Z47="","",'历史数据'!Z47/100000000)</f>
        <v/>
      </c>
      <c r="AA11" s="24">
        <f>IF('历史数据'!AA47="","",'历史数据'!AA47/100000000)</f>
        <v/>
      </c>
      <c r="AB11" s="24">
        <f>IF('历史数据'!AB47="","",'历史数据'!AB47/100000000)</f>
        <v/>
      </c>
      <c r="AC11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11" s="13" t="inlineStr">
        <is>
          <t>SUCCESS</t>
        </is>
      </c>
    </row>
    <row r="12" ht="21" customHeight="1" s="3">
      <c r="A12" s="12" t="inlineStr">
        <is>
          <t>00008</t>
        </is>
      </c>
      <c r="B12" s="13" t="inlineStr">
        <is>
          <t>PCCW</t>
        </is>
      </c>
      <c r="C12" s="25">
        <f>IF('历史数据'!D17="","",'历史数据'!D17)</f>
        <v/>
      </c>
      <c r="D12" s="13">
        <f>IF('历史数据'!E17="","",'历史数据'!E17)</f>
        <v/>
      </c>
      <c r="E12" s="24">
        <f>IF('历史数据'!G17="","",'历史数据'!G17/100000000)</f>
        <v/>
      </c>
      <c r="F12" s="26">
        <f>IF(OR('历史数据'!G17="",'历史数据'!H17&lt;=0),"",'历史数据'!G17/'历史数据'!H17-1)</f>
        <v/>
      </c>
      <c r="G12" s="26">
        <f>IF(OR('历史数据'!G17&lt;=0,'历史数据'!I17&lt;=0),"",POWER('历史数据'!G17/'历史数据'!I17,1/3)-1)</f>
        <v/>
      </c>
      <c r="H12" s="26">
        <f>IF(OR('历史数据'!G17&lt;=0,'历史数据'!J17=""),"",('历史数据'!G17-'历史数据'!J17)/'历史数据'!G17)</f>
        <v/>
      </c>
      <c r="I12" s="27">
        <f>IF(OR(H12="",'历史数据'!H17&lt;=0,'历史数据'!K17=""),"",(H12-('历史数据'!H17-'历史数据'!K17)/'历史数据'!H17)*100)</f>
        <v/>
      </c>
      <c r="J12" s="27">
        <f>IF(OR(H12="",'历史数据'!I17&lt;=0,'历史数据'!L17=""),"",(H12-('历史数据'!I17-'历史数据'!L17)/'历史数据'!I17)*100)</f>
        <v/>
      </c>
      <c r="K12" s="24">
        <f>IF('历史数据'!M17="","",'历史数据'!M17/100000000)</f>
        <v/>
      </c>
      <c r="L12" s="26">
        <f>IF(OR('历史数据'!G17=0,'历史数据'!M17=""),"",'历史数据'!M17/'历史数据'!G17)</f>
        <v/>
      </c>
      <c r="M12" s="26">
        <f>IF(OR('历史数据'!M17="",'历史数据'!N17=0),"",('历史数据'!M17-'历史数据'!N17)/ABS('历史数据'!N17))</f>
        <v/>
      </c>
      <c r="N12" s="26">
        <f>IF(OR('历史数据'!M17&lt;=0,'历史数据'!O17&lt;=0),"",POWER('历史数据'!M17/'历史数据'!O17,1/3)-1)</f>
        <v/>
      </c>
      <c r="O12" s="24">
        <f>IF('历史数据'!P17="","",'历史数据'!P17/100000000)</f>
        <v/>
      </c>
      <c r="P12" s="26">
        <f>IF(OR('历史数据'!P17="",'历史数据'!Q17=0),"",('历史数据'!P17-'历史数据'!Q17)/ABS('历史数据'!Q17))</f>
        <v/>
      </c>
      <c r="Q12" s="26">
        <f>IF(OR('历史数据'!P17&lt;=0,'历史数据'!R17&lt;=0),"",POWER('历史数据'!P17/'历史数据'!R17,1/3)-1)</f>
        <v/>
      </c>
      <c r="R12" s="24">
        <f>IF('历史数据'!S17="","",'历史数据'!S17/100000000)</f>
        <v/>
      </c>
      <c r="S12" s="25">
        <f>IF('历史数据'!T17="","",'历史数据'!T17)</f>
        <v/>
      </c>
      <c r="T12" s="28">
        <f>IF('历史数据'!U17="","",'历史数据'!U17)</f>
        <v/>
      </c>
      <c r="U12" s="28">
        <f>IF('历史数据'!V17="","",'历史数据'!V17/100000000)</f>
        <v/>
      </c>
      <c r="V12" s="24">
        <f>IF('历史数据'!W17="","",'历史数据'!W17/100000000)</f>
        <v/>
      </c>
      <c r="W12" s="28">
        <f>IF('历史数据'!X17="","",'历史数据'!X17)</f>
        <v/>
      </c>
      <c r="X12" s="26">
        <f>IF(OR(R12="",V12&lt;=0),"",R12/V12-1)</f>
        <v/>
      </c>
      <c r="Y12" s="29">
        <f>IF('历史数据'!Y17="","",'历史数据'!Y17)</f>
        <v/>
      </c>
      <c r="Z12" s="24">
        <f>IF('历史数据'!Z17="","",'历史数据'!Z17/100000000)</f>
        <v/>
      </c>
      <c r="AA12" s="24">
        <f>IF('历史数据'!AA17="","",'历史数据'!AA17/100000000)</f>
        <v/>
      </c>
      <c r="AB12" s="24">
        <f>IF('历史数据'!AB17="","",'历史数据'!AB17/100000000)</f>
        <v/>
      </c>
      <c r="AC12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12" s="13" t="inlineStr">
        <is>
          <t>SUCCESS</t>
        </is>
      </c>
    </row>
    <row r="13" ht="21" customHeight="1" s="3">
      <c r="A13" s="12" t="inlineStr">
        <is>
          <t>00017</t>
        </is>
      </c>
      <c r="B13" s="13" t="inlineStr">
        <is>
          <t>NEW WORLD DEV</t>
        </is>
      </c>
      <c r="C13" s="25">
        <f>IF('历史数据'!D29="","",'历史数据'!D29)</f>
        <v/>
      </c>
      <c r="D13" s="13">
        <f>IF('历史数据'!E29="","",'历史数据'!E29)</f>
        <v/>
      </c>
      <c r="E13" s="24">
        <f>IF('历史数据'!G29="","",'历史数据'!G29/100000000)</f>
        <v/>
      </c>
      <c r="F13" s="26">
        <f>IF(OR('历史数据'!G29="",'历史数据'!H29&lt;=0),"",'历史数据'!G29/'历史数据'!H29-1)</f>
        <v/>
      </c>
      <c r="G13" s="26">
        <f>IF(OR('历史数据'!G29&lt;=0,'历史数据'!I29&lt;=0),"",POWER('历史数据'!G29/'历史数据'!I29,1/3)-1)</f>
        <v/>
      </c>
      <c r="H13" s="26">
        <f>IF(OR('历史数据'!G29&lt;=0,'历史数据'!J29=""),"",('历史数据'!G29-'历史数据'!J29)/'历史数据'!G29)</f>
        <v/>
      </c>
      <c r="I13" s="27">
        <f>IF(OR(H13="",'历史数据'!H29&lt;=0,'历史数据'!K29=""),"",(H13-('历史数据'!H29-'历史数据'!K29)/'历史数据'!H29)*100)</f>
        <v/>
      </c>
      <c r="J13" s="27">
        <f>IF(OR(H13="",'历史数据'!I29&lt;=0,'历史数据'!L29=""),"",(H13-('历史数据'!I29-'历史数据'!L29)/'历史数据'!I29)*100)</f>
        <v/>
      </c>
      <c r="K13" s="24">
        <f>IF('历史数据'!M29="","",'历史数据'!M29/100000000)</f>
        <v/>
      </c>
      <c r="L13" s="26">
        <f>IF(OR('历史数据'!G29=0,'历史数据'!M29=""),"",'历史数据'!M29/'历史数据'!G29)</f>
        <v/>
      </c>
      <c r="M13" s="26">
        <f>IF(OR('历史数据'!M29="",'历史数据'!N29=0),"",('历史数据'!M29-'历史数据'!N29)/ABS('历史数据'!N29))</f>
        <v/>
      </c>
      <c r="N13" s="26">
        <f>IF(OR('历史数据'!M29&lt;=0,'历史数据'!O29&lt;=0),"",POWER('历史数据'!M29/'历史数据'!O29,1/3)-1)</f>
        <v/>
      </c>
      <c r="O13" s="24">
        <f>IF('历史数据'!P29="","",'历史数据'!P29/100000000)</f>
        <v/>
      </c>
      <c r="P13" s="26">
        <f>IF(OR('历史数据'!P29="",'历史数据'!Q29=0),"",('历史数据'!P29-'历史数据'!Q29)/ABS('历史数据'!Q29))</f>
        <v/>
      </c>
      <c r="Q13" s="26">
        <f>IF(OR('历史数据'!P29&lt;=0,'历史数据'!R29&lt;=0),"",POWER('历史数据'!P29/'历史数据'!R29,1/3)-1)</f>
        <v/>
      </c>
      <c r="R13" s="24">
        <f>IF('历史数据'!S29="","",'历史数据'!S29/100000000)</f>
        <v/>
      </c>
      <c r="S13" s="25">
        <f>IF('历史数据'!T29="","",'历史数据'!T29)</f>
        <v/>
      </c>
      <c r="T13" s="28">
        <f>IF('历史数据'!U29="","",'历史数据'!U29)</f>
        <v/>
      </c>
      <c r="U13" s="28">
        <f>IF('历史数据'!V29="","",'历史数据'!V29/100000000)</f>
        <v/>
      </c>
      <c r="V13" s="24">
        <f>IF('历史数据'!W29="","",'历史数据'!W29/100000000)</f>
        <v/>
      </c>
      <c r="W13" s="28">
        <f>IF('历史数据'!X29="","",'历史数据'!X29)</f>
        <v/>
      </c>
      <c r="X13" s="26">
        <f>IF(OR(R13="",V13&lt;=0),"",R13/V13-1)</f>
        <v/>
      </c>
      <c r="Y13" s="29">
        <f>IF('历史数据'!Y29="","",'历史数据'!Y29)</f>
        <v/>
      </c>
      <c r="Z13" s="24">
        <f>IF('历史数据'!Z29="","",'历史数据'!Z29/100000000)</f>
        <v/>
      </c>
      <c r="AA13" s="24">
        <f>IF('历史数据'!AA29="","",'历史数据'!AA29/100000000)</f>
        <v/>
      </c>
      <c r="AB13" s="24">
        <f>IF('历史数据'!AB29="","",'历史数据'!AB29/100000000)</f>
        <v/>
      </c>
      <c r="AC13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13" s="13" t="inlineStr">
        <is>
          <t>SUCCESS</t>
        </is>
      </c>
    </row>
    <row r="14" ht="21" customHeight="1" s="3">
      <c r="A14" s="12" t="inlineStr">
        <is>
          <t>00053</t>
        </is>
      </c>
      <c r="B14" s="13" t="inlineStr">
        <is>
          <t>GUOCO GROUP</t>
        </is>
      </c>
      <c r="C14" s="25">
        <f>IF('历史数据'!D91="","",'历史数据'!D91)</f>
        <v/>
      </c>
      <c r="D14" s="13">
        <f>IF('历史数据'!E91="","",'历史数据'!E91)</f>
        <v/>
      </c>
      <c r="E14" s="24">
        <f>IF('历史数据'!G91="","",'历史数据'!G91/100000000)</f>
        <v/>
      </c>
      <c r="F14" s="26">
        <f>IF(OR('历史数据'!G91="",'历史数据'!H91&lt;=0),"",'历史数据'!G91/'历史数据'!H91-1)</f>
        <v/>
      </c>
      <c r="G14" s="26">
        <f>IF(OR('历史数据'!G91&lt;=0,'历史数据'!I91&lt;=0),"",POWER('历史数据'!G91/'历史数据'!I91,1/3)-1)</f>
        <v/>
      </c>
      <c r="H14" s="26">
        <f>IF(OR('历史数据'!G91&lt;=0,'历史数据'!J91=""),"",('历史数据'!G91-'历史数据'!J91)/'历史数据'!G91)</f>
        <v/>
      </c>
      <c r="I14" s="27">
        <f>IF(OR(H14="",'历史数据'!H91&lt;=0,'历史数据'!K91=""),"",(H14-('历史数据'!H91-'历史数据'!K91)/'历史数据'!H91)*100)</f>
        <v/>
      </c>
      <c r="J14" s="27">
        <f>IF(OR(H14="",'历史数据'!I91&lt;=0,'历史数据'!L91=""),"",(H14-('历史数据'!I91-'历史数据'!L91)/'历史数据'!I91)*100)</f>
        <v/>
      </c>
      <c r="K14" s="24">
        <f>IF('历史数据'!M91="","",'历史数据'!M91/100000000)</f>
        <v/>
      </c>
      <c r="L14" s="26">
        <f>IF(OR('历史数据'!G91=0,'历史数据'!M91=""),"",'历史数据'!M91/'历史数据'!G91)</f>
        <v/>
      </c>
      <c r="M14" s="26">
        <f>IF(OR('历史数据'!M91="",'历史数据'!N91=0),"",('历史数据'!M91-'历史数据'!N91)/ABS('历史数据'!N91))</f>
        <v/>
      </c>
      <c r="N14" s="26">
        <f>IF(OR('历史数据'!M91&lt;=0,'历史数据'!O91&lt;=0),"",POWER('历史数据'!M91/'历史数据'!O91,1/3)-1)</f>
        <v/>
      </c>
      <c r="O14" s="24">
        <f>IF('历史数据'!P91="","",'历史数据'!P91/100000000)</f>
        <v/>
      </c>
      <c r="P14" s="26">
        <f>IF(OR('历史数据'!P91="",'历史数据'!Q91=0),"",('历史数据'!P91-'历史数据'!Q91)/ABS('历史数据'!Q91))</f>
        <v/>
      </c>
      <c r="Q14" s="26">
        <f>IF(OR('历史数据'!P91&lt;=0,'历史数据'!R91&lt;=0),"",POWER('历史数据'!P91/'历史数据'!R91,1/3)-1)</f>
        <v/>
      </c>
      <c r="R14" s="24">
        <f>IF('历史数据'!S91="","",'历史数据'!S91/100000000)</f>
        <v/>
      </c>
      <c r="S14" s="25">
        <f>IF('历史数据'!T91="","",'历史数据'!T91)</f>
        <v/>
      </c>
      <c r="T14" s="28">
        <f>IF('历史数据'!U91="","",'历史数据'!U91)</f>
        <v/>
      </c>
      <c r="U14" s="28">
        <f>IF('历史数据'!V91="","",'历史数据'!V91/100000000)</f>
        <v/>
      </c>
      <c r="V14" s="24">
        <f>IF('历史数据'!W91="","",'历史数据'!W91/100000000)</f>
        <v/>
      </c>
      <c r="W14" s="28">
        <f>IF('历史数据'!X91="","",'历史数据'!X91)</f>
        <v/>
      </c>
      <c r="X14" s="26">
        <f>IF(OR(R14="",V14&lt;=0),"",R14/V14-1)</f>
        <v/>
      </c>
      <c r="Y14" s="29">
        <f>IF('历史数据'!Y91="","",'历史数据'!Y91)</f>
        <v/>
      </c>
      <c r="Z14" s="24">
        <f>IF('历史数据'!Z91="","",'历史数据'!Z91/100000000)</f>
        <v/>
      </c>
      <c r="AA14" s="24">
        <f>IF('历史数据'!AA91="","",'历史数据'!AA91/100000000)</f>
        <v/>
      </c>
      <c r="AB14" s="24">
        <f>IF('历史数据'!AB91="","",'历史数据'!AB91/100000000)</f>
        <v/>
      </c>
      <c r="AC14" s="13" t="inlineStr">
        <is>
          <t>毛利率:missing；毛利率同比变化（百分点）:missing；毛利率三年变化（百分点）:missing；市值增长率:missing；发行价:optional_missing；发行股数:optional_missing</t>
        </is>
      </c>
      <c r="AD14" s="13" t="inlineStr">
        <is>
          <t>PARTIAL</t>
        </is>
      </c>
    </row>
    <row r="15" ht="21" customHeight="1" s="3">
      <c r="A15" s="12" t="inlineStr">
        <is>
          <t>00012</t>
        </is>
      </c>
      <c r="B15" s="13" t="inlineStr">
        <is>
          <t>HENDERSON LAND</t>
        </is>
      </c>
      <c r="C15" s="25">
        <f>IF('历史数据'!D21="","",'历史数据'!D21)</f>
        <v/>
      </c>
      <c r="D15" s="13">
        <f>IF('历史数据'!E21="","",'历史数据'!E21)</f>
        <v/>
      </c>
      <c r="E15" s="24">
        <f>IF('历史数据'!G21="","",'历史数据'!G21/100000000)</f>
        <v/>
      </c>
      <c r="F15" s="26">
        <f>IF(OR('历史数据'!G21="",'历史数据'!H21&lt;=0),"",'历史数据'!G21/'历史数据'!H21-1)</f>
        <v/>
      </c>
      <c r="G15" s="26">
        <f>IF(OR('历史数据'!G21&lt;=0,'历史数据'!I21&lt;=0),"",POWER('历史数据'!G21/'历史数据'!I21,1/3)-1)</f>
        <v/>
      </c>
      <c r="H15" s="26">
        <f>IF(OR('历史数据'!G21&lt;=0,'历史数据'!J21=""),"",('历史数据'!G21-'历史数据'!J21)/'历史数据'!G21)</f>
        <v/>
      </c>
      <c r="I15" s="27">
        <f>IF(OR(H15="",'历史数据'!H21&lt;=0,'历史数据'!K21=""),"",(H15-('历史数据'!H21-'历史数据'!K21)/'历史数据'!H21)*100)</f>
        <v/>
      </c>
      <c r="J15" s="27">
        <f>IF(OR(H15="",'历史数据'!I21&lt;=0,'历史数据'!L21=""),"",(H15-('历史数据'!I21-'历史数据'!L21)/'历史数据'!I21)*100)</f>
        <v/>
      </c>
      <c r="K15" s="24">
        <f>IF('历史数据'!M21="","",'历史数据'!M21/100000000)</f>
        <v/>
      </c>
      <c r="L15" s="26">
        <f>IF(OR('历史数据'!G21=0,'历史数据'!M21=""),"",'历史数据'!M21/'历史数据'!G21)</f>
        <v/>
      </c>
      <c r="M15" s="26">
        <f>IF(OR('历史数据'!M21="",'历史数据'!N21=0),"",('历史数据'!M21-'历史数据'!N21)/ABS('历史数据'!N21))</f>
        <v/>
      </c>
      <c r="N15" s="26">
        <f>IF(OR('历史数据'!M21&lt;=0,'历史数据'!O21&lt;=0),"",POWER('历史数据'!M21/'历史数据'!O21,1/3)-1)</f>
        <v/>
      </c>
      <c r="O15" s="24">
        <f>IF('历史数据'!P21="","",'历史数据'!P21/100000000)</f>
        <v/>
      </c>
      <c r="P15" s="26">
        <f>IF(OR('历史数据'!P21="",'历史数据'!Q21=0),"",('历史数据'!P21-'历史数据'!Q21)/ABS('历史数据'!Q21))</f>
        <v/>
      </c>
      <c r="Q15" s="26">
        <f>IF(OR('历史数据'!P21&lt;=0,'历史数据'!R21&lt;=0),"",POWER('历史数据'!P21/'历史数据'!R21,1/3)-1)</f>
        <v/>
      </c>
      <c r="R15" s="24">
        <f>IF('历史数据'!S21="","",'历史数据'!S21/100000000)</f>
        <v/>
      </c>
      <c r="S15" s="25">
        <f>IF('历史数据'!T21="","",'历史数据'!T21)</f>
        <v/>
      </c>
      <c r="T15" s="28">
        <f>IF('历史数据'!U21="","",'历史数据'!U21)</f>
        <v/>
      </c>
      <c r="U15" s="28">
        <f>IF('历史数据'!V21="","",'历史数据'!V21/100000000)</f>
        <v/>
      </c>
      <c r="V15" s="24">
        <f>IF('历史数据'!W21="","",'历史数据'!W21/100000000)</f>
        <v/>
      </c>
      <c r="W15" s="28">
        <f>IF('历史数据'!X21="","",'历史数据'!X21)</f>
        <v/>
      </c>
      <c r="X15" s="26">
        <f>IF(OR(R15="",V15&lt;=0),"",R15/V15-1)</f>
        <v/>
      </c>
      <c r="Y15" s="29">
        <f>IF('历史数据'!Y21="","",'历史数据'!Y21)</f>
        <v/>
      </c>
      <c r="Z15" s="24">
        <f>IF('历史数据'!Z21="","",'历史数据'!Z21/100000000)</f>
        <v/>
      </c>
      <c r="AA15" s="24">
        <f>IF('历史数据'!AA21="","",'历史数据'!AA21/100000000)</f>
        <v/>
      </c>
      <c r="AB15" s="24">
        <f>IF('历史数据'!AB21="","",'历史数据'!AB21/100000000)</f>
        <v/>
      </c>
      <c r="AC15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15" s="13" t="inlineStr">
        <is>
          <t>SUCCESS</t>
        </is>
      </c>
    </row>
    <row r="16" ht="21" customHeight="1" s="3">
      <c r="A16" s="12" t="inlineStr">
        <is>
          <t>00023</t>
        </is>
      </c>
      <c r="B16" s="13" t="inlineStr">
        <is>
          <t>BANK OF E ASIA</t>
        </is>
      </c>
      <c r="C16" s="25">
        <f>IF('历史数据'!D41="","",'历史数据'!D41)</f>
        <v/>
      </c>
      <c r="D16" s="13">
        <f>IF('历史数据'!E41="","",'历史数据'!E41)</f>
        <v/>
      </c>
      <c r="E16" s="24">
        <f>IF('历史数据'!G41="","",'历史数据'!G41/100000000)</f>
        <v/>
      </c>
      <c r="F16" s="26">
        <f>IF(OR('历史数据'!G41="",'历史数据'!H41&lt;=0),"",'历史数据'!G41/'历史数据'!H41-1)</f>
        <v/>
      </c>
      <c r="G16" s="26">
        <f>IF(OR('历史数据'!G41&lt;=0,'历史数据'!I41&lt;=0),"",POWER('历史数据'!G41/'历史数据'!I41,1/3)-1)</f>
        <v/>
      </c>
      <c r="H16" s="26">
        <f>IF(OR('历史数据'!G41&lt;=0,'历史数据'!J41=""),"",('历史数据'!G41-'历史数据'!J41)/'历史数据'!G41)</f>
        <v/>
      </c>
      <c r="I16" s="27">
        <f>IF(OR(H16="",'历史数据'!H41&lt;=0,'历史数据'!K41=""),"",(H16-('历史数据'!H41-'历史数据'!K41)/'历史数据'!H41)*100)</f>
        <v/>
      </c>
      <c r="J16" s="27">
        <f>IF(OR(H16="",'历史数据'!I41&lt;=0,'历史数据'!L41=""),"",(H16-('历史数据'!I41-'历史数据'!L41)/'历史数据'!I41)*100)</f>
        <v/>
      </c>
      <c r="K16" s="24">
        <f>IF('历史数据'!M41="","",'历史数据'!M41/100000000)</f>
        <v/>
      </c>
      <c r="L16" s="26">
        <f>IF(OR('历史数据'!G41=0,'历史数据'!M41=""),"",'历史数据'!M41/'历史数据'!G41)</f>
        <v/>
      </c>
      <c r="M16" s="26">
        <f>IF(OR('历史数据'!M41="",'历史数据'!N41=0),"",('历史数据'!M41-'历史数据'!N41)/ABS('历史数据'!N41))</f>
        <v/>
      </c>
      <c r="N16" s="26">
        <f>IF(OR('历史数据'!M41&lt;=0,'历史数据'!O41&lt;=0),"",POWER('历史数据'!M41/'历史数据'!O41,1/3)-1)</f>
        <v/>
      </c>
      <c r="O16" s="24">
        <f>IF('历史数据'!P41="","",'历史数据'!P41/100000000)</f>
        <v/>
      </c>
      <c r="P16" s="26">
        <f>IF(OR('历史数据'!P41="",'历史数据'!Q41=0),"",('历史数据'!P41-'历史数据'!Q41)/ABS('历史数据'!Q41))</f>
        <v/>
      </c>
      <c r="Q16" s="26">
        <f>IF(OR('历史数据'!P41&lt;=0,'历史数据'!R41&lt;=0),"",POWER('历史数据'!P41/'历史数据'!R41,1/3)-1)</f>
        <v/>
      </c>
      <c r="R16" s="24">
        <f>IF('历史数据'!S41="","",'历史数据'!S41/100000000)</f>
        <v/>
      </c>
      <c r="S16" s="25">
        <f>IF('历史数据'!T41="","",'历史数据'!T41)</f>
        <v/>
      </c>
      <c r="T16" s="28">
        <f>IF('历史数据'!U41="","",'历史数据'!U41)</f>
        <v/>
      </c>
      <c r="U16" s="28">
        <f>IF('历史数据'!V41="","",'历史数据'!V41/100000000)</f>
        <v/>
      </c>
      <c r="V16" s="24">
        <f>IF('历史数据'!W41="","",'历史数据'!W41/100000000)</f>
        <v/>
      </c>
      <c r="W16" s="28">
        <f>IF('历史数据'!X41="","",'历史数据'!X41)</f>
        <v/>
      </c>
      <c r="X16" s="26">
        <f>IF(OR(R16="",V16&lt;=0),"",R16/V16-1)</f>
        <v/>
      </c>
      <c r="Y16" s="29">
        <f>IF('历史数据'!Y41="","",'历史数据'!Y41)</f>
        <v/>
      </c>
      <c r="Z16" s="24">
        <f>IF('历史数据'!Z41="","",'历史数据'!Z41/100000000)</f>
        <v/>
      </c>
      <c r="AA16" s="24">
        <f>IF('历史数据'!AA41="","",'历史数据'!AA41/100000000)</f>
        <v/>
      </c>
      <c r="AB16" s="24">
        <f>IF('历史数据'!AB41="","",'历史数据'!AB41/100000000)</f>
        <v/>
      </c>
      <c r="AC16" s="13" t="inlineStr">
        <is>
          <t>毛利率:missing；毛利率同比变化（百分点）:missing；毛利率三年变化（百分点）:missing；市值增长率:missing；发行价:optional_missing；发行股数:optional_missing</t>
        </is>
      </c>
      <c r="AD16" s="13" t="inlineStr">
        <is>
          <t>PARTIAL</t>
        </is>
      </c>
    </row>
    <row r="17" ht="21" customHeight="1" s="3">
      <c r="A17" s="12" t="inlineStr">
        <is>
          <t>00041</t>
        </is>
      </c>
      <c r="B17" s="13" t="inlineStr">
        <is>
          <t>GREAT EAGLE H</t>
        </is>
      </c>
      <c r="C17" s="25">
        <f>IF('历史数据'!D75="","",'历史数据'!D75)</f>
        <v/>
      </c>
      <c r="D17" s="13">
        <f>IF('历史数据'!E75="","",'历史数据'!E75)</f>
        <v/>
      </c>
      <c r="E17" s="24">
        <f>IF('历史数据'!G75="","",'历史数据'!G75/100000000)</f>
        <v/>
      </c>
      <c r="F17" s="26">
        <f>IF(OR('历史数据'!G75="",'历史数据'!H75&lt;=0),"",'历史数据'!G75/'历史数据'!H75-1)</f>
        <v/>
      </c>
      <c r="G17" s="26">
        <f>IF(OR('历史数据'!G75&lt;=0,'历史数据'!I75&lt;=0),"",POWER('历史数据'!G75/'历史数据'!I75,1/3)-1)</f>
        <v/>
      </c>
      <c r="H17" s="26">
        <f>IF(OR('历史数据'!G75&lt;=0,'历史数据'!J75=""),"",('历史数据'!G75-'历史数据'!J75)/'历史数据'!G75)</f>
        <v/>
      </c>
      <c r="I17" s="27">
        <f>IF(OR(H17="",'历史数据'!H75&lt;=0,'历史数据'!K75=""),"",(H17-('历史数据'!H75-'历史数据'!K75)/'历史数据'!H75)*100)</f>
        <v/>
      </c>
      <c r="J17" s="27">
        <f>IF(OR(H17="",'历史数据'!I75&lt;=0,'历史数据'!L75=""),"",(H17-('历史数据'!I75-'历史数据'!L75)/'历史数据'!I75)*100)</f>
        <v/>
      </c>
      <c r="K17" s="24">
        <f>IF('历史数据'!M75="","",'历史数据'!M75/100000000)</f>
        <v/>
      </c>
      <c r="L17" s="26">
        <f>IF(OR('历史数据'!G75=0,'历史数据'!M75=""),"",'历史数据'!M75/'历史数据'!G75)</f>
        <v/>
      </c>
      <c r="M17" s="26">
        <f>IF(OR('历史数据'!M75="",'历史数据'!N75=0),"",('历史数据'!M75-'历史数据'!N75)/ABS('历史数据'!N75))</f>
        <v/>
      </c>
      <c r="N17" s="26">
        <f>IF(OR('历史数据'!M75&lt;=0,'历史数据'!O75&lt;=0),"",POWER('历史数据'!M75/'历史数据'!O75,1/3)-1)</f>
        <v/>
      </c>
      <c r="O17" s="24">
        <f>IF('历史数据'!P75="","",'历史数据'!P75/100000000)</f>
        <v/>
      </c>
      <c r="P17" s="26">
        <f>IF(OR('历史数据'!P75="",'历史数据'!Q75=0),"",('历史数据'!P75-'历史数据'!Q75)/ABS('历史数据'!Q75))</f>
        <v/>
      </c>
      <c r="Q17" s="26">
        <f>IF(OR('历史数据'!P75&lt;=0,'历史数据'!R75&lt;=0),"",POWER('历史数据'!P75/'历史数据'!R75,1/3)-1)</f>
        <v/>
      </c>
      <c r="R17" s="24">
        <f>IF('历史数据'!S75="","",'历史数据'!S75/100000000)</f>
        <v/>
      </c>
      <c r="S17" s="25">
        <f>IF('历史数据'!T75="","",'历史数据'!T75)</f>
        <v/>
      </c>
      <c r="T17" s="28">
        <f>IF('历史数据'!U75="","",'历史数据'!U75)</f>
        <v/>
      </c>
      <c r="U17" s="28">
        <f>IF('历史数据'!V75="","",'历史数据'!V75/100000000)</f>
        <v/>
      </c>
      <c r="V17" s="24">
        <f>IF('历史数据'!W75="","",'历史数据'!W75/100000000)</f>
        <v/>
      </c>
      <c r="W17" s="28">
        <f>IF('历史数据'!X75="","",'历史数据'!X75)</f>
        <v/>
      </c>
      <c r="X17" s="26">
        <f>IF(OR(R17="",V17&lt;=0),"",R17/V17-1)</f>
        <v/>
      </c>
      <c r="Y17" s="29">
        <f>IF('历史数据'!Y75="","",'历史数据'!Y75)</f>
        <v/>
      </c>
      <c r="Z17" s="24">
        <f>IF('历史数据'!Z75="","",'历史数据'!Z75/100000000)</f>
        <v/>
      </c>
      <c r="AA17" s="24">
        <f>IF('历史数据'!AA75="","",'历史数据'!AA75/100000000)</f>
        <v/>
      </c>
      <c r="AB17" s="24">
        <f>IF('历史数据'!AB75="","",'历史数据'!AB75/100000000)</f>
        <v/>
      </c>
      <c r="AC1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17" s="13" t="inlineStr">
        <is>
          <t>SUCCESS</t>
        </is>
      </c>
    </row>
    <row r="18" ht="21" customHeight="1" s="3">
      <c r="A18" s="12" t="inlineStr">
        <is>
          <t>00038</t>
        </is>
      </c>
      <c r="B18" s="13" t="inlineStr">
        <is>
          <t>FIRST TRACTOR</t>
        </is>
      </c>
      <c r="C18" s="25">
        <f>IF('历史数据'!D69="","",'历史数据'!D69)</f>
        <v/>
      </c>
      <c r="D18" s="13">
        <f>IF('历史数据'!E69="","",'历史数据'!E69)</f>
        <v/>
      </c>
      <c r="E18" s="24">
        <f>IF('历史数据'!G69="","",'历史数据'!G69/100000000)</f>
        <v/>
      </c>
      <c r="F18" s="26">
        <f>IF(OR('历史数据'!G69="",'历史数据'!H69&lt;=0),"",'历史数据'!G69/'历史数据'!H69-1)</f>
        <v/>
      </c>
      <c r="G18" s="26">
        <f>IF(OR('历史数据'!G69&lt;=0,'历史数据'!I69&lt;=0),"",POWER('历史数据'!G69/'历史数据'!I69,1/3)-1)</f>
        <v/>
      </c>
      <c r="H18" s="26">
        <f>IF(OR('历史数据'!G69&lt;=0,'历史数据'!J69=""),"",('历史数据'!G69-'历史数据'!J69)/'历史数据'!G69)</f>
        <v/>
      </c>
      <c r="I18" s="27">
        <f>IF(OR(H18="",'历史数据'!H69&lt;=0,'历史数据'!K69=""),"",(H18-('历史数据'!H69-'历史数据'!K69)/'历史数据'!H69)*100)</f>
        <v/>
      </c>
      <c r="J18" s="27">
        <f>IF(OR(H18="",'历史数据'!I69&lt;=0,'历史数据'!L69=""),"",(H18-('历史数据'!I69-'历史数据'!L69)/'历史数据'!I69)*100)</f>
        <v/>
      </c>
      <c r="K18" s="24">
        <f>IF('历史数据'!M69="","",'历史数据'!M69/100000000)</f>
        <v/>
      </c>
      <c r="L18" s="26">
        <f>IF(OR('历史数据'!G69=0,'历史数据'!M69=""),"",'历史数据'!M69/'历史数据'!G69)</f>
        <v/>
      </c>
      <c r="M18" s="26">
        <f>IF(OR('历史数据'!M69="",'历史数据'!N69=0),"",('历史数据'!M69-'历史数据'!N69)/ABS('历史数据'!N69))</f>
        <v/>
      </c>
      <c r="N18" s="26">
        <f>IF(OR('历史数据'!M69&lt;=0,'历史数据'!O69&lt;=0),"",POWER('历史数据'!M69/'历史数据'!O69,1/3)-1)</f>
        <v/>
      </c>
      <c r="O18" s="24">
        <f>IF('历史数据'!P69="","",'历史数据'!P69/100000000)</f>
        <v/>
      </c>
      <c r="P18" s="26">
        <f>IF(OR('历史数据'!P69="",'历史数据'!Q69=0),"",('历史数据'!P69-'历史数据'!Q69)/ABS('历史数据'!Q69))</f>
        <v/>
      </c>
      <c r="Q18" s="26">
        <f>IF(OR('历史数据'!P69&lt;=0,'历史数据'!R69&lt;=0),"",POWER('历史数据'!P69/'历史数据'!R69,1/3)-1)</f>
        <v/>
      </c>
      <c r="R18" s="24">
        <f>IF('历史数据'!S69="","",'历史数据'!S69/100000000)</f>
        <v/>
      </c>
      <c r="S18" s="25">
        <f>IF('历史数据'!T69="","",'历史数据'!T69)</f>
        <v/>
      </c>
      <c r="T18" s="28">
        <f>IF('历史数据'!U69="","",'历史数据'!U69)</f>
        <v/>
      </c>
      <c r="U18" s="28">
        <f>IF('历史数据'!V69="","",'历史数据'!V69/100000000)</f>
        <v/>
      </c>
      <c r="V18" s="24">
        <f>IF('历史数据'!W69="","",'历史数据'!W69/100000000)</f>
        <v/>
      </c>
      <c r="W18" s="28">
        <f>IF('历史数据'!X69="","",'历史数据'!X69)</f>
        <v/>
      </c>
      <c r="X18" s="26">
        <f>IF(OR(R18="",V18&lt;=0),"",R18/V18-1)</f>
        <v/>
      </c>
      <c r="Y18" s="29">
        <f>IF('历史数据'!Y69="","",'历史数据'!Y69)</f>
        <v/>
      </c>
      <c r="Z18" s="24">
        <f>IF('历史数据'!Z69="","",'历史数据'!Z69/100000000)</f>
        <v/>
      </c>
      <c r="AA18" s="24">
        <f>IF('历史数据'!AA69="","",'历史数据'!AA69/100000000)</f>
        <v/>
      </c>
      <c r="AB18" s="24">
        <f>IF('历史数据'!AB69="","",'历史数据'!AB69/100000000)</f>
        <v/>
      </c>
      <c r="AC18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18" s="13" t="inlineStr">
        <is>
          <t>SUCCESS</t>
        </is>
      </c>
    </row>
    <row r="19" ht="21" customHeight="1" s="3">
      <c r="A19" s="12" t="inlineStr">
        <is>
          <t>00004</t>
        </is>
      </c>
      <c r="B19" s="13" t="inlineStr">
        <is>
          <t>WHARF HOLDINGS</t>
        </is>
      </c>
      <c r="C19" s="25">
        <f>IF('历史数据'!D9="","",'历史数据'!D9)</f>
        <v/>
      </c>
      <c r="D19" s="13">
        <f>IF('历史数据'!E9="","",'历史数据'!E9)</f>
        <v/>
      </c>
      <c r="E19" s="24">
        <f>IF('历史数据'!G9="","",'历史数据'!G9/100000000)</f>
        <v/>
      </c>
      <c r="F19" s="26">
        <f>IF(OR('历史数据'!G9="",'历史数据'!H9&lt;=0),"",'历史数据'!G9/'历史数据'!H9-1)</f>
        <v/>
      </c>
      <c r="G19" s="26">
        <f>IF(OR('历史数据'!G9&lt;=0,'历史数据'!I9&lt;=0),"",POWER('历史数据'!G9/'历史数据'!I9,1/3)-1)</f>
        <v/>
      </c>
      <c r="H19" s="26">
        <f>IF(OR('历史数据'!G9&lt;=0,'历史数据'!J9=""),"",('历史数据'!G9-'历史数据'!J9)/'历史数据'!G9)</f>
        <v/>
      </c>
      <c r="I19" s="27">
        <f>IF(OR(H19="",'历史数据'!H9&lt;=0,'历史数据'!K9=""),"",(H19-('历史数据'!H9-'历史数据'!K9)/'历史数据'!H9)*100)</f>
        <v/>
      </c>
      <c r="J19" s="27">
        <f>IF(OR(H19="",'历史数据'!I9&lt;=0,'历史数据'!L9=""),"",(H19-('历史数据'!I9-'历史数据'!L9)/'历史数据'!I9)*100)</f>
        <v/>
      </c>
      <c r="K19" s="24">
        <f>IF('历史数据'!M9="","",'历史数据'!M9/100000000)</f>
        <v/>
      </c>
      <c r="L19" s="26">
        <f>IF(OR('历史数据'!G9=0,'历史数据'!M9=""),"",'历史数据'!M9/'历史数据'!G9)</f>
        <v/>
      </c>
      <c r="M19" s="26">
        <f>IF(OR('历史数据'!M9="",'历史数据'!N9=0),"",('历史数据'!M9-'历史数据'!N9)/ABS('历史数据'!N9))</f>
        <v/>
      </c>
      <c r="N19" s="26">
        <f>IF(OR('历史数据'!M9&lt;=0,'历史数据'!O9&lt;=0),"",POWER('历史数据'!M9/'历史数据'!O9,1/3)-1)</f>
        <v/>
      </c>
      <c r="O19" s="24">
        <f>IF('历史数据'!P9="","",'历史数据'!P9/100000000)</f>
        <v/>
      </c>
      <c r="P19" s="26">
        <f>IF(OR('历史数据'!P9="",'历史数据'!Q9=0),"",('历史数据'!P9-'历史数据'!Q9)/ABS('历史数据'!Q9))</f>
        <v/>
      </c>
      <c r="Q19" s="26">
        <f>IF(OR('历史数据'!P9&lt;=0,'历史数据'!R9&lt;=0),"",POWER('历史数据'!P9/'历史数据'!R9,1/3)-1)</f>
        <v/>
      </c>
      <c r="R19" s="24">
        <f>IF('历史数据'!S9="","",'历史数据'!S9/100000000)</f>
        <v/>
      </c>
      <c r="S19" s="25">
        <f>IF('历史数据'!T9="","",'历史数据'!T9)</f>
        <v/>
      </c>
      <c r="T19" s="28">
        <f>IF('历史数据'!U9="","",'历史数据'!U9)</f>
        <v/>
      </c>
      <c r="U19" s="28">
        <f>IF('历史数据'!V9="","",'历史数据'!V9/100000000)</f>
        <v/>
      </c>
      <c r="V19" s="24">
        <f>IF('历史数据'!W9="","",'历史数据'!W9/100000000)</f>
        <v/>
      </c>
      <c r="W19" s="28">
        <f>IF('历史数据'!X9="","",'历史数据'!X9)</f>
        <v/>
      </c>
      <c r="X19" s="26">
        <f>IF(OR(R19="",V19&lt;=0),"",R19/V19-1)</f>
        <v/>
      </c>
      <c r="Y19" s="29">
        <f>IF('历史数据'!Y9="","",'历史数据'!Y9)</f>
        <v/>
      </c>
      <c r="Z19" s="24">
        <f>IF('历史数据'!Z9="","",'历史数据'!Z9/100000000)</f>
        <v/>
      </c>
      <c r="AA19" s="24">
        <f>IF('历史数据'!AA9="","",'历史数据'!AA9/100000000)</f>
        <v/>
      </c>
      <c r="AB19" s="24">
        <f>IF('历史数据'!AB9="","",'历史数据'!AB9/100000000)</f>
        <v/>
      </c>
      <c r="AC1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19" s="13" t="inlineStr">
        <is>
          <t>SUCCESS</t>
        </is>
      </c>
    </row>
    <row r="20" ht="21" customHeight="1" s="3">
      <c r="A20" s="12" t="inlineStr">
        <is>
          <t>00028</t>
        </is>
      </c>
      <c r="B20" s="13" t="inlineStr">
        <is>
          <t>TIAN AN</t>
        </is>
      </c>
      <c r="C20" s="25">
        <f>IF('历史数据'!D49="","",'历史数据'!D49)</f>
        <v/>
      </c>
      <c r="D20" s="13">
        <f>IF('历史数据'!E49="","",'历史数据'!E49)</f>
        <v/>
      </c>
      <c r="E20" s="24">
        <f>IF('历史数据'!G49="","",'历史数据'!G49/100000000)</f>
        <v/>
      </c>
      <c r="F20" s="26">
        <f>IF(OR('历史数据'!G49="",'历史数据'!H49&lt;=0),"",'历史数据'!G49/'历史数据'!H49-1)</f>
        <v/>
      </c>
      <c r="G20" s="26">
        <f>IF(OR('历史数据'!G49&lt;=0,'历史数据'!I49&lt;=0),"",POWER('历史数据'!G49/'历史数据'!I49,1/3)-1)</f>
        <v/>
      </c>
      <c r="H20" s="26">
        <f>IF(OR('历史数据'!G49&lt;=0,'历史数据'!J49=""),"",('历史数据'!G49-'历史数据'!J49)/'历史数据'!G49)</f>
        <v/>
      </c>
      <c r="I20" s="27">
        <f>IF(OR(H20="",'历史数据'!H49&lt;=0,'历史数据'!K49=""),"",(H20-('历史数据'!H49-'历史数据'!K49)/'历史数据'!H49)*100)</f>
        <v/>
      </c>
      <c r="J20" s="27">
        <f>IF(OR(H20="",'历史数据'!I49&lt;=0,'历史数据'!L49=""),"",(H20-('历史数据'!I49-'历史数据'!L49)/'历史数据'!I49)*100)</f>
        <v/>
      </c>
      <c r="K20" s="24">
        <f>IF('历史数据'!M49="","",'历史数据'!M49/100000000)</f>
        <v/>
      </c>
      <c r="L20" s="26">
        <f>IF(OR('历史数据'!G49=0,'历史数据'!M49=""),"",'历史数据'!M49/'历史数据'!G49)</f>
        <v/>
      </c>
      <c r="M20" s="26">
        <f>IF(OR('历史数据'!M49="",'历史数据'!N49=0),"",('历史数据'!M49-'历史数据'!N49)/ABS('历史数据'!N49))</f>
        <v/>
      </c>
      <c r="N20" s="26">
        <f>IF(OR('历史数据'!M49&lt;=0,'历史数据'!O49&lt;=0),"",POWER('历史数据'!M49/'历史数据'!O49,1/3)-1)</f>
        <v/>
      </c>
      <c r="O20" s="24">
        <f>IF('历史数据'!P49="","",'历史数据'!P49/100000000)</f>
        <v/>
      </c>
      <c r="P20" s="26">
        <f>IF(OR('历史数据'!P49="",'历史数据'!Q49=0),"",('历史数据'!P49-'历史数据'!Q49)/ABS('历史数据'!Q49))</f>
        <v/>
      </c>
      <c r="Q20" s="26">
        <f>IF(OR('历史数据'!P49&lt;=0,'历史数据'!R49&lt;=0),"",POWER('历史数据'!P49/'历史数据'!R49,1/3)-1)</f>
        <v/>
      </c>
      <c r="R20" s="24">
        <f>IF('历史数据'!S49="","",'历史数据'!S49/100000000)</f>
        <v/>
      </c>
      <c r="S20" s="25">
        <f>IF('历史数据'!T49="","",'历史数据'!T49)</f>
        <v/>
      </c>
      <c r="T20" s="28">
        <f>IF('历史数据'!U49="","",'历史数据'!U49)</f>
        <v/>
      </c>
      <c r="U20" s="28">
        <f>IF('历史数据'!V49="","",'历史数据'!V49/100000000)</f>
        <v/>
      </c>
      <c r="V20" s="24">
        <f>IF('历史数据'!W49="","",'历史数据'!W49/100000000)</f>
        <v/>
      </c>
      <c r="W20" s="28">
        <f>IF('历史数据'!X49="","",'历史数据'!X49)</f>
        <v/>
      </c>
      <c r="X20" s="26">
        <f>IF(OR(R20="",V20&lt;=0),"",R20/V20-1)</f>
        <v/>
      </c>
      <c r="Y20" s="29">
        <f>IF('历史数据'!Y49="","",'历史数据'!Y49)</f>
        <v/>
      </c>
      <c r="Z20" s="24">
        <f>IF('历史数据'!Z49="","",'历史数据'!Z49/100000000)</f>
        <v/>
      </c>
      <c r="AA20" s="24">
        <f>IF('历史数据'!AA49="","",'历史数据'!AA49/100000000)</f>
        <v/>
      </c>
      <c r="AB20" s="24">
        <f>IF('历史数据'!AB49="","",'历史数据'!AB49/100000000)</f>
        <v/>
      </c>
      <c r="AC20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0" s="13" t="inlineStr">
        <is>
          <t>SUCCESS</t>
        </is>
      </c>
    </row>
    <row r="21" ht="21" customHeight="1" s="3">
      <c r="A21" s="12" t="inlineStr">
        <is>
          <t>00010</t>
        </is>
      </c>
      <c r="B21" s="13" t="inlineStr">
        <is>
          <t>HANG LUNG GROUP</t>
        </is>
      </c>
      <c r="C21" s="25">
        <f>IF('历史数据'!D19="","",'历史数据'!D19)</f>
        <v/>
      </c>
      <c r="D21" s="13">
        <f>IF('历史数据'!E19="","",'历史数据'!E19)</f>
        <v/>
      </c>
      <c r="E21" s="24">
        <f>IF('历史数据'!G19="","",'历史数据'!G19/100000000)</f>
        <v/>
      </c>
      <c r="F21" s="26">
        <f>IF(OR('历史数据'!G19="",'历史数据'!H19&lt;=0),"",'历史数据'!G19/'历史数据'!H19-1)</f>
        <v/>
      </c>
      <c r="G21" s="26">
        <f>IF(OR('历史数据'!G19&lt;=0,'历史数据'!I19&lt;=0),"",POWER('历史数据'!G19/'历史数据'!I19,1/3)-1)</f>
        <v/>
      </c>
      <c r="H21" s="26">
        <f>IF(OR('历史数据'!G19&lt;=0,'历史数据'!J19=""),"",('历史数据'!G19-'历史数据'!J19)/'历史数据'!G19)</f>
        <v/>
      </c>
      <c r="I21" s="27">
        <f>IF(OR(H21="",'历史数据'!H19&lt;=0,'历史数据'!K19=""),"",(H21-('历史数据'!H19-'历史数据'!K19)/'历史数据'!H19)*100)</f>
        <v/>
      </c>
      <c r="J21" s="27">
        <f>IF(OR(H21="",'历史数据'!I19&lt;=0,'历史数据'!L19=""),"",(H21-('历史数据'!I19-'历史数据'!L19)/'历史数据'!I19)*100)</f>
        <v/>
      </c>
      <c r="K21" s="24">
        <f>IF('历史数据'!M19="","",'历史数据'!M19/100000000)</f>
        <v/>
      </c>
      <c r="L21" s="26">
        <f>IF(OR('历史数据'!G19=0,'历史数据'!M19=""),"",'历史数据'!M19/'历史数据'!G19)</f>
        <v/>
      </c>
      <c r="M21" s="26">
        <f>IF(OR('历史数据'!M19="",'历史数据'!N19=0),"",('历史数据'!M19-'历史数据'!N19)/ABS('历史数据'!N19))</f>
        <v/>
      </c>
      <c r="N21" s="26">
        <f>IF(OR('历史数据'!M19&lt;=0,'历史数据'!O19&lt;=0),"",POWER('历史数据'!M19/'历史数据'!O19,1/3)-1)</f>
        <v/>
      </c>
      <c r="O21" s="24">
        <f>IF('历史数据'!P19="","",'历史数据'!P19/100000000)</f>
        <v/>
      </c>
      <c r="P21" s="26">
        <f>IF(OR('历史数据'!P19="",'历史数据'!Q19=0),"",('历史数据'!P19-'历史数据'!Q19)/ABS('历史数据'!Q19))</f>
        <v/>
      </c>
      <c r="Q21" s="26">
        <f>IF(OR('历史数据'!P19&lt;=0,'历史数据'!R19&lt;=0),"",POWER('历史数据'!P19/'历史数据'!R19,1/3)-1)</f>
        <v/>
      </c>
      <c r="R21" s="24">
        <f>IF('历史数据'!S19="","",'历史数据'!S19/100000000)</f>
        <v/>
      </c>
      <c r="S21" s="25">
        <f>IF('历史数据'!T19="","",'历史数据'!T19)</f>
        <v/>
      </c>
      <c r="T21" s="28">
        <f>IF('历史数据'!U19="","",'历史数据'!U19)</f>
        <v/>
      </c>
      <c r="U21" s="28">
        <f>IF('历史数据'!V19="","",'历史数据'!V19/100000000)</f>
        <v/>
      </c>
      <c r="V21" s="24">
        <f>IF('历史数据'!W19="","",'历史数据'!W19/100000000)</f>
        <v/>
      </c>
      <c r="W21" s="28">
        <f>IF('历史数据'!X19="","",'历史数据'!X19)</f>
        <v/>
      </c>
      <c r="X21" s="26">
        <f>IF(OR(R21="",V21&lt;=0),"",R21/V21-1)</f>
        <v/>
      </c>
      <c r="Y21" s="29">
        <f>IF('历史数据'!Y19="","",'历史数据'!Y19)</f>
        <v/>
      </c>
      <c r="Z21" s="24">
        <f>IF('历史数据'!Z19="","",'历史数据'!Z19/100000000)</f>
        <v/>
      </c>
      <c r="AA21" s="24">
        <f>IF('历史数据'!AA19="","",'历史数据'!AA19/100000000)</f>
        <v/>
      </c>
      <c r="AB21" s="24">
        <f>IF('历史数据'!AB19="","",'历史数据'!AB19/100000000)</f>
        <v/>
      </c>
      <c r="AC21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1" s="13" t="inlineStr">
        <is>
          <t>SUCCESS</t>
        </is>
      </c>
    </row>
    <row r="22" ht="21" customHeight="1" s="3">
      <c r="A22" s="12" t="inlineStr">
        <is>
          <t>00035</t>
        </is>
      </c>
      <c r="B22" s="13" t="inlineStr">
        <is>
          <t>FE CONSORT INTL</t>
        </is>
      </c>
      <c r="C22" s="25">
        <f>IF('历史数据'!D63="","",'历史数据'!D63)</f>
        <v/>
      </c>
      <c r="D22" s="13">
        <f>IF('历史数据'!E63="","",'历史数据'!E63)</f>
        <v/>
      </c>
      <c r="E22" s="24">
        <f>IF('历史数据'!G63="","",'历史数据'!G63/100000000)</f>
        <v/>
      </c>
      <c r="F22" s="26">
        <f>IF(OR('历史数据'!G63="",'历史数据'!H63&lt;=0),"",'历史数据'!G63/'历史数据'!H63-1)</f>
        <v/>
      </c>
      <c r="G22" s="26">
        <f>IF(OR('历史数据'!G63&lt;=0,'历史数据'!I63&lt;=0),"",POWER('历史数据'!G63/'历史数据'!I63,1/3)-1)</f>
        <v/>
      </c>
      <c r="H22" s="26">
        <f>IF(OR('历史数据'!G63&lt;=0,'历史数据'!J63=""),"",('历史数据'!G63-'历史数据'!J63)/'历史数据'!G63)</f>
        <v/>
      </c>
      <c r="I22" s="27">
        <f>IF(OR(H22="",'历史数据'!H63&lt;=0,'历史数据'!K63=""),"",(H22-('历史数据'!H63-'历史数据'!K63)/'历史数据'!H63)*100)</f>
        <v/>
      </c>
      <c r="J22" s="27">
        <f>IF(OR(H22="",'历史数据'!I63&lt;=0,'历史数据'!L63=""),"",(H22-('历史数据'!I63-'历史数据'!L63)/'历史数据'!I63)*100)</f>
        <v/>
      </c>
      <c r="K22" s="24">
        <f>IF('历史数据'!M63="","",'历史数据'!M63/100000000)</f>
        <v/>
      </c>
      <c r="L22" s="26">
        <f>IF(OR('历史数据'!G63=0,'历史数据'!M63=""),"",'历史数据'!M63/'历史数据'!G63)</f>
        <v/>
      </c>
      <c r="M22" s="26">
        <f>IF(OR('历史数据'!M63="",'历史数据'!N63=0),"",('历史数据'!M63-'历史数据'!N63)/ABS('历史数据'!N63))</f>
        <v/>
      </c>
      <c r="N22" s="26">
        <f>IF(OR('历史数据'!M63&lt;=0,'历史数据'!O63&lt;=0),"",POWER('历史数据'!M63/'历史数据'!O63,1/3)-1)</f>
        <v/>
      </c>
      <c r="O22" s="24">
        <f>IF('历史数据'!P63="","",'历史数据'!P63/100000000)</f>
        <v/>
      </c>
      <c r="P22" s="26">
        <f>IF(OR('历史数据'!P63="",'历史数据'!Q63=0),"",('历史数据'!P63-'历史数据'!Q63)/ABS('历史数据'!Q63))</f>
        <v/>
      </c>
      <c r="Q22" s="26">
        <f>IF(OR('历史数据'!P63&lt;=0,'历史数据'!R63&lt;=0),"",POWER('历史数据'!P63/'历史数据'!R63,1/3)-1)</f>
        <v/>
      </c>
      <c r="R22" s="24">
        <f>IF('历史数据'!S63="","",'历史数据'!S63/100000000)</f>
        <v/>
      </c>
      <c r="S22" s="25">
        <f>IF('历史数据'!T63="","",'历史数据'!T63)</f>
        <v/>
      </c>
      <c r="T22" s="28">
        <f>IF('历史数据'!U63="","",'历史数据'!U63)</f>
        <v/>
      </c>
      <c r="U22" s="28">
        <f>IF('历史数据'!V63="","",'历史数据'!V63/100000000)</f>
        <v/>
      </c>
      <c r="V22" s="24">
        <f>IF('历史数据'!W63="","",'历史数据'!W63/100000000)</f>
        <v/>
      </c>
      <c r="W22" s="28">
        <f>IF('历史数据'!X63="","",'历史数据'!X63)</f>
        <v/>
      </c>
      <c r="X22" s="26">
        <f>IF(OR(R22="",V22&lt;=0),"",R22/V22-1)</f>
        <v/>
      </c>
      <c r="Y22" s="29">
        <f>IF('历史数据'!Y63="","",'历史数据'!Y63)</f>
        <v/>
      </c>
      <c r="Z22" s="24">
        <f>IF('历史数据'!Z63="","",'历史数据'!Z63/100000000)</f>
        <v/>
      </c>
      <c r="AA22" s="24">
        <f>IF('历史数据'!AA63="","",'历史数据'!AA63/100000000)</f>
        <v/>
      </c>
      <c r="AB22" s="24">
        <f>IF('历史数据'!AB63="","",'历史数据'!AB63/100000000)</f>
        <v/>
      </c>
      <c r="AC22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2" s="13" t="inlineStr">
        <is>
          <t>SUCCESS</t>
        </is>
      </c>
    </row>
    <row r="23" ht="21" customHeight="1" s="3">
      <c r="A23" s="12" t="inlineStr">
        <is>
          <t>00025</t>
        </is>
      </c>
      <c r="B23" s="13" t="inlineStr">
        <is>
          <t>CHEVALIER INT'L</t>
        </is>
      </c>
      <c r="C23" s="25">
        <f>IF('历史数据'!D43="","",'历史数据'!D43)</f>
        <v/>
      </c>
      <c r="D23" s="13">
        <f>IF('历史数据'!E43="","",'历史数据'!E43)</f>
        <v/>
      </c>
      <c r="E23" s="24">
        <f>IF('历史数据'!G43="","",'历史数据'!G43/100000000)</f>
        <v/>
      </c>
      <c r="F23" s="26">
        <f>IF(OR('历史数据'!G43="",'历史数据'!H43&lt;=0),"",'历史数据'!G43/'历史数据'!H43-1)</f>
        <v/>
      </c>
      <c r="G23" s="26">
        <f>IF(OR('历史数据'!G43&lt;=0,'历史数据'!I43&lt;=0),"",POWER('历史数据'!G43/'历史数据'!I43,1/3)-1)</f>
        <v/>
      </c>
      <c r="H23" s="26">
        <f>IF(OR('历史数据'!G43&lt;=0,'历史数据'!J43=""),"",('历史数据'!G43-'历史数据'!J43)/'历史数据'!G43)</f>
        <v/>
      </c>
      <c r="I23" s="27">
        <f>IF(OR(H23="",'历史数据'!H43&lt;=0,'历史数据'!K43=""),"",(H23-('历史数据'!H43-'历史数据'!K43)/'历史数据'!H43)*100)</f>
        <v/>
      </c>
      <c r="J23" s="27">
        <f>IF(OR(H23="",'历史数据'!I43&lt;=0,'历史数据'!L43=""),"",(H23-('历史数据'!I43-'历史数据'!L43)/'历史数据'!I43)*100)</f>
        <v/>
      </c>
      <c r="K23" s="24">
        <f>IF('历史数据'!M43="","",'历史数据'!M43/100000000)</f>
        <v/>
      </c>
      <c r="L23" s="26">
        <f>IF(OR('历史数据'!G43=0,'历史数据'!M43=""),"",'历史数据'!M43/'历史数据'!G43)</f>
        <v/>
      </c>
      <c r="M23" s="26">
        <f>IF(OR('历史数据'!M43="",'历史数据'!N43=0),"",('历史数据'!M43-'历史数据'!N43)/ABS('历史数据'!N43))</f>
        <v/>
      </c>
      <c r="N23" s="26">
        <f>IF(OR('历史数据'!M43&lt;=0,'历史数据'!O43&lt;=0),"",POWER('历史数据'!M43/'历史数据'!O43,1/3)-1)</f>
        <v/>
      </c>
      <c r="O23" s="24">
        <f>IF('历史数据'!P43="","",'历史数据'!P43/100000000)</f>
        <v/>
      </c>
      <c r="P23" s="26">
        <f>IF(OR('历史数据'!P43="",'历史数据'!Q43=0),"",('历史数据'!P43-'历史数据'!Q43)/ABS('历史数据'!Q43))</f>
        <v/>
      </c>
      <c r="Q23" s="26">
        <f>IF(OR('历史数据'!P43&lt;=0,'历史数据'!R43&lt;=0),"",POWER('历史数据'!P43/'历史数据'!R43,1/3)-1)</f>
        <v/>
      </c>
      <c r="R23" s="24">
        <f>IF('历史数据'!S43="","",'历史数据'!S43/100000000)</f>
        <v/>
      </c>
      <c r="S23" s="25">
        <f>IF('历史数据'!T43="","",'历史数据'!T43)</f>
        <v/>
      </c>
      <c r="T23" s="28">
        <f>IF('历史数据'!U43="","",'历史数据'!U43)</f>
        <v/>
      </c>
      <c r="U23" s="28">
        <f>IF('历史数据'!V43="","",'历史数据'!V43/100000000)</f>
        <v/>
      </c>
      <c r="V23" s="24">
        <f>IF('历史数据'!W43="","",'历史数据'!W43/100000000)</f>
        <v/>
      </c>
      <c r="W23" s="28">
        <f>IF('历史数据'!X43="","",'历史数据'!X43)</f>
        <v/>
      </c>
      <c r="X23" s="26">
        <f>IF(OR(R23="",V23&lt;=0),"",R23/V23-1)</f>
        <v/>
      </c>
      <c r="Y23" s="29">
        <f>IF('历史数据'!Y43="","",'历史数据'!Y43)</f>
        <v/>
      </c>
      <c r="Z23" s="24">
        <f>IF('历史数据'!Z43="","",'历史数据'!Z43/100000000)</f>
        <v/>
      </c>
      <c r="AA23" s="24">
        <f>IF('历史数据'!AA43="","",'历史数据'!AA43/100000000)</f>
        <v/>
      </c>
      <c r="AB23" s="24">
        <f>IF('历史数据'!AB43="","",'历史数据'!AB43/100000000)</f>
        <v/>
      </c>
      <c r="AC23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3" s="13" t="inlineStr">
        <is>
          <t>SUCCESS</t>
        </is>
      </c>
    </row>
    <row r="24" ht="21" customHeight="1" s="3">
      <c r="A24" s="12" t="inlineStr">
        <is>
          <t>00045</t>
        </is>
      </c>
      <c r="B24" s="13" t="inlineStr">
        <is>
          <t>HK&amp;S HOTELS</t>
        </is>
      </c>
      <c r="C24" s="25">
        <f>IF('历史数据'!D79="","",'历史数据'!D79)</f>
        <v/>
      </c>
      <c r="D24" s="13">
        <f>IF('历史数据'!E79="","",'历史数据'!E79)</f>
        <v/>
      </c>
      <c r="E24" s="24">
        <f>IF('历史数据'!G79="","",'历史数据'!G79/100000000)</f>
        <v/>
      </c>
      <c r="F24" s="26">
        <f>IF(OR('历史数据'!G79="",'历史数据'!H79&lt;=0),"",'历史数据'!G79/'历史数据'!H79-1)</f>
        <v/>
      </c>
      <c r="G24" s="26">
        <f>IF(OR('历史数据'!G79&lt;=0,'历史数据'!I79&lt;=0),"",POWER('历史数据'!G79/'历史数据'!I79,1/3)-1)</f>
        <v/>
      </c>
      <c r="H24" s="26">
        <f>IF(OR('历史数据'!G79&lt;=0,'历史数据'!J79=""),"",('历史数据'!G79-'历史数据'!J79)/'历史数据'!G79)</f>
        <v/>
      </c>
      <c r="I24" s="27">
        <f>IF(OR(H24="",'历史数据'!H79&lt;=0,'历史数据'!K79=""),"",(H24-('历史数据'!H79-'历史数据'!K79)/'历史数据'!H79)*100)</f>
        <v/>
      </c>
      <c r="J24" s="27">
        <f>IF(OR(H24="",'历史数据'!I79&lt;=0,'历史数据'!L79=""),"",(H24-('历史数据'!I79-'历史数据'!L79)/'历史数据'!I79)*100)</f>
        <v/>
      </c>
      <c r="K24" s="24">
        <f>IF('历史数据'!M79="","",'历史数据'!M79/100000000)</f>
        <v/>
      </c>
      <c r="L24" s="26">
        <f>IF(OR('历史数据'!G79=0,'历史数据'!M79=""),"",'历史数据'!M79/'历史数据'!G79)</f>
        <v/>
      </c>
      <c r="M24" s="26">
        <f>IF(OR('历史数据'!M79="",'历史数据'!N79=0),"",('历史数据'!M79-'历史数据'!N79)/ABS('历史数据'!N79))</f>
        <v/>
      </c>
      <c r="N24" s="26">
        <f>IF(OR('历史数据'!M79&lt;=0,'历史数据'!O79&lt;=0),"",POWER('历史数据'!M79/'历史数据'!O79,1/3)-1)</f>
        <v/>
      </c>
      <c r="O24" s="24">
        <f>IF('历史数据'!P79="","",'历史数据'!P79/100000000)</f>
        <v/>
      </c>
      <c r="P24" s="26">
        <f>IF(OR('历史数据'!P79="",'历史数据'!Q79=0),"",('历史数据'!P79-'历史数据'!Q79)/ABS('历史数据'!Q79))</f>
        <v/>
      </c>
      <c r="Q24" s="26">
        <f>IF(OR('历史数据'!P79&lt;=0,'历史数据'!R79&lt;=0),"",POWER('历史数据'!P79/'历史数据'!R79,1/3)-1)</f>
        <v/>
      </c>
      <c r="R24" s="24">
        <f>IF('历史数据'!S79="","",'历史数据'!S79/100000000)</f>
        <v/>
      </c>
      <c r="S24" s="25">
        <f>IF('历史数据'!T79="","",'历史数据'!T79)</f>
        <v/>
      </c>
      <c r="T24" s="28">
        <f>IF('历史数据'!U79="","",'历史数据'!U79)</f>
        <v/>
      </c>
      <c r="U24" s="28">
        <f>IF('历史数据'!V79="","",'历史数据'!V79/100000000)</f>
        <v/>
      </c>
      <c r="V24" s="24">
        <f>IF('历史数据'!W79="","",'历史数据'!W79/100000000)</f>
        <v/>
      </c>
      <c r="W24" s="28">
        <f>IF('历史数据'!X79="","",'历史数据'!X79)</f>
        <v/>
      </c>
      <c r="X24" s="26">
        <f>IF(OR(R24="",V24&lt;=0),"",R24/V24-1)</f>
        <v/>
      </c>
      <c r="Y24" s="29">
        <f>IF('历史数据'!Y79="","",'历史数据'!Y79)</f>
        <v/>
      </c>
      <c r="Z24" s="24">
        <f>IF('历史数据'!Z79="","",'历史数据'!Z79/100000000)</f>
        <v/>
      </c>
      <c r="AA24" s="24">
        <f>IF('历史数据'!AA79="","",'历史数据'!AA79/100000000)</f>
        <v/>
      </c>
      <c r="AB24" s="24">
        <f>IF('历史数据'!AB79="","",'历史数据'!AB79/100000000)</f>
        <v/>
      </c>
      <c r="AC24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4" s="13" t="inlineStr">
        <is>
          <t>SUCCESS</t>
        </is>
      </c>
    </row>
    <row r="25" ht="21" customHeight="1" s="3">
      <c r="A25" s="12" t="inlineStr">
        <is>
          <t>00040</t>
        </is>
      </c>
      <c r="B25" s="13" t="inlineStr">
        <is>
          <t>GOLD PEAK</t>
        </is>
      </c>
      <c r="C25" s="25">
        <f>IF('历史数据'!D73="","",'历史数据'!D73)</f>
        <v/>
      </c>
      <c r="D25" s="13">
        <f>IF('历史数据'!E73="","",'历史数据'!E73)</f>
        <v/>
      </c>
      <c r="E25" s="24">
        <f>IF('历史数据'!G73="","",'历史数据'!G73/100000000)</f>
        <v/>
      </c>
      <c r="F25" s="26">
        <f>IF(OR('历史数据'!G73="",'历史数据'!H73&lt;=0),"",'历史数据'!G73/'历史数据'!H73-1)</f>
        <v/>
      </c>
      <c r="G25" s="26">
        <f>IF(OR('历史数据'!G73&lt;=0,'历史数据'!I73&lt;=0),"",POWER('历史数据'!G73/'历史数据'!I73,1/3)-1)</f>
        <v/>
      </c>
      <c r="H25" s="26">
        <f>IF(OR('历史数据'!G73&lt;=0,'历史数据'!J73=""),"",('历史数据'!G73-'历史数据'!J73)/'历史数据'!G73)</f>
        <v/>
      </c>
      <c r="I25" s="27">
        <f>IF(OR(H25="",'历史数据'!H73&lt;=0,'历史数据'!K73=""),"",(H25-('历史数据'!H73-'历史数据'!K73)/'历史数据'!H73)*100)</f>
        <v/>
      </c>
      <c r="J25" s="27">
        <f>IF(OR(H25="",'历史数据'!I73&lt;=0,'历史数据'!L73=""),"",(H25-('历史数据'!I73-'历史数据'!L73)/'历史数据'!I73)*100)</f>
        <v/>
      </c>
      <c r="K25" s="24">
        <f>IF('历史数据'!M73="","",'历史数据'!M73/100000000)</f>
        <v/>
      </c>
      <c r="L25" s="26">
        <f>IF(OR('历史数据'!G73=0,'历史数据'!M73=""),"",'历史数据'!M73/'历史数据'!G73)</f>
        <v/>
      </c>
      <c r="M25" s="26">
        <f>IF(OR('历史数据'!M73="",'历史数据'!N73=0),"",('历史数据'!M73-'历史数据'!N73)/ABS('历史数据'!N73))</f>
        <v/>
      </c>
      <c r="N25" s="26">
        <f>IF(OR('历史数据'!M73&lt;=0,'历史数据'!O73&lt;=0),"",POWER('历史数据'!M73/'历史数据'!O73,1/3)-1)</f>
        <v/>
      </c>
      <c r="O25" s="24">
        <f>IF('历史数据'!P73="","",'历史数据'!P73/100000000)</f>
        <v/>
      </c>
      <c r="P25" s="26">
        <f>IF(OR('历史数据'!P73="",'历史数据'!Q73=0),"",('历史数据'!P73-'历史数据'!Q73)/ABS('历史数据'!Q73))</f>
        <v/>
      </c>
      <c r="Q25" s="26">
        <f>IF(OR('历史数据'!P73&lt;=0,'历史数据'!R73&lt;=0),"",POWER('历史数据'!P73/'历史数据'!R73,1/3)-1)</f>
        <v/>
      </c>
      <c r="R25" s="24">
        <f>IF('历史数据'!S73="","",'历史数据'!S73/100000000)</f>
        <v/>
      </c>
      <c r="S25" s="25">
        <f>IF('历史数据'!T73="","",'历史数据'!T73)</f>
        <v/>
      </c>
      <c r="T25" s="28">
        <f>IF('历史数据'!U73="","",'历史数据'!U73)</f>
        <v/>
      </c>
      <c r="U25" s="28">
        <f>IF('历史数据'!V73="","",'历史数据'!V73/100000000)</f>
        <v/>
      </c>
      <c r="V25" s="24">
        <f>IF('历史数据'!W73="","",'历史数据'!W73/100000000)</f>
        <v/>
      </c>
      <c r="W25" s="28">
        <f>IF('历史数据'!X73="","",'历史数据'!X73)</f>
        <v/>
      </c>
      <c r="X25" s="26">
        <f>IF(OR(R25="",V25&lt;=0),"",R25/V25-1)</f>
        <v/>
      </c>
      <c r="Y25" s="29">
        <f>IF('历史数据'!Y73="","",'历史数据'!Y73)</f>
        <v/>
      </c>
      <c r="Z25" s="24">
        <f>IF('历史数据'!Z73="","",'历史数据'!Z73/100000000)</f>
        <v/>
      </c>
      <c r="AA25" s="24">
        <f>IF('历史数据'!AA73="","",'历史数据'!AA73/100000000)</f>
        <v/>
      </c>
      <c r="AB25" s="24">
        <f>IF('历史数据'!AB73="","",'历史数据'!AB73/100000000)</f>
        <v/>
      </c>
      <c r="AC25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5" s="13" t="inlineStr">
        <is>
          <t>SUCCESS</t>
        </is>
      </c>
    </row>
    <row r="26" ht="21" customHeight="1" s="3">
      <c r="A26" s="12" t="inlineStr">
        <is>
          <t>00020</t>
        </is>
      </c>
      <c r="B26" s="13" t="inlineStr">
        <is>
          <t>SENSETIME-W</t>
        </is>
      </c>
      <c r="C26" s="25">
        <f>IF('历史数据'!D35="","",'历史数据'!D35)</f>
        <v/>
      </c>
      <c r="D26" s="13">
        <f>IF('历史数据'!E35="","",'历史数据'!E35)</f>
        <v/>
      </c>
      <c r="E26" s="24">
        <f>IF('历史数据'!G35="","",'历史数据'!G35/100000000)</f>
        <v/>
      </c>
      <c r="F26" s="26">
        <f>IF(OR('历史数据'!G35="",'历史数据'!H35&lt;=0),"",'历史数据'!G35/'历史数据'!H35-1)</f>
        <v/>
      </c>
      <c r="G26" s="26">
        <f>IF(OR('历史数据'!G35&lt;=0,'历史数据'!I35&lt;=0),"",POWER('历史数据'!G35/'历史数据'!I35,1/3)-1)</f>
        <v/>
      </c>
      <c r="H26" s="26">
        <f>IF(OR('历史数据'!G35&lt;=0,'历史数据'!J35=""),"",('历史数据'!G35-'历史数据'!J35)/'历史数据'!G35)</f>
        <v/>
      </c>
      <c r="I26" s="27">
        <f>IF(OR(H26="",'历史数据'!H35&lt;=0,'历史数据'!K35=""),"",(H26-('历史数据'!H35-'历史数据'!K35)/'历史数据'!H35)*100)</f>
        <v/>
      </c>
      <c r="J26" s="27">
        <f>IF(OR(H26="",'历史数据'!I35&lt;=0,'历史数据'!L35=""),"",(H26-('历史数据'!I35-'历史数据'!L35)/'历史数据'!I35)*100)</f>
        <v/>
      </c>
      <c r="K26" s="24">
        <f>IF('历史数据'!M35="","",'历史数据'!M35/100000000)</f>
        <v/>
      </c>
      <c r="L26" s="26">
        <f>IF(OR('历史数据'!G35=0,'历史数据'!M35=""),"",'历史数据'!M35/'历史数据'!G35)</f>
        <v/>
      </c>
      <c r="M26" s="26">
        <f>IF(OR('历史数据'!M35="",'历史数据'!N35=0),"",('历史数据'!M35-'历史数据'!N35)/ABS('历史数据'!N35))</f>
        <v/>
      </c>
      <c r="N26" s="26">
        <f>IF(OR('历史数据'!M35&lt;=0,'历史数据'!O35&lt;=0),"",POWER('历史数据'!M35/'历史数据'!O35,1/3)-1)</f>
        <v/>
      </c>
      <c r="O26" s="24">
        <f>IF('历史数据'!P35="","",'历史数据'!P35/100000000)</f>
        <v/>
      </c>
      <c r="P26" s="26">
        <f>IF(OR('历史数据'!P35="",'历史数据'!Q35=0),"",('历史数据'!P35-'历史数据'!Q35)/ABS('历史数据'!Q35))</f>
        <v/>
      </c>
      <c r="Q26" s="26">
        <f>IF(OR('历史数据'!P35&lt;=0,'历史数据'!R35&lt;=0),"",POWER('历史数据'!P35/'历史数据'!R35,1/3)-1)</f>
        <v/>
      </c>
      <c r="R26" s="24">
        <f>IF('历史数据'!S35="","",'历史数据'!S35/100000000)</f>
        <v/>
      </c>
      <c r="S26" s="25">
        <f>IF('历史数据'!T35="","",'历史数据'!T35)</f>
        <v/>
      </c>
      <c r="T26" s="28">
        <f>IF('历史数据'!U35="","",'历史数据'!U35)</f>
        <v/>
      </c>
      <c r="U26" s="28">
        <f>IF('历史数据'!V35="","",'历史数据'!V35/100000000)</f>
        <v/>
      </c>
      <c r="V26" s="24">
        <f>IF('历史数据'!W35="","",'历史数据'!W35/100000000)</f>
        <v/>
      </c>
      <c r="W26" s="28">
        <f>IF('历史数据'!X35="","",'历史数据'!X35)</f>
        <v/>
      </c>
      <c r="X26" s="26">
        <f>IF(OR(R26="",V26&lt;=0),"",R26/V26-1)</f>
        <v/>
      </c>
      <c r="Y26" s="29">
        <f>IF('历史数据'!Y35="","",'历史数据'!Y35)</f>
        <v/>
      </c>
      <c r="Z26" s="24">
        <f>IF('历史数据'!Z35="","",'历史数据'!Z35/100000000)</f>
        <v/>
      </c>
      <c r="AA26" s="24">
        <f>IF('历史数据'!AA35="","",'历史数据'!AA35/100000000)</f>
        <v/>
      </c>
      <c r="AB26" s="24">
        <f>IF('历史数据'!AB35="","",'历史数据'!AB35/100000000)</f>
        <v/>
      </c>
      <c r="AC26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26" s="13" t="inlineStr">
        <is>
          <t>SUCCESS</t>
        </is>
      </c>
    </row>
    <row r="27" ht="21" customHeight="1" s="3">
      <c r="A27" s="12" t="inlineStr">
        <is>
          <t>00034</t>
        </is>
      </c>
      <c r="B27" s="13" t="inlineStr">
        <is>
          <t>KOWLOON DEV</t>
        </is>
      </c>
      <c r="C27" s="25">
        <f>IF('历史数据'!D61="","",'历史数据'!D61)</f>
        <v/>
      </c>
      <c r="D27" s="13">
        <f>IF('历史数据'!E61="","",'历史数据'!E61)</f>
        <v/>
      </c>
      <c r="E27" s="24">
        <f>IF('历史数据'!G61="","",'历史数据'!G61/100000000)</f>
        <v/>
      </c>
      <c r="F27" s="26">
        <f>IF(OR('历史数据'!G61="",'历史数据'!H61&lt;=0),"",'历史数据'!G61/'历史数据'!H61-1)</f>
        <v/>
      </c>
      <c r="G27" s="26">
        <f>IF(OR('历史数据'!G61&lt;=0,'历史数据'!I61&lt;=0),"",POWER('历史数据'!G61/'历史数据'!I61,1/3)-1)</f>
        <v/>
      </c>
      <c r="H27" s="26">
        <f>IF(OR('历史数据'!G61&lt;=0,'历史数据'!J61=""),"",('历史数据'!G61-'历史数据'!J61)/'历史数据'!G61)</f>
        <v/>
      </c>
      <c r="I27" s="27">
        <f>IF(OR(H27="",'历史数据'!H61&lt;=0,'历史数据'!K61=""),"",(H27-('历史数据'!H61-'历史数据'!K61)/'历史数据'!H61)*100)</f>
        <v/>
      </c>
      <c r="J27" s="27">
        <f>IF(OR(H27="",'历史数据'!I61&lt;=0,'历史数据'!L61=""),"",(H27-('历史数据'!I61-'历史数据'!L61)/'历史数据'!I61)*100)</f>
        <v/>
      </c>
      <c r="K27" s="24">
        <f>IF('历史数据'!M61="","",'历史数据'!M61/100000000)</f>
        <v/>
      </c>
      <c r="L27" s="26">
        <f>IF(OR('历史数据'!G61=0,'历史数据'!M61=""),"",'历史数据'!M61/'历史数据'!G61)</f>
        <v/>
      </c>
      <c r="M27" s="26">
        <f>IF(OR('历史数据'!M61="",'历史数据'!N61=0),"",('历史数据'!M61-'历史数据'!N61)/ABS('历史数据'!N61))</f>
        <v/>
      </c>
      <c r="N27" s="26">
        <f>IF(OR('历史数据'!M61&lt;=0,'历史数据'!O61&lt;=0),"",POWER('历史数据'!M61/'历史数据'!O61,1/3)-1)</f>
        <v/>
      </c>
      <c r="O27" s="24">
        <f>IF('历史数据'!P61="","",'历史数据'!P61/100000000)</f>
        <v/>
      </c>
      <c r="P27" s="26">
        <f>IF(OR('历史数据'!P61="",'历史数据'!Q61=0),"",('历史数据'!P61-'历史数据'!Q61)/ABS('历史数据'!Q61))</f>
        <v/>
      </c>
      <c r="Q27" s="26">
        <f>IF(OR('历史数据'!P61&lt;=0,'历史数据'!R61&lt;=0),"",POWER('历史数据'!P61/'历史数据'!R61,1/3)-1)</f>
        <v/>
      </c>
      <c r="R27" s="24">
        <f>IF('历史数据'!S61="","",'历史数据'!S61/100000000)</f>
        <v/>
      </c>
      <c r="S27" s="25">
        <f>IF('历史数据'!T61="","",'历史数据'!T61)</f>
        <v/>
      </c>
      <c r="T27" s="28">
        <f>IF('历史数据'!U61="","",'历史数据'!U61)</f>
        <v/>
      </c>
      <c r="U27" s="28">
        <f>IF('历史数据'!V61="","",'历史数据'!V61/100000000)</f>
        <v/>
      </c>
      <c r="V27" s="24">
        <f>IF('历史数据'!W61="","",'历史数据'!W61/100000000)</f>
        <v/>
      </c>
      <c r="W27" s="28">
        <f>IF('历史数据'!X61="","",'历史数据'!X61)</f>
        <v/>
      </c>
      <c r="X27" s="26">
        <f>IF(OR(R27="",V27&lt;=0),"",R27/V27-1)</f>
        <v/>
      </c>
      <c r="Y27" s="29">
        <f>IF('历史数据'!Y61="","",'历史数据'!Y61)</f>
        <v/>
      </c>
      <c r="Z27" s="24">
        <f>IF('历史数据'!Z61="","",'历史数据'!Z61/100000000)</f>
        <v/>
      </c>
      <c r="AA27" s="24">
        <f>IF('历史数据'!AA61="","",'历史数据'!AA61/100000000)</f>
        <v/>
      </c>
      <c r="AB27" s="24">
        <f>IF('历史数据'!AB61="","",'历史数据'!AB61/100000000)</f>
        <v/>
      </c>
      <c r="AC2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7" s="13" t="inlineStr">
        <is>
          <t>SUCCESS</t>
        </is>
      </c>
    </row>
    <row r="28" ht="21" customHeight="1" s="3">
      <c r="A28" s="12" t="inlineStr">
        <is>
          <t>00013</t>
        </is>
      </c>
      <c r="B28" s="13" t="inlineStr">
        <is>
          <t>HUTCHMED</t>
        </is>
      </c>
      <c r="C28" s="25">
        <f>IF('历史数据'!D23="","",'历史数据'!D23)</f>
        <v/>
      </c>
      <c r="D28" s="13">
        <f>IF('历史数据'!E23="","",'历史数据'!E23)</f>
        <v/>
      </c>
      <c r="E28" s="24">
        <f>IF('历史数据'!G23="","",'历史数据'!G23/100000000)</f>
        <v/>
      </c>
      <c r="F28" s="26">
        <f>IF(OR('历史数据'!G23="",'历史数据'!H23&lt;=0),"",'历史数据'!G23/'历史数据'!H23-1)</f>
        <v/>
      </c>
      <c r="G28" s="26">
        <f>IF(OR('历史数据'!G23&lt;=0,'历史数据'!I23&lt;=0),"",POWER('历史数据'!G23/'历史数据'!I23,1/3)-1)</f>
        <v/>
      </c>
      <c r="H28" s="26">
        <f>IF(OR('历史数据'!G23&lt;=0,'历史数据'!J23=""),"",('历史数据'!G23-'历史数据'!J23)/'历史数据'!G23)</f>
        <v/>
      </c>
      <c r="I28" s="27">
        <f>IF(OR(H28="",'历史数据'!H23&lt;=0,'历史数据'!K23=""),"",(H28-('历史数据'!H23-'历史数据'!K23)/'历史数据'!H23)*100)</f>
        <v/>
      </c>
      <c r="J28" s="27">
        <f>IF(OR(H28="",'历史数据'!I23&lt;=0,'历史数据'!L23=""),"",(H28-('历史数据'!I23-'历史数据'!L23)/'历史数据'!I23)*100)</f>
        <v/>
      </c>
      <c r="K28" s="24">
        <f>IF('历史数据'!M23="","",'历史数据'!M23/100000000)</f>
        <v/>
      </c>
      <c r="L28" s="26">
        <f>IF(OR('历史数据'!G23=0,'历史数据'!M23=""),"",'历史数据'!M23/'历史数据'!G23)</f>
        <v/>
      </c>
      <c r="M28" s="26">
        <f>IF(OR('历史数据'!M23="",'历史数据'!N23=0),"",('历史数据'!M23-'历史数据'!N23)/ABS('历史数据'!N23))</f>
        <v/>
      </c>
      <c r="N28" s="26">
        <f>IF(OR('历史数据'!M23&lt;=0,'历史数据'!O23&lt;=0),"",POWER('历史数据'!M23/'历史数据'!O23,1/3)-1)</f>
        <v/>
      </c>
      <c r="O28" s="24">
        <f>IF('历史数据'!P23="","",'历史数据'!P23/100000000)</f>
        <v/>
      </c>
      <c r="P28" s="26">
        <f>IF(OR('历史数据'!P23="",'历史数据'!Q23=0),"",('历史数据'!P23-'历史数据'!Q23)/ABS('历史数据'!Q23))</f>
        <v/>
      </c>
      <c r="Q28" s="26">
        <f>IF(OR('历史数据'!P23&lt;=0,'历史数据'!R23&lt;=0),"",POWER('历史数据'!P23/'历史数据'!R23,1/3)-1)</f>
        <v/>
      </c>
      <c r="R28" s="24">
        <f>IF('历史数据'!S23="","",'历史数据'!S23/100000000)</f>
        <v/>
      </c>
      <c r="S28" s="25">
        <f>IF('历史数据'!T23="","",'历史数据'!T23)</f>
        <v/>
      </c>
      <c r="T28" s="28">
        <f>IF('历史数据'!U23="","",'历史数据'!U23)</f>
        <v/>
      </c>
      <c r="U28" s="28">
        <f>IF('历史数据'!V23="","",'历史数据'!V23/100000000)</f>
        <v/>
      </c>
      <c r="V28" s="24">
        <f>IF('历史数据'!W23="","",'历史数据'!W23/100000000)</f>
        <v/>
      </c>
      <c r="W28" s="28">
        <f>IF('历史数据'!X23="","",'历史数据'!X23)</f>
        <v/>
      </c>
      <c r="X28" s="26">
        <f>IF(OR(R28="",V28&lt;=0),"",R28/V28-1)</f>
        <v/>
      </c>
      <c r="Y28" s="29">
        <f>IF('历史数据'!Y23="","",'历史数据'!Y23)</f>
        <v/>
      </c>
      <c r="Z28" s="24">
        <f>IF('历史数据'!Z23="","",'历史数据'!Z23/100000000)</f>
        <v/>
      </c>
      <c r="AA28" s="24">
        <f>IF('历史数据'!AA23="","",'历史数据'!AA23/100000000)</f>
        <v/>
      </c>
      <c r="AB28" s="24">
        <f>IF('历史数据'!AB23="","",'历史数据'!AB23/100000000)</f>
        <v/>
      </c>
      <c r="AC28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28" s="13" t="inlineStr">
        <is>
          <t>SUCCESS</t>
        </is>
      </c>
    </row>
    <row r="29" ht="21" customHeight="1" s="3">
      <c r="A29" s="12" t="inlineStr">
        <is>
          <t>00031</t>
        </is>
      </c>
      <c r="B29" s="13" t="inlineStr">
        <is>
          <t>CHINA AEROSPACE</t>
        </is>
      </c>
      <c r="C29" s="25">
        <f>IF('历史数据'!D55="","",'历史数据'!D55)</f>
        <v/>
      </c>
      <c r="D29" s="13">
        <f>IF('历史数据'!E55="","",'历史数据'!E55)</f>
        <v/>
      </c>
      <c r="E29" s="24">
        <f>IF('历史数据'!G55="","",'历史数据'!G55/100000000)</f>
        <v/>
      </c>
      <c r="F29" s="26">
        <f>IF(OR('历史数据'!G55="",'历史数据'!H55&lt;=0),"",'历史数据'!G55/'历史数据'!H55-1)</f>
        <v/>
      </c>
      <c r="G29" s="26">
        <f>IF(OR('历史数据'!G55&lt;=0,'历史数据'!I55&lt;=0),"",POWER('历史数据'!G55/'历史数据'!I55,1/3)-1)</f>
        <v/>
      </c>
      <c r="H29" s="26">
        <f>IF(OR('历史数据'!G55&lt;=0,'历史数据'!J55=""),"",('历史数据'!G55-'历史数据'!J55)/'历史数据'!G55)</f>
        <v/>
      </c>
      <c r="I29" s="27">
        <f>IF(OR(H29="",'历史数据'!H55&lt;=0,'历史数据'!K55=""),"",(H29-('历史数据'!H55-'历史数据'!K55)/'历史数据'!H55)*100)</f>
        <v/>
      </c>
      <c r="J29" s="27">
        <f>IF(OR(H29="",'历史数据'!I55&lt;=0,'历史数据'!L55=""),"",(H29-('历史数据'!I55-'历史数据'!L55)/'历史数据'!I55)*100)</f>
        <v/>
      </c>
      <c r="K29" s="24">
        <f>IF('历史数据'!M55="","",'历史数据'!M55/100000000)</f>
        <v/>
      </c>
      <c r="L29" s="26">
        <f>IF(OR('历史数据'!G55=0,'历史数据'!M55=""),"",'历史数据'!M55/'历史数据'!G55)</f>
        <v/>
      </c>
      <c r="M29" s="26">
        <f>IF(OR('历史数据'!M55="",'历史数据'!N55=0),"",('历史数据'!M55-'历史数据'!N55)/ABS('历史数据'!N55))</f>
        <v/>
      </c>
      <c r="N29" s="26">
        <f>IF(OR('历史数据'!M55&lt;=0,'历史数据'!O55&lt;=0),"",POWER('历史数据'!M55/'历史数据'!O55,1/3)-1)</f>
        <v/>
      </c>
      <c r="O29" s="24">
        <f>IF('历史数据'!P55="","",'历史数据'!P55/100000000)</f>
        <v/>
      </c>
      <c r="P29" s="26">
        <f>IF(OR('历史数据'!P55="",'历史数据'!Q55=0),"",('历史数据'!P55-'历史数据'!Q55)/ABS('历史数据'!Q55))</f>
        <v/>
      </c>
      <c r="Q29" s="26">
        <f>IF(OR('历史数据'!P55&lt;=0,'历史数据'!R55&lt;=0),"",POWER('历史数据'!P55/'历史数据'!R55,1/3)-1)</f>
        <v/>
      </c>
      <c r="R29" s="24">
        <f>IF('历史数据'!S55="","",'历史数据'!S55/100000000)</f>
        <v/>
      </c>
      <c r="S29" s="25">
        <f>IF('历史数据'!T55="","",'历史数据'!T55)</f>
        <v/>
      </c>
      <c r="T29" s="28">
        <f>IF('历史数据'!U55="","",'历史数据'!U55)</f>
        <v/>
      </c>
      <c r="U29" s="28">
        <f>IF('历史数据'!V55="","",'历史数据'!V55/100000000)</f>
        <v/>
      </c>
      <c r="V29" s="24">
        <f>IF('历史数据'!W55="","",'历史数据'!W55/100000000)</f>
        <v/>
      </c>
      <c r="W29" s="28">
        <f>IF('历史数据'!X55="","",'历史数据'!X55)</f>
        <v/>
      </c>
      <c r="X29" s="26">
        <f>IF(OR(R29="",V29&lt;=0),"",R29/V29-1)</f>
        <v/>
      </c>
      <c r="Y29" s="29">
        <f>IF('历史数据'!Y55="","",'历史数据'!Y55)</f>
        <v/>
      </c>
      <c r="Z29" s="24">
        <f>IF('历史数据'!Z55="","",'历史数据'!Z55/100000000)</f>
        <v/>
      </c>
      <c r="AA29" s="24">
        <f>IF('历史数据'!AA55="","",'历史数据'!AA55/100000000)</f>
        <v/>
      </c>
      <c r="AB29" s="24">
        <f>IF('历史数据'!AB55="","",'历史数据'!AB55/100000000)</f>
        <v/>
      </c>
      <c r="AC2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29" s="13" t="inlineStr">
        <is>
          <t>SUCCESS</t>
        </is>
      </c>
    </row>
    <row r="30" ht="21" customHeight="1" s="3">
      <c r="A30" s="12" t="inlineStr">
        <is>
          <t>00014</t>
        </is>
      </c>
      <c r="B30" s="13" t="inlineStr">
        <is>
          <t>HYSAN DEV</t>
        </is>
      </c>
      <c r="C30" s="25">
        <f>IF('历史数据'!D25="","",'历史数据'!D25)</f>
        <v/>
      </c>
      <c r="D30" s="13">
        <f>IF('历史数据'!E25="","",'历史数据'!E25)</f>
        <v/>
      </c>
      <c r="E30" s="24">
        <f>IF('历史数据'!G25="","",'历史数据'!G25/100000000)</f>
        <v/>
      </c>
      <c r="F30" s="26">
        <f>IF(OR('历史数据'!G25="",'历史数据'!H25&lt;=0),"",'历史数据'!G25/'历史数据'!H25-1)</f>
        <v/>
      </c>
      <c r="G30" s="26">
        <f>IF(OR('历史数据'!G25&lt;=0,'历史数据'!I25&lt;=0),"",POWER('历史数据'!G25/'历史数据'!I25,1/3)-1)</f>
        <v/>
      </c>
      <c r="H30" s="26">
        <f>IF(OR('历史数据'!G25&lt;=0,'历史数据'!J25=""),"",('历史数据'!G25-'历史数据'!J25)/'历史数据'!G25)</f>
        <v/>
      </c>
      <c r="I30" s="27">
        <f>IF(OR(H30="",'历史数据'!H25&lt;=0,'历史数据'!K25=""),"",(H30-('历史数据'!H25-'历史数据'!K25)/'历史数据'!H25)*100)</f>
        <v/>
      </c>
      <c r="J30" s="27">
        <f>IF(OR(H30="",'历史数据'!I25&lt;=0,'历史数据'!L25=""),"",(H30-('历史数据'!I25-'历史数据'!L25)/'历史数据'!I25)*100)</f>
        <v/>
      </c>
      <c r="K30" s="24">
        <f>IF('历史数据'!M25="","",'历史数据'!M25/100000000)</f>
        <v/>
      </c>
      <c r="L30" s="26">
        <f>IF(OR('历史数据'!G25=0,'历史数据'!M25=""),"",'历史数据'!M25/'历史数据'!G25)</f>
        <v/>
      </c>
      <c r="M30" s="26">
        <f>IF(OR('历史数据'!M25="",'历史数据'!N25=0),"",('历史数据'!M25-'历史数据'!N25)/ABS('历史数据'!N25))</f>
        <v/>
      </c>
      <c r="N30" s="26">
        <f>IF(OR('历史数据'!M25&lt;=0,'历史数据'!O25&lt;=0),"",POWER('历史数据'!M25/'历史数据'!O25,1/3)-1)</f>
        <v/>
      </c>
      <c r="O30" s="24">
        <f>IF('历史数据'!P25="","",'历史数据'!P25/100000000)</f>
        <v/>
      </c>
      <c r="P30" s="26">
        <f>IF(OR('历史数据'!P25="",'历史数据'!Q25=0),"",('历史数据'!P25-'历史数据'!Q25)/ABS('历史数据'!Q25))</f>
        <v/>
      </c>
      <c r="Q30" s="26">
        <f>IF(OR('历史数据'!P25&lt;=0,'历史数据'!R25&lt;=0),"",POWER('历史数据'!P25/'历史数据'!R25,1/3)-1)</f>
        <v/>
      </c>
      <c r="R30" s="24">
        <f>IF('历史数据'!S25="","",'历史数据'!S25/100000000)</f>
        <v/>
      </c>
      <c r="S30" s="25">
        <f>IF('历史数据'!T25="","",'历史数据'!T25)</f>
        <v/>
      </c>
      <c r="T30" s="28">
        <f>IF('历史数据'!U25="","",'历史数据'!U25)</f>
        <v/>
      </c>
      <c r="U30" s="28">
        <f>IF('历史数据'!V25="","",'历史数据'!V25/100000000)</f>
        <v/>
      </c>
      <c r="V30" s="24">
        <f>IF('历史数据'!W25="","",'历史数据'!W25/100000000)</f>
        <v/>
      </c>
      <c r="W30" s="28">
        <f>IF('历史数据'!X25="","",'历史数据'!X25)</f>
        <v/>
      </c>
      <c r="X30" s="26">
        <f>IF(OR(R30="",V30&lt;=0),"",R30/V30-1)</f>
        <v/>
      </c>
      <c r="Y30" s="29">
        <f>IF('历史数据'!Y25="","",'历史数据'!Y25)</f>
        <v/>
      </c>
      <c r="Z30" s="24">
        <f>IF('历史数据'!Z25="","",'历史数据'!Z25/100000000)</f>
        <v/>
      </c>
      <c r="AA30" s="24">
        <f>IF('历史数据'!AA25="","",'历史数据'!AA25/100000000)</f>
        <v/>
      </c>
      <c r="AB30" s="24">
        <f>IF('历史数据'!AB25="","",'历史数据'!AB25/100000000)</f>
        <v/>
      </c>
      <c r="AC30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0" s="13" t="inlineStr">
        <is>
          <t>SUCCESS</t>
        </is>
      </c>
    </row>
    <row r="31" ht="21" customHeight="1" s="3">
      <c r="A31" s="12" t="inlineStr">
        <is>
          <t>00052</t>
        </is>
      </c>
      <c r="B31" s="13" t="inlineStr">
        <is>
          <t>FAIRWOOD HOLD</t>
        </is>
      </c>
      <c r="C31" s="25">
        <f>IF('历史数据'!D89="","",'历史数据'!D89)</f>
        <v/>
      </c>
      <c r="D31" s="13">
        <f>IF('历史数据'!E89="","",'历史数据'!E89)</f>
        <v/>
      </c>
      <c r="E31" s="24">
        <f>IF('历史数据'!G89="","",'历史数据'!G89/100000000)</f>
        <v/>
      </c>
      <c r="F31" s="26">
        <f>IF(OR('历史数据'!G89="",'历史数据'!H89&lt;=0),"",'历史数据'!G89/'历史数据'!H89-1)</f>
        <v/>
      </c>
      <c r="G31" s="26">
        <f>IF(OR('历史数据'!G89&lt;=0,'历史数据'!I89&lt;=0),"",POWER('历史数据'!G89/'历史数据'!I89,1/3)-1)</f>
        <v/>
      </c>
      <c r="H31" s="26">
        <f>IF(OR('历史数据'!G89&lt;=0,'历史数据'!J89=""),"",('历史数据'!G89-'历史数据'!J89)/'历史数据'!G89)</f>
        <v/>
      </c>
      <c r="I31" s="27">
        <f>IF(OR(H31="",'历史数据'!H89&lt;=0,'历史数据'!K89=""),"",(H31-('历史数据'!H89-'历史数据'!K89)/'历史数据'!H89)*100)</f>
        <v/>
      </c>
      <c r="J31" s="27">
        <f>IF(OR(H31="",'历史数据'!I89&lt;=0,'历史数据'!L89=""),"",(H31-('历史数据'!I89-'历史数据'!L89)/'历史数据'!I89)*100)</f>
        <v/>
      </c>
      <c r="K31" s="24">
        <f>IF('历史数据'!M89="","",'历史数据'!M89/100000000)</f>
        <v/>
      </c>
      <c r="L31" s="26">
        <f>IF(OR('历史数据'!G89=0,'历史数据'!M89=""),"",'历史数据'!M89/'历史数据'!G89)</f>
        <v/>
      </c>
      <c r="M31" s="26">
        <f>IF(OR('历史数据'!M89="",'历史数据'!N89=0),"",('历史数据'!M89-'历史数据'!N89)/ABS('历史数据'!N89))</f>
        <v/>
      </c>
      <c r="N31" s="26">
        <f>IF(OR('历史数据'!M89&lt;=0,'历史数据'!O89&lt;=0),"",POWER('历史数据'!M89/'历史数据'!O89,1/3)-1)</f>
        <v/>
      </c>
      <c r="O31" s="24">
        <f>IF('历史数据'!P89="","",'历史数据'!P89/100000000)</f>
        <v/>
      </c>
      <c r="P31" s="26">
        <f>IF(OR('历史数据'!P89="",'历史数据'!Q89=0),"",('历史数据'!P89-'历史数据'!Q89)/ABS('历史数据'!Q89))</f>
        <v/>
      </c>
      <c r="Q31" s="26">
        <f>IF(OR('历史数据'!P89&lt;=0,'历史数据'!R89&lt;=0),"",POWER('历史数据'!P89/'历史数据'!R89,1/3)-1)</f>
        <v/>
      </c>
      <c r="R31" s="24">
        <f>IF('历史数据'!S89="","",'历史数据'!S89/100000000)</f>
        <v/>
      </c>
      <c r="S31" s="25">
        <f>IF('历史数据'!T89="","",'历史数据'!T89)</f>
        <v/>
      </c>
      <c r="T31" s="28">
        <f>IF('历史数据'!U89="","",'历史数据'!U89)</f>
        <v/>
      </c>
      <c r="U31" s="28">
        <f>IF('历史数据'!V89="","",'历史数据'!V89/100000000)</f>
        <v/>
      </c>
      <c r="V31" s="24">
        <f>IF('历史数据'!W89="","",'历史数据'!W89/100000000)</f>
        <v/>
      </c>
      <c r="W31" s="28">
        <f>IF('历史数据'!X89="","",'历史数据'!X89)</f>
        <v/>
      </c>
      <c r="X31" s="26">
        <f>IF(OR(R31="",V31&lt;=0),"",R31/V31-1)</f>
        <v/>
      </c>
      <c r="Y31" s="29">
        <f>IF('历史数据'!Y89="","",'历史数据'!Y89)</f>
        <v/>
      </c>
      <c r="Z31" s="24">
        <f>IF('历史数据'!Z89="","",'历史数据'!Z89/100000000)</f>
        <v/>
      </c>
      <c r="AA31" s="24">
        <f>IF('历史数据'!AA89="","",'历史数据'!AA89/100000000)</f>
        <v/>
      </c>
      <c r="AB31" s="24">
        <f>IF('历史数据'!AB89="","",'历史数据'!AB89/100000000)</f>
        <v/>
      </c>
      <c r="AC31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31" s="13" t="inlineStr">
        <is>
          <t>SUCCESS</t>
        </is>
      </c>
    </row>
    <row r="32" ht="21" customHeight="1" s="3">
      <c r="A32" s="12" t="inlineStr">
        <is>
          <t>00057</t>
        </is>
      </c>
      <c r="B32" s="13" t="inlineStr">
        <is>
          <t>CHEN HSONG HOLD</t>
        </is>
      </c>
      <c r="C32" s="25">
        <f>IF('历史数据'!D95="","",'历史数据'!D95)</f>
        <v/>
      </c>
      <c r="D32" s="13">
        <f>IF('历史数据'!E95="","",'历史数据'!E95)</f>
        <v/>
      </c>
      <c r="E32" s="24">
        <f>IF('历史数据'!G95="","",'历史数据'!G95/100000000)</f>
        <v/>
      </c>
      <c r="F32" s="26">
        <f>IF(OR('历史数据'!G95="",'历史数据'!H95&lt;=0),"",'历史数据'!G95/'历史数据'!H95-1)</f>
        <v/>
      </c>
      <c r="G32" s="26">
        <f>IF(OR('历史数据'!G95&lt;=0,'历史数据'!I95&lt;=0),"",POWER('历史数据'!G95/'历史数据'!I95,1/3)-1)</f>
        <v/>
      </c>
      <c r="H32" s="26">
        <f>IF(OR('历史数据'!G95&lt;=0,'历史数据'!J95=""),"",('历史数据'!G95-'历史数据'!J95)/'历史数据'!G95)</f>
        <v/>
      </c>
      <c r="I32" s="27">
        <f>IF(OR(H32="",'历史数据'!H95&lt;=0,'历史数据'!K95=""),"",(H32-('历史数据'!H95-'历史数据'!K95)/'历史数据'!H95)*100)</f>
        <v/>
      </c>
      <c r="J32" s="27">
        <f>IF(OR(H32="",'历史数据'!I95&lt;=0,'历史数据'!L95=""),"",(H32-('历史数据'!I95-'历史数据'!L95)/'历史数据'!I95)*100)</f>
        <v/>
      </c>
      <c r="K32" s="24">
        <f>IF('历史数据'!M95="","",'历史数据'!M95/100000000)</f>
        <v/>
      </c>
      <c r="L32" s="26">
        <f>IF(OR('历史数据'!G95=0,'历史数据'!M95=""),"",'历史数据'!M95/'历史数据'!G95)</f>
        <v/>
      </c>
      <c r="M32" s="26">
        <f>IF(OR('历史数据'!M95="",'历史数据'!N95=0),"",('历史数据'!M95-'历史数据'!N95)/ABS('历史数据'!N95))</f>
        <v/>
      </c>
      <c r="N32" s="26">
        <f>IF(OR('历史数据'!M95&lt;=0,'历史数据'!O95&lt;=0),"",POWER('历史数据'!M95/'历史数据'!O95,1/3)-1)</f>
        <v/>
      </c>
      <c r="O32" s="24">
        <f>IF('历史数据'!P95="","",'历史数据'!P95/100000000)</f>
        <v/>
      </c>
      <c r="P32" s="26">
        <f>IF(OR('历史数据'!P95="",'历史数据'!Q95=0),"",('历史数据'!P95-'历史数据'!Q95)/ABS('历史数据'!Q95))</f>
        <v/>
      </c>
      <c r="Q32" s="26">
        <f>IF(OR('历史数据'!P95&lt;=0,'历史数据'!R95&lt;=0),"",POWER('历史数据'!P95/'历史数据'!R95,1/3)-1)</f>
        <v/>
      </c>
      <c r="R32" s="24">
        <f>IF('历史数据'!S95="","",'历史数据'!S95/100000000)</f>
        <v/>
      </c>
      <c r="S32" s="25">
        <f>IF('历史数据'!T95="","",'历史数据'!T95)</f>
        <v/>
      </c>
      <c r="T32" s="28">
        <f>IF('历史数据'!U95="","",'历史数据'!U95)</f>
        <v/>
      </c>
      <c r="U32" s="28">
        <f>IF('历史数据'!V95="","",'历史数据'!V95/100000000)</f>
        <v/>
      </c>
      <c r="V32" s="24">
        <f>IF('历史数据'!W95="","",'历史数据'!W95/100000000)</f>
        <v/>
      </c>
      <c r="W32" s="28">
        <f>IF('历史数据'!X95="","",'历史数据'!X95)</f>
        <v/>
      </c>
      <c r="X32" s="26">
        <f>IF(OR(R32="",V32&lt;=0),"",R32/V32-1)</f>
        <v/>
      </c>
      <c r="Y32" s="29">
        <f>IF('历史数据'!Y95="","",'历史数据'!Y95)</f>
        <v/>
      </c>
      <c r="Z32" s="24">
        <f>IF('历史数据'!Z95="","",'历史数据'!Z95/100000000)</f>
        <v/>
      </c>
      <c r="AA32" s="24">
        <f>IF('历史数据'!AA95="","",'历史数据'!AA95/100000000)</f>
        <v/>
      </c>
      <c r="AB32" s="24">
        <f>IF('历史数据'!AB95="","",'历史数据'!AB95/100000000)</f>
        <v/>
      </c>
      <c r="AC32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32" s="13" t="inlineStr">
        <is>
          <t>SUCCESS</t>
        </is>
      </c>
    </row>
    <row r="33" ht="21" customHeight="1" s="3">
      <c r="A33" s="12" t="inlineStr">
        <is>
          <t>00051</t>
        </is>
      </c>
      <c r="B33" s="13" t="inlineStr">
        <is>
          <t>HARBOUR CENTRE</t>
        </is>
      </c>
      <c r="C33" s="25">
        <f>IF('历史数据'!D87="","",'历史数据'!D87)</f>
        <v/>
      </c>
      <c r="D33" s="13">
        <f>IF('历史数据'!E87="","",'历史数据'!E87)</f>
        <v/>
      </c>
      <c r="E33" s="24">
        <f>IF('历史数据'!G87="","",'历史数据'!G87/100000000)</f>
        <v/>
      </c>
      <c r="F33" s="26">
        <f>IF(OR('历史数据'!G87="",'历史数据'!H87&lt;=0),"",'历史数据'!G87/'历史数据'!H87-1)</f>
        <v/>
      </c>
      <c r="G33" s="26">
        <f>IF(OR('历史数据'!G87&lt;=0,'历史数据'!I87&lt;=0),"",POWER('历史数据'!G87/'历史数据'!I87,1/3)-1)</f>
        <v/>
      </c>
      <c r="H33" s="26">
        <f>IF(OR('历史数据'!G87&lt;=0,'历史数据'!J87=""),"",('历史数据'!G87-'历史数据'!J87)/'历史数据'!G87)</f>
        <v/>
      </c>
      <c r="I33" s="27">
        <f>IF(OR(H33="",'历史数据'!H87&lt;=0,'历史数据'!K87=""),"",(H33-('历史数据'!H87-'历史数据'!K87)/'历史数据'!H87)*100)</f>
        <v/>
      </c>
      <c r="J33" s="27">
        <f>IF(OR(H33="",'历史数据'!I87&lt;=0,'历史数据'!L87=""),"",(H33-('历史数据'!I87-'历史数据'!L87)/'历史数据'!I87)*100)</f>
        <v/>
      </c>
      <c r="K33" s="24">
        <f>IF('历史数据'!M87="","",'历史数据'!M87/100000000)</f>
        <v/>
      </c>
      <c r="L33" s="26">
        <f>IF(OR('历史数据'!G87=0,'历史数据'!M87=""),"",'历史数据'!M87/'历史数据'!G87)</f>
        <v/>
      </c>
      <c r="M33" s="26">
        <f>IF(OR('历史数据'!M87="",'历史数据'!N87=0),"",('历史数据'!M87-'历史数据'!N87)/ABS('历史数据'!N87))</f>
        <v/>
      </c>
      <c r="N33" s="26">
        <f>IF(OR('历史数据'!M87&lt;=0,'历史数据'!O87&lt;=0),"",POWER('历史数据'!M87/'历史数据'!O87,1/3)-1)</f>
        <v/>
      </c>
      <c r="O33" s="24">
        <f>IF('历史数据'!P87="","",'历史数据'!P87/100000000)</f>
        <v/>
      </c>
      <c r="P33" s="26">
        <f>IF(OR('历史数据'!P87="",'历史数据'!Q87=0),"",('历史数据'!P87-'历史数据'!Q87)/ABS('历史数据'!Q87))</f>
        <v/>
      </c>
      <c r="Q33" s="26">
        <f>IF(OR('历史数据'!P87&lt;=0,'历史数据'!R87&lt;=0),"",POWER('历史数据'!P87/'历史数据'!R87,1/3)-1)</f>
        <v/>
      </c>
      <c r="R33" s="24">
        <f>IF('历史数据'!S87="","",'历史数据'!S87/100000000)</f>
        <v/>
      </c>
      <c r="S33" s="25">
        <f>IF('历史数据'!T87="","",'历史数据'!T87)</f>
        <v/>
      </c>
      <c r="T33" s="28">
        <f>IF('历史数据'!U87="","",'历史数据'!U87)</f>
        <v/>
      </c>
      <c r="U33" s="28">
        <f>IF('历史数据'!V87="","",'历史数据'!V87/100000000)</f>
        <v/>
      </c>
      <c r="V33" s="24">
        <f>IF('历史数据'!W87="","",'历史数据'!W87/100000000)</f>
        <v/>
      </c>
      <c r="W33" s="28">
        <f>IF('历史数据'!X87="","",'历史数据'!X87)</f>
        <v/>
      </c>
      <c r="X33" s="26">
        <f>IF(OR(R33="",V33&lt;=0),"",R33/V33-1)</f>
        <v/>
      </c>
      <c r="Y33" s="29">
        <f>IF('历史数据'!Y87="","",'历史数据'!Y87)</f>
        <v/>
      </c>
      <c r="Z33" s="24">
        <f>IF('历史数据'!Z87="","",'历史数据'!Z87/100000000)</f>
        <v/>
      </c>
      <c r="AA33" s="24">
        <f>IF('历史数据'!AA87="","",'历史数据'!AA87/100000000)</f>
        <v/>
      </c>
      <c r="AB33" s="24">
        <f>IF('历史数据'!AB87="","",'历史数据'!AB87/100000000)</f>
        <v/>
      </c>
      <c r="AC33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3" s="13" t="inlineStr">
        <is>
          <t>SUCCESS</t>
        </is>
      </c>
    </row>
    <row r="34" ht="21" customHeight="1" s="3">
      <c r="A34" s="12" t="inlineStr">
        <is>
          <t>00030</t>
        </is>
      </c>
      <c r="B34" s="13" t="inlineStr">
        <is>
          <t>YNBY INTL</t>
        </is>
      </c>
      <c r="C34" s="25">
        <f>IF('历史数据'!D53="","",'历史数据'!D53)</f>
        <v/>
      </c>
      <c r="D34" s="13">
        <f>IF('历史数据'!E53="","",'历史数据'!E53)</f>
        <v/>
      </c>
      <c r="E34" s="24">
        <f>IF('历史数据'!G53="","",'历史数据'!G53/100000000)</f>
        <v/>
      </c>
      <c r="F34" s="26">
        <f>IF(OR('历史数据'!G53="",'历史数据'!H53&lt;=0),"",'历史数据'!G53/'历史数据'!H53-1)</f>
        <v/>
      </c>
      <c r="G34" s="26">
        <f>IF(OR('历史数据'!G53&lt;=0,'历史数据'!I53&lt;=0),"",POWER('历史数据'!G53/'历史数据'!I53,1/3)-1)</f>
        <v/>
      </c>
      <c r="H34" s="26">
        <f>IF(OR('历史数据'!G53&lt;=0,'历史数据'!J53=""),"",('历史数据'!G53-'历史数据'!J53)/'历史数据'!G53)</f>
        <v/>
      </c>
      <c r="I34" s="27">
        <f>IF(OR(H34="",'历史数据'!H53&lt;=0,'历史数据'!K53=""),"",(H34-('历史数据'!H53-'历史数据'!K53)/'历史数据'!H53)*100)</f>
        <v/>
      </c>
      <c r="J34" s="27">
        <f>IF(OR(H34="",'历史数据'!I53&lt;=0,'历史数据'!L53=""),"",(H34-('历史数据'!I53-'历史数据'!L53)/'历史数据'!I53)*100)</f>
        <v/>
      </c>
      <c r="K34" s="24">
        <f>IF('历史数据'!M53="","",'历史数据'!M53/100000000)</f>
        <v/>
      </c>
      <c r="L34" s="26">
        <f>IF(OR('历史数据'!G53=0,'历史数据'!M53=""),"",'历史数据'!M53/'历史数据'!G53)</f>
        <v/>
      </c>
      <c r="M34" s="26">
        <f>IF(OR('历史数据'!M53="",'历史数据'!N53=0),"",('历史数据'!M53-'历史数据'!N53)/ABS('历史数据'!N53))</f>
        <v/>
      </c>
      <c r="N34" s="26">
        <f>IF(OR('历史数据'!M53&lt;=0,'历史数据'!O53&lt;=0),"",POWER('历史数据'!M53/'历史数据'!O53,1/3)-1)</f>
        <v/>
      </c>
      <c r="O34" s="24">
        <f>IF('历史数据'!P53="","",'历史数据'!P53/100000000)</f>
        <v/>
      </c>
      <c r="P34" s="26">
        <f>IF(OR('历史数据'!P53="",'历史数据'!Q53=0),"",('历史数据'!P53-'历史数据'!Q53)/ABS('历史数据'!Q53))</f>
        <v/>
      </c>
      <c r="Q34" s="26">
        <f>IF(OR('历史数据'!P53&lt;=0,'历史数据'!R53&lt;=0),"",POWER('历史数据'!P53/'历史数据'!R53,1/3)-1)</f>
        <v/>
      </c>
      <c r="R34" s="24">
        <f>IF('历史数据'!S53="","",'历史数据'!S53/100000000)</f>
        <v/>
      </c>
      <c r="S34" s="25">
        <f>IF('历史数据'!T53="","",'历史数据'!T53)</f>
        <v/>
      </c>
      <c r="T34" s="28">
        <f>IF('历史数据'!U53="","",'历史数据'!U53)</f>
        <v/>
      </c>
      <c r="U34" s="28">
        <f>IF('历史数据'!V53="","",'历史数据'!V53/100000000)</f>
        <v/>
      </c>
      <c r="V34" s="24">
        <f>IF('历史数据'!W53="","",'历史数据'!W53/100000000)</f>
        <v/>
      </c>
      <c r="W34" s="28">
        <f>IF('历史数据'!X53="","",'历史数据'!X53)</f>
        <v/>
      </c>
      <c r="X34" s="26">
        <f>IF(OR(R34="",V34&lt;=0),"",R34/V34-1)</f>
        <v/>
      </c>
      <c r="Y34" s="29">
        <f>IF('历史数据'!Y53="","",'历史数据'!Y53)</f>
        <v/>
      </c>
      <c r="Z34" s="24">
        <f>IF('历史数据'!Z53="","",'历史数据'!Z53/100000000)</f>
        <v/>
      </c>
      <c r="AA34" s="24">
        <f>IF('历史数据'!AA53="","",'历史数据'!AA53/100000000)</f>
        <v/>
      </c>
      <c r="AB34" s="24">
        <f>IF('历史数据'!AB53="","",'历史数据'!AB53/100000000)</f>
        <v/>
      </c>
      <c r="AC34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34" s="13" t="inlineStr">
        <is>
          <t>SUCCESS</t>
        </is>
      </c>
    </row>
    <row r="35" ht="21" customHeight="1" s="3">
      <c r="A35" s="12" t="inlineStr">
        <is>
          <t>00032</t>
        </is>
      </c>
      <c r="B35" s="13" t="inlineStr">
        <is>
          <t>CROSS-HAR(HOLD)</t>
        </is>
      </c>
      <c r="C35" s="25">
        <f>IF('历史数据'!D57="","",'历史数据'!D57)</f>
        <v/>
      </c>
      <c r="D35" s="13">
        <f>IF('历史数据'!E57="","",'历史数据'!E57)</f>
        <v/>
      </c>
      <c r="E35" s="24">
        <f>IF('历史数据'!G57="","",'历史数据'!G57/100000000)</f>
        <v/>
      </c>
      <c r="F35" s="26">
        <f>IF(OR('历史数据'!G57="",'历史数据'!H57&lt;=0),"",'历史数据'!G57/'历史数据'!H57-1)</f>
        <v/>
      </c>
      <c r="G35" s="26">
        <f>IF(OR('历史数据'!G57&lt;=0,'历史数据'!I57&lt;=0),"",POWER('历史数据'!G57/'历史数据'!I57,1/3)-1)</f>
        <v/>
      </c>
      <c r="H35" s="26">
        <f>IF(OR('历史数据'!G57&lt;=0,'历史数据'!J57=""),"",('历史数据'!G57-'历史数据'!J57)/'历史数据'!G57)</f>
        <v/>
      </c>
      <c r="I35" s="27">
        <f>IF(OR(H35="",'历史数据'!H57&lt;=0,'历史数据'!K57=""),"",(H35-('历史数据'!H57-'历史数据'!K57)/'历史数据'!H57)*100)</f>
        <v/>
      </c>
      <c r="J35" s="27">
        <f>IF(OR(H35="",'历史数据'!I57&lt;=0,'历史数据'!L57=""),"",(H35-('历史数据'!I57-'历史数据'!L57)/'历史数据'!I57)*100)</f>
        <v/>
      </c>
      <c r="K35" s="24">
        <f>IF('历史数据'!M57="","",'历史数据'!M57/100000000)</f>
        <v/>
      </c>
      <c r="L35" s="26">
        <f>IF(OR('历史数据'!G57=0,'历史数据'!M57=""),"",'历史数据'!M57/'历史数据'!G57)</f>
        <v/>
      </c>
      <c r="M35" s="26">
        <f>IF(OR('历史数据'!M57="",'历史数据'!N57=0),"",('历史数据'!M57-'历史数据'!N57)/ABS('历史数据'!N57))</f>
        <v/>
      </c>
      <c r="N35" s="26">
        <f>IF(OR('历史数据'!M57&lt;=0,'历史数据'!O57&lt;=0),"",POWER('历史数据'!M57/'历史数据'!O57,1/3)-1)</f>
        <v/>
      </c>
      <c r="O35" s="24">
        <f>IF('历史数据'!P57="","",'历史数据'!P57/100000000)</f>
        <v/>
      </c>
      <c r="P35" s="26">
        <f>IF(OR('历史数据'!P57="",'历史数据'!Q57=0),"",('历史数据'!P57-'历史数据'!Q57)/ABS('历史数据'!Q57))</f>
        <v/>
      </c>
      <c r="Q35" s="26">
        <f>IF(OR('历史数据'!P57&lt;=0,'历史数据'!R57&lt;=0),"",POWER('历史数据'!P57/'历史数据'!R57,1/3)-1)</f>
        <v/>
      </c>
      <c r="R35" s="24">
        <f>IF('历史数据'!S57="","",'历史数据'!S57/100000000)</f>
        <v/>
      </c>
      <c r="S35" s="25">
        <f>IF('历史数据'!T57="","",'历史数据'!T57)</f>
        <v/>
      </c>
      <c r="T35" s="28">
        <f>IF('历史数据'!U57="","",'历史数据'!U57)</f>
        <v/>
      </c>
      <c r="U35" s="28">
        <f>IF('历史数据'!V57="","",'历史数据'!V57/100000000)</f>
        <v/>
      </c>
      <c r="V35" s="24">
        <f>IF('历史数据'!W57="","",'历史数据'!W57/100000000)</f>
        <v/>
      </c>
      <c r="W35" s="28">
        <f>IF('历史数据'!X57="","",'历史数据'!X57)</f>
        <v/>
      </c>
      <c r="X35" s="26">
        <f>IF(OR(R35="",V35&lt;=0),"",R35/V35-1)</f>
        <v/>
      </c>
      <c r="Y35" s="29">
        <f>IF('历史数据'!Y57="","",'历史数据'!Y57)</f>
        <v/>
      </c>
      <c r="Z35" s="24">
        <f>IF('历史数据'!Z57="","",'历史数据'!Z57/100000000)</f>
        <v/>
      </c>
      <c r="AA35" s="24">
        <f>IF('历史数据'!AA57="","",'历史数据'!AA57/100000000)</f>
        <v/>
      </c>
      <c r="AB35" s="24">
        <f>IF('历史数据'!AB57="","",'历史数据'!AB57/100000000)</f>
        <v/>
      </c>
      <c r="AC35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5" s="13" t="inlineStr">
        <is>
          <t>SUCCESS</t>
        </is>
      </c>
    </row>
    <row r="36" ht="21" customHeight="1" s="3">
      <c r="A36" s="12" t="inlineStr">
        <is>
          <t>00006</t>
        </is>
      </c>
      <c r="B36" s="13" t="inlineStr">
        <is>
          <t>POWER ASSETS</t>
        </is>
      </c>
      <c r="C36" s="25">
        <f>IF('历史数据'!D13="","",'历史数据'!D13)</f>
        <v/>
      </c>
      <c r="D36" s="13">
        <f>IF('历史数据'!E13="","",'历史数据'!E13)</f>
        <v/>
      </c>
      <c r="E36" s="24">
        <f>IF('历史数据'!G13="","",'历史数据'!G13/100000000)</f>
        <v/>
      </c>
      <c r="F36" s="26">
        <f>IF(OR('历史数据'!G13="",'历史数据'!H13&lt;=0),"",'历史数据'!G13/'历史数据'!H13-1)</f>
        <v/>
      </c>
      <c r="G36" s="26">
        <f>IF(OR('历史数据'!G13&lt;=0,'历史数据'!I13&lt;=0),"",POWER('历史数据'!G13/'历史数据'!I13,1/3)-1)</f>
        <v/>
      </c>
      <c r="H36" s="26">
        <f>IF(OR('历史数据'!G13&lt;=0,'历史数据'!J13=""),"",('历史数据'!G13-'历史数据'!J13)/'历史数据'!G13)</f>
        <v/>
      </c>
      <c r="I36" s="27">
        <f>IF(OR(H36="",'历史数据'!H13&lt;=0,'历史数据'!K13=""),"",(H36-('历史数据'!H13-'历史数据'!K13)/'历史数据'!H13)*100)</f>
        <v/>
      </c>
      <c r="J36" s="27">
        <f>IF(OR(H36="",'历史数据'!I13&lt;=0,'历史数据'!L13=""),"",(H36-('历史数据'!I13-'历史数据'!L13)/'历史数据'!I13)*100)</f>
        <v/>
      </c>
      <c r="K36" s="24">
        <f>IF('历史数据'!M13="","",'历史数据'!M13/100000000)</f>
        <v/>
      </c>
      <c r="L36" s="26">
        <f>IF(OR('历史数据'!G13=0,'历史数据'!M13=""),"",'历史数据'!M13/'历史数据'!G13)</f>
        <v/>
      </c>
      <c r="M36" s="26">
        <f>IF(OR('历史数据'!M13="",'历史数据'!N13=0),"",('历史数据'!M13-'历史数据'!N13)/ABS('历史数据'!N13))</f>
        <v/>
      </c>
      <c r="N36" s="26">
        <f>IF(OR('历史数据'!M13&lt;=0,'历史数据'!O13&lt;=0),"",POWER('历史数据'!M13/'历史数据'!O13,1/3)-1)</f>
        <v/>
      </c>
      <c r="O36" s="24">
        <f>IF('历史数据'!P13="","",'历史数据'!P13/100000000)</f>
        <v/>
      </c>
      <c r="P36" s="26">
        <f>IF(OR('历史数据'!P13="",'历史数据'!Q13=0),"",('历史数据'!P13-'历史数据'!Q13)/ABS('历史数据'!Q13))</f>
        <v/>
      </c>
      <c r="Q36" s="26">
        <f>IF(OR('历史数据'!P13&lt;=0,'历史数据'!R13&lt;=0),"",POWER('历史数据'!P13/'历史数据'!R13,1/3)-1)</f>
        <v/>
      </c>
      <c r="R36" s="24">
        <f>IF('历史数据'!S13="","",'历史数据'!S13/100000000)</f>
        <v/>
      </c>
      <c r="S36" s="25">
        <f>IF('历史数据'!T13="","",'历史数据'!T13)</f>
        <v/>
      </c>
      <c r="T36" s="28">
        <f>IF('历史数据'!U13="","",'历史数据'!U13)</f>
        <v/>
      </c>
      <c r="U36" s="28">
        <f>IF('历史数据'!V13="","",'历史数据'!V13/100000000)</f>
        <v/>
      </c>
      <c r="V36" s="24">
        <f>IF('历史数据'!W13="","",'历史数据'!W13/100000000)</f>
        <v/>
      </c>
      <c r="W36" s="28">
        <f>IF('历史数据'!X13="","",'历史数据'!X13)</f>
        <v/>
      </c>
      <c r="X36" s="26">
        <f>IF(OR(R36="",V36&lt;=0),"",R36/V36-1)</f>
        <v/>
      </c>
      <c r="Y36" s="29">
        <f>IF('历史数据'!Y13="","",'历史数据'!Y13)</f>
        <v/>
      </c>
      <c r="Z36" s="24">
        <f>IF('历史数据'!Z13="","",'历史数据'!Z13/100000000)</f>
        <v/>
      </c>
      <c r="AA36" s="24">
        <f>IF('历史数据'!AA13="","",'历史数据'!AA13/100000000)</f>
        <v/>
      </c>
      <c r="AB36" s="24">
        <f>IF('历史数据'!AB13="","",'历史数据'!AB13/100000000)</f>
        <v/>
      </c>
      <c r="AC36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6" s="13" t="inlineStr">
        <is>
          <t>SUCCESS</t>
        </is>
      </c>
    </row>
    <row r="37" ht="21" customHeight="1" s="3">
      <c r="A37" s="12" t="inlineStr">
        <is>
          <t>00018</t>
        </is>
      </c>
      <c r="B37" s="13" t="inlineStr">
        <is>
          <t>ORIENTAL M G</t>
        </is>
      </c>
      <c r="C37" s="25">
        <f>IF('历史数据'!D31="","",'历史数据'!D31)</f>
        <v/>
      </c>
      <c r="D37" s="13">
        <f>IF('历史数据'!E31="","",'历史数据'!E31)</f>
        <v/>
      </c>
      <c r="E37" s="24">
        <f>IF('历史数据'!G31="","",'历史数据'!G31/100000000)</f>
        <v/>
      </c>
      <c r="F37" s="26">
        <f>IF(OR('历史数据'!G31="",'历史数据'!H31&lt;=0),"",'历史数据'!G31/'历史数据'!H31-1)</f>
        <v/>
      </c>
      <c r="G37" s="26">
        <f>IF(OR('历史数据'!G31&lt;=0,'历史数据'!I31&lt;=0),"",POWER('历史数据'!G31/'历史数据'!I31,1/3)-1)</f>
        <v/>
      </c>
      <c r="H37" s="26">
        <f>IF(OR('历史数据'!G31&lt;=0,'历史数据'!J31=""),"",('历史数据'!G31-'历史数据'!J31)/'历史数据'!G31)</f>
        <v/>
      </c>
      <c r="I37" s="27">
        <f>IF(OR(H37="",'历史数据'!H31&lt;=0,'历史数据'!K31=""),"",(H37-('历史数据'!H31-'历史数据'!K31)/'历史数据'!H31)*100)</f>
        <v/>
      </c>
      <c r="J37" s="27">
        <f>IF(OR(H37="",'历史数据'!I31&lt;=0,'历史数据'!L31=""),"",(H37-('历史数据'!I31-'历史数据'!L31)/'历史数据'!I31)*100)</f>
        <v/>
      </c>
      <c r="K37" s="24">
        <f>IF('历史数据'!M31="","",'历史数据'!M31/100000000)</f>
        <v/>
      </c>
      <c r="L37" s="26">
        <f>IF(OR('历史数据'!G31=0,'历史数据'!M31=""),"",'历史数据'!M31/'历史数据'!G31)</f>
        <v/>
      </c>
      <c r="M37" s="26">
        <f>IF(OR('历史数据'!M31="",'历史数据'!N31=0),"",('历史数据'!M31-'历史数据'!N31)/ABS('历史数据'!N31))</f>
        <v/>
      </c>
      <c r="N37" s="26">
        <f>IF(OR('历史数据'!M31&lt;=0,'历史数据'!O31&lt;=0),"",POWER('历史数据'!M31/'历史数据'!O31,1/3)-1)</f>
        <v/>
      </c>
      <c r="O37" s="24">
        <f>IF('历史数据'!P31="","",'历史数据'!P31/100000000)</f>
        <v/>
      </c>
      <c r="P37" s="26">
        <f>IF(OR('历史数据'!P31="",'历史数据'!Q31=0),"",('历史数据'!P31-'历史数据'!Q31)/ABS('历史数据'!Q31))</f>
        <v/>
      </c>
      <c r="Q37" s="26">
        <f>IF(OR('历史数据'!P31&lt;=0,'历史数据'!R31&lt;=0),"",POWER('历史数据'!P31/'历史数据'!R31,1/3)-1)</f>
        <v/>
      </c>
      <c r="R37" s="24">
        <f>IF('历史数据'!S31="","",'历史数据'!S31/100000000)</f>
        <v/>
      </c>
      <c r="S37" s="25">
        <f>IF('历史数据'!T31="","",'历史数据'!T31)</f>
        <v/>
      </c>
      <c r="T37" s="28">
        <f>IF('历史数据'!U31="","",'历史数据'!U31)</f>
        <v/>
      </c>
      <c r="U37" s="28">
        <f>IF('历史数据'!V31="","",'历史数据'!V31/100000000)</f>
        <v/>
      </c>
      <c r="V37" s="24">
        <f>IF('历史数据'!W31="","",'历史数据'!W31/100000000)</f>
        <v/>
      </c>
      <c r="W37" s="28">
        <f>IF('历史数据'!X31="","",'历史数据'!X31)</f>
        <v/>
      </c>
      <c r="X37" s="26">
        <f>IF(OR(R37="",V37&lt;=0),"",R37/V37-1)</f>
        <v/>
      </c>
      <c r="Y37" s="29">
        <f>IF('历史数据'!Y31="","",'历史数据'!Y31)</f>
        <v/>
      </c>
      <c r="Z37" s="24">
        <f>IF('历史数据'!Z31="","",'历史数据'!Z31/100000000)</f>
        <v/>
      </c>
      <c r="AA37" s="24">
        <f>IF('历史数据'!AA31="","",'历史数据'!AA31/100000000)</f>
        <v/>
      </c>
      <c r="AB37" s="24">
        <f>IF('历史数据'!AB31="","",'历史数据'!AB31/100000000)</f>
        <v/>
      </c>
      <c r="AC3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7" s="13" t="inlineStr">
        <is>
          <t>SUCCESS</t>
        </is>
      </c>
    </row>
    <row r="38" ht="21" customHeight="1" s="3">
      <c r="A38" s="12" t="inlineStr">
        <is>
          <t>00050</t>
        </is>
      </c>
      <c r="B38" s="13" t="inlineStr">
        <is>
          <t>HK FERRY (HOLD)</t>
        </is>
      </c>
      <c r="C38" s="25">
        <f>IF('历史数据'!D85="","",'历史数据'!D85)</f>
        <v/>
      </c>
      <c r="D38" s="13">
        <f>IF('历史数据'!E85="","",'历史数据'!E85)</f>
        <v/>
      </c>
      <c r="E38" s="24">
        <f>IF('历史数据'!G85="","",'历史数据'!G85/100000000)</f>
        <v/>
      </c>
      <c r="F38" s="26">
        <f>IF(OR('历史数据'!G85="",'历史数据'!H85&lt;=0),"",'历史数据'!G85/'历史数据'!H85-1)</f>
        <v/>
      </c>
      <c r="G38" s="26">
        <f>IF(OR('历史数据'!G85&lt;=0,'历史数据'!I85&lt;=0),"",POWER('历史数据'!G85/'历史数据'!I85,1/3)-1)</f>
        <v/>
      </c>
      <c r="H38" s="26">
        <f>IF(OR('历史数据'!G85&lt;=0,'历史数据'!J85=""),"",('历史数据'!G85-'历史数据'!J85)/'历史数据'!G85)</f>
        <v/>
      </c>
      <c r="I38" s="27">
        <f>IF(OR(H38="",'历史数据'!H85&lt;=0,'历史数据'!K85=""),"",(H38-('历史数据'!H85-'历史数据'!K85)/'历史数据'!H85)*100)</f>
        <v/>
      </c>
      <c r="J38" s="27">
        <f>IF(OR(H38="",'历史数据'!I85&lt;=0,'历史数据'!L85=""),"",(H38-('历史数据'!I85-'历史数据'!L85)/'历史数据'!I85)*100)</f>
        <v/>
      </c>
      <c r="K38" s="24">
        <f>IF('历史数据'!M85="","",'历史数据'!M85/100000000)</f>
        <v/>
      </c>
      <c r="L38" s="26">
        <f>IF(OR('历史数据'!G85=0,'历史数据'!M85=""),"",'历史数据'!M85/'历史数据'!G85)</f>
        <v/>
      </c>
      <c r="M38" s="26">
        <f>IF(OR('历史数据'!M85="",'历史数据'!N85=0),"",('历史数据'!M85-'历史数据'!N85)/ABS('历史数据'!N85))</f>
        <v/>
      </c>
      <c r="N38" s="26">
        <f>IF(OR('历史数据'!M85&lt;=0,'历史数据'!O85&lt;=0),"",POWER('历史数据'!M85/'历史数据'!O85,1/3)-1)</f>
        <v/>
      </c>
      <c r="O38" s="24">
        <f>IF('历史数据'!P85="","",'历史数据'!P85/100000000)</f>
        <v/>
      </c>
      <c r="P38" s="26">
        <f>IF(OR('历史数据'!P85="",'历史数据'!Q85=0),"",('历史数据'!P85-'历史数据'!Q85)/ABS('历史数据'!Q85))</f>
        <v/>
      </c>
      <c r="Q38" s="26">
        <f>IF(OR('历史数据'!P85&lt;=0,'历史数据'!R85&lt;=0),"",POWER('历史数据'!P85/'历史数据'!R85,1/3)-1)</f>
        <v/>
      </c>
      <c r="R38" s="24">
        <f>IF('历史数据'!S85="","",'历史数据'!S85/100000000)</f>
        <v/>
      </c>
      <c r="S38" s="25">
        <f>IF('历史数据'!T85="","",'历史数据'!T85)</f>
        <v/>
      </c>
      <c r="T38" s="28">
        <f>IF('历史数据'!U85="","",'历史数据'!U85)</f>
        <v/>
      </c>
      <c r="U38" s="28">
        <f>IF('历史数据'!V85="","",'历史数据'!V85/100000000)</f>
        <v/>
      </c>
      <c r="V38" s="24">
        <f>IF('历史数据'!W85="","",'历史数据'!W85/100000000)</f>
        <v/>
      </c>
      <c r="W38" s="28">
        <f>IF('历史数据'!X85="","",'历史数据'!X85)</f>
        <v/>
      </c>
      <c r="X38" s="26">
        <f>IF(OR(R38="",V38&lt;=0),"",R38/V38-1)</f>
        <v/>
      </c>
      <c r="Y38" s="29">
        <f>IF('历史数据'!Y85="","",'历史数据'!Y85)</f>
        <v/>
      </c>
      <c r="Z38" s="24">
        <f>IF('历史数据'!Z85="","",'历史数据'!Z85/100000000)</f>
        <v/>
      </c>
      <c r="AA38" s="24">
        <f>IF('历史数据'!AA85="","",'历史数据'!AA85/100000000)</f>
        <v/>
      </c>
      <c r="AB38" s="24">
        <f>IF('历史数据'!AB85="","",'历史数据'!AB85/100000000)</f>
        <v/>
      </c>
      <c r="AC38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38" s="13" t="inlineStr">
        <is>
          <t>SUCCESS</t>
        </is>
      </c>
    </row>
    <row r="39" ht="21" customHeight="1" s="3">
      <c r="A39" s="12" t="inlineStr">
        <is>
          <t>00055</t>
        </is>
      </c>
      <c r="B39" s="13" t="inlineStr">
        <is>
          <t>NEWAY GROUP</t>
        </is>
      </c>
      <c r="C39" s="25">
        <f>IF('历史数据'!D93="","",'历史数据'!D93)</f>
        <v/>
      </c>
      <c r="D39" s="13">
        <f>IF('历史数据'!E93="","",'历史数据'!E93)</f>
        <v/>
      </c>
      <c r="E39" s="24">
        <f>IF('历史数据'!G93="","",'历史数据'!G93/100000000)</f>
        <v/>
      </c>
      <c r="F39" s="26">
        <f>IF(OR('历史数据'!G93="",'历史数据'!H93&lt;=0),"",'历史数据'!G93/'历史数据'!H93-1)</f>
        <v/>
      </c>
      <c r="G39" s="26">
        <f>IF(OR('历史数据'!G93&lt;=0,'历史数据'!I93&lt;=0),"",POWER('历史数据'!G93/'历史数据'!I93,1/3)-1)</f>
        <v/>
      </c>
      <c r="H39" s="26">
        <f>IF(OR('历史数据'!G93&lt;=0,'历史数据'!J93=""),"",('历史数据'!G93-'历史数据'!J93)/'历史数据'!G93)</f>
        <v/>
      </c>
      <c r="I39" s="27">
        <f>IF(OR(H39="",'历史数据'!H93&lt;=0,'历史数据'!K93=""),"",(H39-('历史数据'!H93-'历史数据'!K93)/'历史数据'!H93)*100)</f>
        <v/>
      </c>
      <c r="J39" s="27">
        <f>IF(OR(H39="",'历史数据'!I93&lt;=0,'历史数据'!L93=""),"",(H39-('历史数据'!I93-'历史数据'!L93)/'历史数据'!I93)*100)</f>
        <v/>
      </c>
      <c r="K39" s="24">
        <f>IF('历史数据'!M93="","",'历史数据'!M93/100000000)</f>
        <v/>
      </c>
      <c r="L39" s="26">
        <f>IF(OR('历史数据'!G93=0,'历史数据'!M93=""),"",'历史数据'!M93/'历史数据'!G93)</f>
        <v/>
      </c>
      <c r="M39" s="26">
        <f>IF(OR('历史数据'!M93="",'历史数据'!N93=0),"",('历史数据'!M93-'历史数据'!N93)/ABS('历史数据'!N93))</f>
        <v/>
      </c>
      <c r="N39" s="26">
        <f>IF(OR('历史数据'!M93&lt;=0,'历史数据'!O93&lt;=0),"",POWER('历史数据'!M93/'历史数据'!O93,1/3)-1)</f>
        <v/>
      </c>
      <c r="O39" s="24">
        <f>IF('历史数据'!P93="","",'历史数据'!P93/100000000)</f>
        <v/>
      </c>
      <c r="P39" s="26">
        <f>IF(OR('历史数据'!P93="",'历史数据'!Q93=0),"",('历史数据'!P93-'历史数据'!Q93)/ABS('历史数据'!Q93))</f>
        <v/>
      </c>
      <c r="Q39" s="26">
        <f>IF(OR('历史数据'!P93&lt;=0,'历史数据'!R93&lt;=0),"",POWER('历史数据'!P93/'历史数据'!R93,1/3)-1)</f>
        <v/>
      </c>
      <c r="R39" s="24">
        <f>IF('历史数据'!S93="","",'历史数据'!S93/100000000)</f>
        <v/>
      </c>
      <c r="S39" s="25">
        <f>IF('历史数据'!T93="","",'历史数据'!T93)</f>
        <v/>
      </c>
      <c r="T39" s="28">
        <f>IF('历史数据'!U93="","",'历史数据'!U93)</f>
        <v/>
      </c>
      <c r="U39" s="28">
        <f>IF('历史数据'!V93="","",'历史数据'!V93/100000000)</f>
        <v/>
      </c>
      <c r="V39" s="24">
        <f>IF('历史数据'!W93="","",'历史数据'!W93/100000000)</f>
        <v/>
      </c>
      <c r="W39" s="28">
        <f>IF('历史数据'!X93="","",'历史数据'!X93)</f>
        <v/>
      </c>
      <c r="X39" s="26">
        <f>IF(OR(R39="",V39&lt;=0),"",R39/V39-1)</f>
        <v/>
      </c>
      <c r="Y39" s="29">
        <f>IF('历史数据'!Y93="","",'历史数据'!Y93)</f>
        <v/>
      </c>
      <c r="Z39" s="24">
        <f>IF('历史数据'!Z93="","",'历史数据'!Z93/100000000)</f>
        <v/>
      </c>
      <c r="AA39" s="24">
        <f>IF('历史数据'!AA93="","",'历史数据'!AA93/100000000)</f>
        <v/>
      </c>
      <c r="AB39" s="24">
        <f>IF('历史数据'!AB93="","",'历史数据'!AB93/100000000)</f>
        <v/>
      </c>
      <c r="AC39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39" s="13" t="inlineStr">
        <is>
          <t>SUCCESS</t>
        </is>
      </c>
    </row>
    <row r="40" ht="21" customHeight="1" s="3">
      <c r="A40" s="12" t="inlineStr">
        <is>
          <t>00046</t>
        </is>
      </c>
      <c r="B40" s="13" t="inlineStr">
        <is>
          <t>COMPUTER &amp; TECH</t>
        </is>
      </c>
      <c r="C40" s="25">
        <f>IF('历史数据'!D81="","",'历史数据'!D81)</f>
        <v/>
      </c>
      <c r="D40" s="13">
        <f>IF('历史数据'!E81="","",'历史数据'!E81)</f>
        <v/>
      </c>
      <c r="E40" s="24">
        <f>IF('历史数据'!G81="","",'历史数据'!G81/100000000)</f>
        <v/>
      </c>
      <c r="F40" s="26">
        <f>IF(OR('历史数据'!G81="",'历史数据'!H81&lt;=0),"",'历史数据'!G81/'历史数据'!H81-1)</f>
        <v/>
      </c>
      <c r="G40" s="26">
        <f>IF(OR('历史数据'!G81&lt;=0,'历史数据'!I81&lt;=0),"",POWER('历史数据'!G81/'历史数据'!I81,1/3)-1)</f>
        <v/>
      </c>
      <c r="H40" s="26">
        <f>IF(OR('历史数据'!G81&lt;=0,'历史数据'!J81=""),"",('历史数据'!G81-'历史数据'!J81)/'历史数据'!G81)</f>
        <v/>
      </c>
      <c r="I40" s="27">
        <f>IF(OR(H40="",'历史数据'!H81&lt;=0,'历史数据'!K81=""),"",(H40-('历史数据'!H81-'历史数据'!K81)/'历史数据'!H81)*100)</f>
        <v/>
      </c>
      <c r="J40" s="27">
        <f>IF(OR(H40="",'历史数据'!I81&lt;=0,'历史数据'!L81=""),"",(H40-('历史数据'!I81-'历史数据'!L81)/'历史数据'!I81)*100)</f>
        <v/>
      </c>
      <c r="K40" s="24">
        <f>IF('历史数据'!M81="","",'历史数据'!M81/100000000)</f>
        <v/>
      </c>
      <c r="L40" s="26">
        <f>IF(OR('历史数据'!G81=0,'历史数据'!M81=""),"",'历史数据'!M81/'历史数据'!G81)</f>
        <v/>
      </c>
      <c r="M40" s="26">
        <f>IF(OR('历史数据'!M81="",'历史数据'!N81=0),"",('历史数据'!M81-'历史数据'!N81)/ABS('历史数据'!N81))</f>
        <v/>
      </c>
      <c r="N40" s="26">
        <f>IF(OR('历史数据'!M81&lt;=0,'历史数据'!O81&lt;=0),"",POWER('历史数据'!M81/'历史数据'!O81,1/3)-1)</f>
        <v/>
      </c>
      <c r="O40" s="24">
        <f>IF('历史数据'!P81="","",'历史数据'!P81/100000000)</f>
        <v/>
      </c>
      <c r="P40" s="26">
        <f>IF(OR('历史数据'!P81="",'历史数据'!Q81=0),"",('历史数据'!P81-'历史数据'!Q81)/ABS('历史数据'!Q81))</f>
        <v/>
      </c>
      <c r="Q40" s="26">
        <f>IF(OR('历史数据'!P81&lt;=0,'历史数据'!R81&lt;=0),"",POWER('历史数据'!P81/'历史数据'!R81,1/3)-1)</f>
        <v/>
      </c>
      <c r="R40" s="24">
        <f>IF('历史数据'!S81="","",'历史数据'!S81/100000000)</f>
        <v/>
      </c>
      <c r="S40" s="25">
        <f>IF('历史数据'!T81="","",'历史数据'!T81)</f>
        <v/>
      </c>
      <c r="T40" s="28">
        <f>IF('历史数据'!U81="","",'历史数据'!U81)</f>
        <v/>
      </c>
      <c r="U40" s="28">
        <f>IF('历史数据'!V81="","",'历史数据'!V81/100000000)</f>
        <v/>
      </c>
      <c r="V40" s="24">
        <f>IF('历史数据'!W81="","",'历史数据'!W81/100000000)</f>
        <v/>
      </c>
      <c r="W40" s="28">
        <f>IF('历史数据'!X81="","",'历史数据'!X81)</f>
        <v/>
      </c>
      <c r="X40" s="26">
        <f>IF(OR(R40="",V40&lt;=0),"",R40/V40-1)</f>
        <v/>
      </c>
      <c r="Y40" s="29">
        <f>IF('历史数据'!Y81="","",'历史数据'!Y81)</f>
        <v/>
      </c>
      <c r="Z40" s="24">
        <f>IF('历史数据'!Z81="","",'历史数据'!Z81/100000000)</f>
        <v/>
      </c>
      <c r="AA40" s="24">
        <f>IF('历史数据'!AA81="","",'历史数据'!AA81/100000000)</f>
        <v/>
      </c>
      <c r="AB40" s="24">
        <f>IF('历史数据'!AB81="","",'历史数据'!AB81/100000000)</f>
        <v/>
      </c>
      <c r="AC40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40" s="13" t="inlineStr">
        <is>
          <t>SUCCESS</t>
        </is>
      </c>
    </row>
    <row r="41" ht="21" customHeight="1" s="3">
      <c r="A41" s="12" t="inlineStr">
        <is>
          <t>00058</t>
        </is>
      </c>
      <c r="B41" s="13" t="inlineStr">
        <is>
          <t>SUNWAY INT'L</t>
        </is>
      </c>
      <c r="C41" s="25">
        <f>IF('历史数据'!D97="","",'历史数据'!D97)</f>
        <v/>
      </c>
      <c r="D41" s="13">
        <f>IF('历史数据'!E97="","",'历史数据'!E97)</f>
        <v/>
      </c>
      <c r="E41" s="24">
        <f>IF('历史数据'!G97="","",'历史数据'!G97/100000000)</f>
        <v/>
      </c>
      <c r="F41" s="26">
        <f>IF(OR('历史数据'!G97="",'历史数据'!H97&lt;=0),"",'历史数据'!G97/'历史数据'!H97-1)</f>
        <v/>
      </c>
      <c r="G41" s="26">
        <f>IF(OR('历史数据'!G97&lt;=0,'历史数据'!I97&lt;=0),"",POWER('历史数据'!G97/'历史数据'!I97,1/3)-1)</f>
        <v/>
      </c>
      <c r="H41" s="26">
        <f>IF(OR('历史数据'!G97&lt;=0,'历史数据'!J97=""),"",('历史数据'!G97-'历史数据'!J97)/'历史数据'!G97)</f>
        <v/>
      </c>
      <c r="I41" s="27">
        <f>IF(OR(H41="",'历史数据'!H97&lt;=0,'历史数据'!K97=""),"",(H41-('历史数据'!H97-'历史数据'!K97)/'历史数据'!H97)*100)</f>
        <v/>
      </c>
      <c r="J41" s="27">
        <f>IF(OR(H41="",'历史数据'!I97&lt;=0,'历史数据'!L97=""),"",(H41-('历史数据'!I97-'历史数据'!L97)/'历史数据'!I97)*100)</f>
        <v/>
      </c>
      <c r="K41" s="24">
        <f>IF('历史数据'!M97="","",'历史数据'!M97/100000000)</f>
        <v/>
      </c>
      <c r="L41" s="26">
        <f>IF(OR('历史数据'!G97=0,'历史数据'!M97=""),"",'历史数据'!M97/'历史数据'!G97)</f>
        <v/>
      </c>
      <c r="M41" s="26">
        <f>IF(OR('历史数据'!M97="",'历史数据'!N97=0),"",('历史数据'!M97-'历史数据'!N97)/ABS('历史数据'!N97))</f>
        <v/>
      </c>
      <c r="N41" s="26">
        <f>IF(OR('历史数据'!M97&lt;=0,'历史数据'!O97&lt;=0),"",POWER('历史数据'!M97/'历史数据'!O97,1/3)-1)</f>
        <v/>
      </c>
      <c r="O41" s="24">
        <f>IF('历史数据'!P97="","",'历史数据'!P97/100000000)</f>
        <v/>
      </c>
      <c r="P41" s="26">
        <f>IF(OR('历史数据'!P97="",'历史数据'!Q97=0),"",('历史数据'!P97-'历史数据'!Q97)/ABS('历史数据'!Q97))</f>
        <v/>
      </c>
      <c r="Q41" s="26">
        <f>IF(OR('历史数据'!P97&lt;=0,'历史数据'!R97&lt;=0),"",POWER('历史数据'!P97/'历史数据'!R97,1/3)-1)</f>
        <v/>
      </c>
      <c r="R41" s="24">
        <f>IF('历史数据'!S97="","",'历史数据'!S97/100000000)</f>
        <v/>
      </c>
      <c r="S41" s="25">
        <f>IF('历史数据'!T97="","",'历史数据'!T97)</f>
        <v/>
      </c>
      <c r="T41" s="28">
        <f>IF('历史数据'!U97="","",'历史数据'!U97)</f>
        <v/>
      </c>
      <c r="U41" s="28">
        <f>IF('历史数据'!V97="","",'历史数据'!V97/100000000)</f>
        <v/>
      </c>
      <c r="V41" s="24">
        <f>IF('历史数据'!W97="","",'历史数据'!W97/100000000)</f>
        <v/>
      </c>
      <c r="W41" s="28">
        <f>IF('历史数据'!X97="","",'历史数据'!X97)</f>
        <v/>
      </c>
      <c r="X41" s="26">
        <f>IF(OR(R41="",V41&lt;=0),"",R41/V41-1)</f>
        <v/>
      </c>
      <c r="Y41" s="29">
        <f>IF('历史数据'!Y97="","",'历史数据'!Y97)</f>
        <v/>
      </c>
      <c r="Z41" s="24">
        <f>IF('历史数据'!Z97="","",'历史数据'!Z97/100000000)</f>
        <v/>
      </c>
      <c r="AA41" s="24">
        <f>IF('历史数据'!AA97="","",'历史数据'!AA97/100000000)</f>
        <v/>
      </c>
      <c r="AB41" s="24">
        <f>IF('历史数据'!AB97="","",'历史数据'!AB97/100000000)</f>
        <v/>
      </c>
      <c r="AC41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41" s="13" t="inlineStr">
        <is>
          <t>SUCCESS</t>
        </is>
      </c>
    </row>
    <row r="42" ht="21" customHeight="1" s="3">
      <c r="A42" s="12" t="inlineStr">
        <is>
          <t>00060</t>
        </is>
      </c>
      <c r="B42" s="13" t="inlineStr">
        <is>
          <t>HK FOOD INV</t>
        </is>
      </c>
      <c r="C42" s="25">
        <f>IF('历史数据'!D101="","",'历史数据'!D101)</f>
        <v/>
      </c>
      <c r="D42" s="13">
        <f>IF('历史数据'!E101="","",'历史数据'!E101)</f>
        <v/>
      </c>
      <c r="E42" s="24">
        <f>IF('历史数据'!G101="","",'历史数据'!G101/100000000)</f>
        <v/>
      </c>
      <c r="F42" s="26">
        <f>IF(OR('历史数据'!G101="",'历史数据'!H101&lt;=0),"",'历史数据'!G101/'历史数据'!H101-1)</f>
        <v/>
      </c>
      <c r="G42" s="26">
        <f>IF(OR('历史数据'!G101&lt;=0,'历史数据'!I101&lt;=0),"",POWER('历史数据'!G101/'历史数据'!I101,1/3)-1)</f>
        <v/>
      </c>
      <c r="H42" s="26">
        <f>IF(OR('历史数据'!G101&lt;=0,'历史数据'!J101=""),"",('历史数据'!G101-'历史数据'!J101)/'历史数据'!G101)</f>
        <v/>
      </c>
      <c r="I42" s="27">
        <f>IF(OR(H42="",'历史数据'!H101&lt;=0,'历史数据'!K101=""),"",(H42-('历史数据'!H101-'历史数据'!K101)/'历史数据'!H101)*100)</f>
        <v/>
      </c>
      <c r="J42" s="27">
        <f>IF(OR(H42="",'历史数据'!I101&lt;=0,'历史数据'!L101=""),"",(H42-('历史数据'!I101-'历史数据'!L101)/'历史数据'!I101)*100)</f>
        <v/>
      </c>
      <c r="K42" s="24">
        <f>IF('历史数据'!M101="","",'历史数据'!M101/100000000)</f>
        <v/>
      </c>
      <c r="L42" s="26">
        <f>IF(OR('历史数据'!G101=0,'历史数据'!M101=""),"",'历史数据'!M101/'历史数据'!G101)</f>
        <v/>
      </c>
      <c r="M42" s="26">
        <f>IF(OR('历史数据'!M101="",'历史数据'!N101=0),"",('历史数据'!M101-'历史数据'!N101)/ABS('历史数据'!N101))</f>
        <v/>
      </c>
      <c r="N42" s="26">
        <f>IF(OR('历史数据'!M101&lt;=0,'历史数据'!O101&lt;=0),"",POWER('历史数据'!M101/'历史数据'!O101,1/3)-1)</f>
        <v/>
      </c>
      <c r="O42" s="24">
        <f>IF('历史数据'!P101="","",'历史数据'!P101/100000000)</f>
        <v/>
      </c>
      <c r="P42" s="26">
        <f>IF(OR('历史数据'!P101="",'历史数据'!Q101=0),"",('历史数据'!P101-'历史数据'!Q101)/ABS('历史数据'!Q101))</f>
        <v/>
      </c>
      <c r="Q42" s="26">
        <f>IF(OR('历史数据'!P101&lt;=0,'历史数据'!R101&lt;=0),"",POWER('历史数据'!P101/'历史数据'!R101,1/3)-1)</f>
        <v/>
      </c>
      <c r="R42" s="24">
        <f>IF('历史数据'!S101="","",'历史数据'!S101/100000000)</f>
        <v/>
      </c>
      <c r="S42" s="25">
        <f>IF('历史数据'!T101="","",'历史数据'!T101)</f>
        <v/>
      </c>
      <c r="T42" s="28">
        <f>IF('历史数据'!U101="","",'历史数据'!U101)</f>
        <v/>
      </c>
      <c r="U42" s="28">
        <f>IF('历史数据'!V101="","",'历史数据'!V101/100000000)</f>
        <v/>
      </c>
      <c r="V42" s="24">
        <f>IF('历史数据'!W101="","",'历史数据'!W101/100000000)</f>
        <v/>
      </c>
      <c r="W42" s="28">
        <f>IF('历史数据'!X101="","",'历史数据'!X101)</f>
        <v/>
      </c>
      <c r="X42" s="26">
        <f>IF(OR(R42="",V42&lt;=0),"",R42/V42-1)</f>
        <v/>
      </c>
      <c r="Y42" s="29">
        <f>IF('历史数据'!Y101="","",'历史数据'!Y101)</f>
        <v/>
      </c>
      <c r="Z42" s="24">
        <f>IF('历史数据'!Z101="","",'历史数据'!Z101/100000000)</f>
        <v/>
      </c>
      <c r="AA42" s="24">
        <f>IF('历史数据'!AA101="","",'历史数据'!AA101/100000000)</f>
        <v/>
      </c>
      <c r="AB42" s="24">
        <f>IF('历史数据'!AB101="","",'历史数据'!AB101/100000000)</f>
        <v/>
      </c>
      <c r="AC42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42" s="13" t="inlineStr">
        <is>
          <t>SUCCESS</t>
        </is>
      </c>
    </row>
    <row r="43" ht="21" customHeight="1" s="3">
      <c r="A43" s="12" t="inlineStr">
        <is>
          <t>00042</t>
        </is>
      </c>
      <c r="B43" s="13" t="inlineStr">
        <is>
          <t>NE ELECTRIC</t>
        </is>
      </c>
      <c r="C43" s="25">
        <f>IF('历史数据'!D77="","",'历史数据'!D77)</f>
        <v/>
      </c>
      <c r="D43" s="13">
        <f>IF('历史数据'!E77="","",'历史数据'!E77)</f>
        <v/>
      </c>
      <c r="E43" s="24">
        <f>IF('历史数据'!G77="","",'历史数据'!G77/100000000)</f>
        <v/>
      </c>
      <c r="F43" s="26">
        <f>IF(OR('历史数据'!G77="",'历史数据'!H77&lt;=0),"",'历史数据'!G77/'历史数据'!H77-1)</f>
        <v/>
      </c>
      <c r="G43" s="26">
        <f>IF(OR('历史数据'!G77&lt;=0,'历史数据'!I77&lt;=0),"",POWER('历史数据'!G77/'历史数据'!I77,1/3)-1)</f>
        <v/>
      </c>
      <c r="H43" s="26">
        <f>IF(OR('历史数据'!G77&lt;=0,'历史数据'!J77=""),"",('历史数据'!G77-'历史数据'!J77)/'历史数据'!G77)</f>
        <v/>
      </c>
      <c r="I43" s="27">
        <f>IF(OR(H43="",'历史数据'!H77&lt;=0,'历史数据'!K77=""),"",(H43-('历史数据'!H77-'历史数据'!K77)/'历史数据'!H77)*100)</f>
        <v/>
      </c>
      <c r="J43" s="27">
        <f>IF(OR(H43="",'历史数据'!I77&lt;=0,'历史数据'!L77=""),"",(H43-('历史数据'!I77-'历史数据'!L77)/'历史数据'!I77)*100)</f>
        <v/>
      </c>
      <c r="K43" s="24">
        <f>IF('历史数据'!M77="","",'历史数据'!M77/100000000)</f>
        <v/>
      </c>
      <c r="L43" s="26">
        <f>IF(OR('历史数据'!G77=0,'历史数据'!M77=""),"",'历史数据'!M77/'历史数据'!G77)</f>
        <v/>
      </c>
      <c r="M43" s="26">
        <f>IF(OR('历史数据'!M77="",'历史数据'!N77=0),"",('历史数据'!M77-'历史数据'!N77)/ABS('历史数据'!N77))</f>
        <v/>
      </c>
      <c r="N43" s="26">
        <f>IF(OR('历史数据'!M77&lt;=0,'历史数据'!O77&lt;=0),"",POWER('历史数据'!M77/'历史数据'!O77,1/3)-1)</f>
        <v/>
      </c>
      <c r="O43" s="24">
        <f>IF('历史数据'!P77="","",'历史数据'!P77/100000000)</f>
        <v/>
      </c>
      <c r="P43" s="26">
        <f>IF(OR('历史数据'!P77="",'历史数据'!Q77=0),"",('历史数据'!P77-'历史数据'!Q77)/ABS('历史数据'!Q77))</f>
        <v/>
      </c>
      <c r="Q43" s="26">
        <f>IF(OR('历史数据'!P77&lt;=0,'历史数据'!R77&lt;=0),"",POWER('历史数据'!P77/'历史数据'!R77,1/3)-1)</f>
        <v/>
      </c>
      <c r="R43" s="24">
        <f>IF('历史数据'!S77="","",'历史数据'!S77/100000000)</f>
        <v/>
      </c>
      <c r="S43" s="25">
        <f>IF('历史数据'!T77="","",'历史数据'!T77)</f>
        <v/>
      </c>
      <c r="T43" s="28">
        <f>IF('历史数据'!U77="","",'历史数据'!U77)</f>
        <v/>
      </c>
      <c r="U43" s="28">
        <f>IF('历史数据'!V77="","",'历史数据'!V77/100000000)</f>
        <v/>
      </c>
      <c r="V43" s="24">
        <f>IF('历史数据'!W77="","",'历史数据'!W77/100000000)</f>
        <v/>
      </c>
      <c r="W43" s="28">
        <f>IF('历史数据'!X77="","",'历史数据'!X77)</f>
        <v/>
      </c>
      <c r="X43" s="26">
        <f>IF(OR(R43="",V43&lt;=0),"",R43/V43-1)</f>
        <v/>
      </c>
      <c r="Y43" s="29">
        <f>IF('历史数据'!Y77="","",'历史数据'!Y77)</f>
        <v/>
      </c>
      <c r="Z43" s="24">
        <f>IF('历史数据'!Z77="","",'历史数据'!Z77/100000000)</f>
        <v/>
      </c>
      <c r="AA43" s="24">
        <f>IF('历史数据'!AA77="","",'历史数据'!AA77/100000000)</f>
        <v/>
      </c>
      <c r="AB43" s="24">
        <f>IF('历史数据'!AB77="","",'历史数据'!AB77/100000000)</f>
        <v/>
      </c>
      <c r="AC43" s="13" t="inlineStr">
        <is>
          <t>当年累计大宗交易笔数:optional_missing；当年累计大宗交易金额:optional_missing；近五个交易日资金净额:optional_missing；近一月资金净额（最近22个交易日）:optional_missing</t>
        </is>
      </c>
      <c r="AD43" s="13" t="inlineStr">
        <is>
          <t>SUCCESS</t>
        </is>
      </c>
    </row>
    <row r="44" ht="21" customHeight="1" s="3">
      <c r="A44" s="12" t="inlineStr">
        <is>
          <t>00048</t>
        </is>
      </c>
      <c r="B44" s="13" t="inlineStr">
        <is>
          <t>C AUTO INT DECO</t>
        </is>
      </c>
      <c r="C44" s="25">
        <f>IF('历史数据'!D83="","",'历史数据'!D83)</f>
        <v/>
      </c>
      <c r="D44" s="13">
        <f>IF('历史数据'!E83="","",'历史数据'!E83)</f>
        <v/>
      </c>
      <c r="E44" s="24">
        <f>IF('历史数据'!G83="","",'历史数据'!G83/100000000)</f>
        <v/>
      </c>
      <c r="F44" s="26">
        <f>IF(OR('历史数据'!G83="",'历史数据'!H83&lt;=0),"",'历史数据'!G83/'历史数据'!H83-1)</f>
        <v/>
      </c>
      <c r="G44" s="26">
        <f>IF(OR('历史数据'!G83&lt;=0,'历史数据'!I83&lt;=0),"",POWER('历史数据'!G83/'历史数据'!I83,1/3)-1)</f>
        <v/>
      </c>
      <c r="H44" s="26">
        <f>IF(OR('历史数据'!G83&lt;=0,'历史数据'!J83=""),"",('历史数据'!G83-'历史数据'!J83)/'历史数据'!G83)</f>
        <v/>
      </c>
      <c r="I44" s="27">
        <f>IF(OR(H44="",'历史数据'!H83&lt;=0,'历史数据'!K83=""),"",(H44-('历史数据'!H83-'历史数据'!K83)/'历史数据'!H83)*100)</f>
        <v/>
      </c>
      <c r="J44" s="27">
        <f>IF(OR(H44="",'历史数据'!I83&lt;=0,'历史数据'!L83=""),"",(H44-('历史数据'!I83-'历史数据'!L83)/'历史数据'!I83)*100)</f>
        <v/>
      </c>
      <c r="K44" s="24">
        <f>IF('历史数据'!M83="","",'历史数据'!M83/100000000)</f>
        <v/>
      </c>
      <c r="L44" s="26">
        <f>IF(OR('历史数据'!G83=0,'历史数据'!M83=""),"",'历史数据'!M83/'历史数据'!G83)</f>
        <v/>
      </c>
      <c r="M44" s="26">
        <f>IF(OR('历史数据'!M83="",'历史数据'!N83=0),"",('历史数据'!M83-'历史数据'!N83)/ABS('历史数据'!N83))</f>
        <v/>
      </c>
      <c r="N44" s="26">
        <f>IF(OR('历史数据'!M83&lt;=0,'历史数据'!O83&lt;=0),"",POWER('历史数据'!M83/'历史数据'!O83,1/3)-1)</f>
        <v/>
      </c>
      <c r="O44" s="24">
        <f>IF('历史数据'!P83="","",'历史数据'!P83/100000000)</f>
        <v/>
      </c>
      <c r="P44" s="26">
        <f>IF(OR('历史数据'!P83="",'历史数据'!Q83=0),"",('历史数据'!P83-'历史数据'!Q83)/ABS('历史数据'!Q83))</f>
        <v/>
      </c>
      <c r="Q44" s="26">
        <f>IF(OR('历史数据'!P83&lt;=0,'历史数据'!R83&lt;=0),"",POWER('历史数据'!P83/'历史数据'!R83,1/3)-1)</f>
        <v/>
      </c>
      <c r="R44" s="24">
        <f>IF('历史数据'!S83="","",'历史数据'!S83/100000000)</f>
        <v/>
      </c>
      <c r="S44" s="25">
        <f>IF('历史数据'!T83="","",'历史数据'!T83)</f>
        <v/>
      </c>
      <c r="T44" s="28">
        <f>IF('历史数据'!U83="","",'历史数据'!U83)</f>
        <v/>
      </c>
      <c r="U44" s="28">
        <f>IF('历史数据'!V83="","",'历史数据'!V83/100000000)</f>
        <v/>
      </c>
      <c r="V44" s="24">
        <f>IF('历史数据'!W83="","",'历史数据'!W83/100000000)</f>
        <v/>
      </c>
      <c r="W44" s="28">
        <f>IF('历史数据'!X83="","",'历史数据'!X83)</f>
        <v/>
      </c>
      <c r="X44" s="26">
        <f>IF(OR(R44="",V44&lt;=0),"",R44/V44-1)</f>
        <v/>
      </c>
      <c r="Y44" s="29">
        <f>IF('历史数据'!Y83="","",'历史数据'!Y83)</f>
        <v/>
      </c>
      <c r="Z44" s="24">
        <f>IF('历史数据'!Z83="","",'历史数据'!Z83/100000000)</f>
        <v/>
      </c>
      <c r="AA44" s="24">
        <f>IF('历史数据'!AA83="","",'历史数据'!AA83/100000000)</f>
        <v/>
      </c>
      <c r="AB44" s="24">
        <f>IF('历史数据'!AB83="","",'历史数据'!AB83/100000000)</f>
        <v/>
      </c>
      <c r="AC44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4" s="13" t="inlineStr">
        <is>
          <t>SUCCESS</t>
        </is>
      </c>
    </row>
    <row r="45" ht="21" customHeight="1" s="3">
      <c r="A45" s="12" t="inlineStr">
        <is>
          <t>00029</t>
        </is>
      </c>
      <c r="B45" s="13" t="inlineStr">
        <is>
          <t>DYNAMIC HOLD</t>
        </is>
      </c>
      <c r="C45" s="25">
        <f>IF('历史数据'!D51="","",'历史数据'!D51)</f>
        <v/>
      </c>
      <c r="D45" s="13">
        <f>IF('历史数据'!E51="","",'历史数据'!E51)</f>
        <v/>
      </c>
      <c r="E45" s="24">
        <f>IF('历史数据'!G51="","",'历史数据'!G51/100000000)</f>
        <v/>
      </c>
      <c r="F45" s="26">
        <f>IF(OR('历史数据'!G51="",'历史数据'!H51&lt;=0),"",'历史数据'!G51/'历史数据'!H51-1)</f>
        <v/>
      </c>
      <c r="G45" s="26">
        <f>IF(OR('历史数据'!G51&lt;=0,'历史数据'!I51&lt;=0),"",POWER('历史数据'!G51/'历史数据'!I51,1/3)-1)</f>
        <v/>
      </c>
      <c r="H45" s="26">
        <f>IF(OR('历史数据'!G51&lt;=0,'历史数据'!J51=""),"",('历史数据'!G51-'历史数据'!J51)/'历史数据'!G51)</f>
        <v/>
      </c>
      <c r="I45" s="27">
        <f>IF(OR(H45="",'历史数据'!H51&lt;=0,'历史数据'!K51=""),"",(H45-('历史数据'!H51-'历史数据'!K51)/'历史数据'!H51)*100)</f>
        <v/>
      </c>
      <c r="J45" s="27">
        <f>IF(OR(H45="",'历史数据'!I51&lt;=0,'历史数据'!L51=""),"",(H45-('历史数据'!I51-'历史数据'!L51)/'历史数据'!I51)*100)</f>
        <v/>
      </c>
      <c r="K45" s="24">
        <f>IF('历史数据'!M51="","",'历史数据'!M51/100000000)</f>
        <v/>
      </c>
      <c r="L45" s="26">
        <f>IF(OR('历史数据'!G51=0,'历史数据'!M51=""),"",'历史数据'!M51/'历史数据'!G51)</f>
        <v/>
      </c>
      <c r="M45" s="26">
        <f>IF(OR('历史数据'!M51="",'历史数据'!N51=0),"",('历史数据'!M51-'历史数据'!N51)/ABS('历史数据'!N51))</f>
        <v/>
      </c>
      <c r="N45" s="26">
        <f>IF(OR('历史数据'!M51&lt;=0,'历史数据'!O51&lt;=0),"",POWER('历史数据'!M51/'历史数据'!O51,1/3)-1)</f>
        <v/>
      </c>
      <c r="O45" s="24">
        <f>IF('历史数据'!P51="","",'历史数据'!P51/100000000)</f>
        <v/>
      </c>
      <c r="P45" s="26">
        <f>IF(OR('历史数据'!P51="",'历史数据'!Q51=0),"",('历史数据'!P51-'历史数据'!Q51)/ABS('历史数据'!Q51))</f>
        <v/>
      </c>
      <c r="Q45" s="26">
        <f>IF(OR('历史数据'!P51&lt;=0,'历史数据'!R51&lt;=0),"",POWER('历史数据'!P51/'历史数据'!R51,1/3)-1)</f>
        <v/>
      </c>
      <c r="R45" s="24">
        <f>IF('历史数据'!S51="","",'历史数据'!S51/100000000)</f>
        <v/>
      </c>
      <c r="S45" s="25">
        <f>IF('历史数据'!T51="","",'历史数据'!T51)</f>
        <v/>
      </c>
      <c r="T45" s="28">
        <f>IF('历史数据'!U51="","",'历史数据'!U51)</f>
        <v/>
      </c>
      <c r="U45" s="28">
        <f>IF('历史数据'!V51="","",'历史数据'!V51/100000000)</f>
        <v/>
      </c>
      <c r="V45" s="24">
        <f>IF('历史数据'!W51="","",'历史数据'!W51/100000000)</f>
        <v/>
      </c>
      <c r="W45" s="28">
        <f>IF('历史数据'!X51="","",'历史数据'!X51)</f>
        <v/>
      </c>
      <c r="X45" s="26">
        <f>IF(OR(R45="",V45&lt;=0),"",R45/V45-1)</f>
        <v/>
      </c>
      <c r="Y45" s="29">
        <f>IF('历史数据'!Y51="","",'历史数据'!Y51)</f>
        <v/>
      </c>
      <c r="Z45" s="24">
        <f>IF('历史数据'!Z51="","",'历史数据'!Z51/100000000)</f>
        <v/>
      </c>
      <c r="AA45" s="24">
        <f>IF('历史数据'!AA51="","",'历史数据'!AA51/100000000)</f>
        <v/>
      </c>
      <c r="AB45" s="24">
        <f>IF('历史数据'!AB51="","",'历史数据'!AB51/100000000)</f>
        <v/>
      </c>
      <c r="AC45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5" s="13" t="inlineStr">
        <is>
          <t>SUCCESS</t>
        </is>
      </c>
    </row>
    <row r="46" ht="21" customHeight="1" s="3">
      <c r="A46" s="12" t="inlineStr">
        <is>
          <t>00021</t>
        </is>
      </c>
      <c r="B46" s="13" t="inlineStr">
        <is>
          <t>GREAT CHI HLDGS</t>
        </is>
      </c>
      <c r="C46" s="25">
        <f>IF('历史数据'!D37="","",'历史数据'!D37)</f>
        <v/>
      </c>
      <c r="D46" s="13">
        <f>IF('历史数据'!E37="","",'历史数据'!E37)</f>
        <v/>
      </c>
      <c r="E46" s="24">
        <f>IF('历史数据'!G37="","",'历史数据'!G37/100000000)</f>
        <v/>
      </c>
      <c r="F46" s="26">
        <f>IF(OR('历史数据'!G37="",'历史数据'!H37&lt;=0),"",'历史数据'!G37/'历史数据'!H37-1)</f>
        <v/>
      </c>
      <c r="G46" s="26">
        <f>IF(OR('历史数据'!G37&lt;=0,'历史数据'!I37&lt;=0),"",POWER('历史数据'!G37/'历史数据'!I37,1/3)-1)</f>
        <v/>
      </c>
      <c r="H46" s="26">
        <f>IF(OR('历史数据'!G37&lt;=0,'历史数据'!J37=""),"",('历史数据'!G37-'历史数据'!J37)/'历史数据'!G37)</f>
        <v/>
      </c>
      <c r="I46" s="27">
        <f>IF(OR(H46="",'历史数据'!H37&lt;=0,'历史数据'!K37=""),"",(H46-('历史数据'!H37-'历史数据'!K37)/'历史数据'!H37)*100)</f>
        <v/>
      </c>
      <c r="J46" s="27">
        <f>IF(OR(H46="",'历史数据'!I37&lt;=0,'历史数据'!L37=""),"",(H46-('历史数据'!I37-'历史数据'!L37)/'历史数据'!I37)*100)</f>
        <v/>
      </c>
      <c r="K46" s="24">
        <f>IF('历史数据'!M37="","",'历史数据'!M37/100000000)</f>
        <v/>
      </c>
      <c r="L46" s="26">
        <f>IF(OR('历史数据'!G37=0,'历史数据'!M37=""),"",'历史数据'!M37/'历史数据'!G37)</f>
        <v/>
      </c>
      <c r="M46" s="26">
        <f>IF(OR('历史数据'!M37="",'历史数据'!N37=0),"",('历史数据'!M37-'历史数据'!N37)/ABS('历史数据'!N37))</f>
        <v/>
      </c>
      <c r="N46" s="26">
        <f>IF(OR('历史数据'!M37&lt;=0,'历史数据'!O37&lt;=0),"",POWER('历史数据'!M37/'历史数据'!O37,1/3)-1)</f>
        <v/>
      </c>
      <c r="O46" s="24">
        <f>IF('历史数据'!P37="","",'历史数据'!P37/100000000)</f>
        <v/>
      </c>
      <c r="P46" s="26">
        <f>IF(OR('历史数据'!P37="",'历史数据'!Q37=0),"",('历史数据'!P37-'历史数据'!Q37)/ABS('历史数据'!Q37))</f>
        <v/>
      </c>
      <c r="Q46" s="26">
        <f>IF(OR('历史数据'!P37&lt;=0,'历史数据'!R37&lt;=0),"",POWER('历史数据'!P37/'历史数据'!R37,1/3)-1)</f>
        <v/>
      </c>
      <c r="R46" s="24">
        <f>IF('历史数据'!S37="","",'历史数据'!S37/100000000)</f>
        <v/>
      </c>
      <c r="S46" s="25">
        <f>IF('历史数据'!T37="","",'历史数据'!T37)</f>
        <v/>
      </c>
      <c r="T46" s="28">
        <f>IF('历史数据'!U37="","",'历史数据'!U37)</f>
        <v/>
      </c>
      <c r="U46" s="28">
        <f>IF('历史数据'!V37="","",'历史数据'!V37/100000000)</f>
        <v/>
      </c>
      <c r="V46" s="24">
        <f>IF('历史数据'!W37="","",'历史数据'!W37/100000000)</f>
        <v/>
      </c>
      <c r="W46" s="28">
        <f>IF('历史数据'!X37="","",'历史数据'!X37)</f>
        <v/>
      </c>
      <c r="X46" s="26">
        <f>IF(OR(R46="",V46&lt;=0),"",R46/V46-1)</f>
        <v/>
      </c>
      <c r="Y46" s="29">
        <f>IF('历史数据'!Y37="","",'历史数据'!Y37)</f>
        <v/>
      </c>
      <c r="Z46" s="24">
        <f>IF('历史数据'!Z37="","",'历史数据'!Z37/100000000)</f>
        <v/>
      </c>
      <c r="AA46" s="24">
        <f>IF('历史数据'!AA37="","",'历史数据'!AA37/100000000)</f>
        <v/>
      </c>
      <c r="AB46" s="24">
        <f>IF('历史数据'!AB37="","",'历史数据'!AB37/100000000)</f>
        <v/>
      </c>
      <c r="AC46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6" s="13" t="inlineStr">
        <is>
          <t>SUCCESS</t>
        </is>
      </c>
    </row>
    <row r="47" ht="21" customHeight="1" s="3">
      <c r="A47" s="12" t="inlineStr">
        <is>
          <t>00026</t>
        </is>
      </c>
      <c r="B47" s="13" t="inlineStr">
        <is>
          <t>CHINA MOTOR BUS</t>
        </is>
      </c>
      <c r="C47" s="25">
        <f>IF('历史数据'!D45="","",'历史数据'!D45)</f>
        <v/>
      </c>
      <c r="D47" s="13">
        <f>IF('历史数据'!E45="","",'历史数据'!E45)</f>
        <v/>
      </c>
      <c r="E47" s="24">
        <f>IF('历史数据'!G45="","",'历史数据'!G45/100000000)</f>
        <v/>
      </c>
      <c r="F47" s="26">
        <f>IF(OR('历史数据'!G45="",'历史数据'!H45&lt;=0),"",'历史数据'!G45/'历史数据'!H45-1)</f>
        <v/>
      </c>
      <c r="G47" s="26">
        <f>IF(OR('历史数据'!G45&lt;=0,'历史数据'!I45&lt;=0),"",POWER('历史数据'!G45/'历史数据'!I45,1/3)-1)</f>
        <v/>
      </c>
      <c r="H47" s="26">
        <f>IF(OR('历史数据'!G45&lt;=0,'历史数据'!J45=""),"",('历史数据'!G45-'历史数据'!J45)/'历史数据'!G45)</f>
        <v/>
      </c>
      <c r="I47" s="27">
        <f>IF(OR(H47="",'历史数据'!H45&lt;=0,'历史数据'!K45=""),"",(H47-('历史数据'!H45-'历史数据'!K45)/'历史数据'!H45)*100)</f>
        <v/>
      </c>
      <c r="J47" s="27">
        <f>IF(OR(H47="",'历史数据'!I45&lt;=0,'历史数据'!L45=""),"",(H47-('历史数据'!I45-'历史数据'!L45)/'历史数据'!I45)*100)</f>
        <v/>
      </c>
      <c r="K47" s="24">
        <f>IF('历史数据'!M45="","",'历史数据'!M45/100000000)</f>
        <v/>
      </c>
      <c r="L47" s="26">
        <f>IF(OR('历史数据'!G45=0,'历史数据'!M45=""),"",'历史数据'!M45/'历史数据'!G45)</f>
        <v/>
      </c>
      <c r="M47" s="26">
        <f>IF(OR('历史数据'!M45="",'历史数据'!N45=0),"",('历史数据'!M45-'历史数据'!N45)/ABS('历史数据'!N45))</f>
        <v/>
      </c>
      <c r="N47" s="26">
        <f>IF(OR('历史数据'!M45&lt;=0,'历史数据'!O45&lt;=0),"",POWER('历史数据'!M45/'历史数据'!O45,1/3)-1)</f>
        <v/>
      </c>
      <c r="O47" s="24">
        <f>IF('历史数据'!P45="","",'历史数据'!P45/100000000)</f>
        <v/>
      </c>
      <c r="P47" s="26">
        <f>IF(OR('历史数据'!P45="",'历史数据'!Q45=0),"",('历史数据'!P45-'历史数据'!Q45)/ABS('历史数据'!Q45))</f>
        <v/>
      </c>
      <c r="Q47" s="26">
        <f>IF(OR('历史数据'!P45&lt;=0,'历史数据'!R45&lt;=0),"",POWER('历史数据'!P45/'历史数据'!R45,1/3)-1)</f>
        <v/>
      </c>
      <c r="R47" s="24">
        <f>IF('历史数据'!S45="","",'历史数据'!S45/100000000)</f>
        <v/>
      </c>
      <c r="S47" s="25">
        <f>IF('历史数据'!T45="","",'历史数据'!T45)</f>
        <v/>
      </c>
      <c r="T47" s="28">
        <f>IF('历史数据'!U45="","",'历史数据'!U45)</f>
        <v/>
      </c>
      <c r="U47" s="28">
        <f>IF('历史数据'!V45="","",'历史数据'!V45/100000000)</f>
        <v/>
      </c>
      <c r="V47" s="24">
        <f>IF('历史数据'!W45="","",'历史数据'!W45/100000000)</f>
        <v/>
      </c>
      <c r="W47" s="28">
        <f>IF('历史数据'!X45="","",'历史数据'!X45)</f>
        <v/>
      </c>
      <c r="X47" s="26">
        <f>IF(OR(R47="",V47&lt;=0),"",R47/V47-1)</f>
        <v/>
      </c>
      <c r="Y47" s="29">
        <f>IF('历史数据'!Y45="","",'历史数据'!Y45)</f>
        <v/>
      </c>
      <c r="Z47" s="24">
        <f>IF('历史数据'!Z45="","",'历史数据'!Z45/100000000)</f>
        <v/>
      </c>
      <c r="AA47" s="24">
        <f>IF('历史数据'!AA45="","",'历史数据'!AA45/100000000)</f>
        <v/>
      </c>
      <c r="AB47" s="24">
        <f>IF('历史数据'!AB45="","",'历史数据'!AB45/100000000)</f>
        <v/>
      </c>
      <c r="AC47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7" s="13" t="inlineStr">
        <is>
          <t>SUCCESS</t>
        </is>
      </c>
    </row>
    <row r="48" ht="21" customHeight="1" s="3">
      <c r="A48" s="12" t="inlineStr">
        <is>
          <t>00022</t>
        </is>
      </c>
      <c r="B48" s="13" t="inlineStr">
        <is>
          <t>MEXAN</t>
        </is>
      </c>
      <c r="C48" s="25">
        <f>IF('历史数据'!D39="","",'历史数据'!D39)</f>
        <v/>
      </c>
      <c r="D48" s="13">
        <f>IF('历史数据'!E39="","",'历史数据'!E39)</f>
        <v/>
      </c>
      <c r="E48" s="24">
        <f>IF('历史数据'!G39="","",'历史数据'!G39/100000000)</f>
        <v/>
      </c>
      <c r="F48" s="26">
        <f>IF(OR('历史数据'!G39="",'历史数据'!H39&lt;=0),"",'历史数据'!G39/'历史数据'!H39-1)</f>
        <v/>
      </c>
      <c r="G48" s="26">
        <f>IF(OR('历史数据'!G39&lt;=0,'历史数据'!I39&lt;=0),"",POWER('历史数据'!G39/'历史数据'!I39,1/3)-1)</f>
        <v/>
      </c>
      <c r="H48" s="26">
        <f>IF(OR('历史数据'!G39&lt;=0,'历史数据'!J39=""),"",('历史数据'!G39-'历史数据'!J39)/'历史数据'!G39)</f>
        <v/>
      </c>
      <c r="I48" s="27">
        <f>IF(OR(H48="",'历史数据'!H39&lt;=0,'历史数据'!K39=""),"",(H48-('历史数据'!H39-'历史数据'!K39)/'历史数据'!H39)*100)</f>
        <v/>
      </c>
      <c r="J48" s="27">
        <f>IF(OR(H48="",'历史数据'!I39&lt;=0,'历史数据'!L39=""),"",(H48-('历史数据'!I39-'历史数据'!L39)/'历史数据'!I39)*100)</f>
        <v/>
      </c>
      <c r="K48" s="24">
        <f>IF('历史数据'!M39="","",'历史数据'!M39/100000000)</f>
        <v/>
      </c>
      <c r="L48" s="26">
        <f>IF(OR('历史数据'!G39=0,'历史数据'!M39=""),"",'历史数据'!M39/'历史数据'!G39)</f>
        <v/>
      </c>
      <c r="M48" s="26">
        <f>IF(OR('历史数据'!M39="",'历史数据'!N39=0),"",('历史数据'!M39-'历史数据'!N39)/ABS('历史数据'!N39))</f>
        <v/>
      </c>
      <c r="N48" s="26">
        <f>IF(OR('历史数据'!M39&lt;=0,'历史数据'!O39&lt;=0),"",POWER('历史数据'!M39/'历史数据'!O39,1/3)-1)</f>
        <v/>
      </c>
      <c r="O48" s="24">
        <f>IF('历史数据'!P39="","",'历史数据'!P39/100000000)</f>
        <v/>
      </c>
      <c r="P48" s="26">
        <f>IF(OR('历史数据'!P39="",'历史数据'!Q39=0),"",('历史数据'!P39-'历史数据'!Q39)/ABS('历史数据'!Q39))</f>
        <v/>
      </c>
      <c r="Q48" s="26">
        <f>IF(OR('历史数据'!P39&lt;=0,'历史数据'!R39&lt;=0),"",POWER('历史数据'!P39/'历史数据'!R39,1/3)-1)</f>
        <v/>
      </c>
      <c r="R48" s="24">
        <f>IF('历史数据'!S39="","",'历史数据'!S39/100000000)</f>
        <v/>
      </c>
      <c r="S48" s="25">
        <f>IF('历史数据'!T39="","",'历史数据'!T39)</f>
        <v/>
      </c>
      <c r="T48" s="28">
        <f>IF('历史数据'!U39="","",'历史数据'!U39)</f>
        <v/>
      </c>
      <c r="U48" s="28">
        <f>IF('历史数据'!V39="","",'历史数据'!V39/100000000)</f>
        <v/>
      </c>
      <c r="V48" s="24">
        <f>IF('历史数据'!W39="","",'历史数据'!W39/100000000)</f>
        <v/>
      </c>
      <c r="W48" s="28">
        <f>IF('历史数据'!X39="","",'历史数据'!X39)</f>
        <v/>
      </c>
      <c r="X48" s="26">
        <f>IF(OR(R48="",V48&lt;=0),"",R48/V48-1)</f>
        <v/>
      </c>
      <c r="Y48" s="29">
        <f>IF('历史数据'!Y39="","",'历史数据'!Y39)</f>
        <v/>
      </c>
      <c r="Z48" s="24">
        <f>IF('历史数据'!Z39="","",'历史数据'!Z39/100000000)</f>
        <v/>
      </c>
      <c r="AA48" s="24">
        <f>IF('历史数据'!AA39="","",'历史数据'!AA39/100000000)</f>
        <v/>
      </c>
      <c r="AB48" s="24">
        <f>IF('历史数据'!AB39="","",'历史数据'!AB39/100000000)</f>
        <v/>
      </c>
      <c r="AC48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8" s="13" t="inlineStr">
        <is>
          <t>SUCCESS</t>
        </is>
      </c>
    </row>
    <row r="49" ht="21" customHeight="1" s="3">
      <c r="A49" s="12" t="inlineStr">
        <is>
          <t>00037</t>
        </is>
      </c>
      <c r="B49" s="13" t="inlineStr">
        <is>
          <t>FE HOTELS</t>
        </is>
      </c>
      <c r="C49" s="25">
        <f>IF('历史数据'!D67="","",'历史数据'!D67)</f>
        <v/>
      </c>
      <c r="D49" s="13">
        <f>IF('历史数据'!E67="","",'历史数据'!E67)</f>
        <v/>
      </c>
      <c r="E49" s="24">
        <f>IF('历史数据'!G67="","",'历史数据'!G67/100000000)</f>
        <v/>
      </c>
      <c r="F49" s="26">
        <f>IF(OR('历史数据'!G67="",'历史数据'!H67&lt;=0),"",'历史数据'!G67/'历史数据'!H67-1)</f>
        <v/>
      </c>
      <c r="G49" s="26">
        <f>IF(OR('历史数据'!G67&lt;=0,'历史数据'!I67&lt;=0),"",POWER('历史数据'!G67/'历史数据'!I67,1/3)-1)</f>
        <v/>
      </c>
      <c r="H49" s="26">
        <f>IF(OR('历史数据'!G67&lt;=0,'历史数据'!J67=""),"",('历史数据'!G67-'历史数据'!J67)/'历史数据'!G67)</f>
        <v/>
      </c>
      <c r="I49" s="27">
        <f>IF(OR(H49="",'历史数据'!H67&lt;=0,'历史数据'!K67=""),"",(H49-('历史数据'!H67-'历史数据'!K67)/'历史数据'!H67)*100)</f>
        <v/>
      </c>
      <c r="J49" s="27">
        <f>IF(OR(H49="",'历史数据'!I67&lt;=0,'历史数据'!L67=""),"",(H49-('历史数据'!I67-'历史数据'!L67)/'历史数据'!I67)*100)</f>
        <v/>
      </c>
      <c r="K49" s="24">
        <f>IF('历史数据'!M67="","",'历史数据'!M67/100000000)</f>
        <v/>
      </c>
      <c r="L49" s="26">
        <f>IF(OR('历史数据'!G67=0,'历史数据'!M67=""),"",'历史数据'!M67/'历史数据'!G67)</f>
        <v/>
      </c>
      <c r="M49" s="26">
        <f>IF(OR('历史数据'!M67="",'历史数据'!N67=0),"",('历史数据'!M67-'历史数据'!N67)/ABS('历史数据'!N67))</f>
        <v/>
      </c>
      <c r="N49" s="26">
        <f>IF(OR('历史数据'!M67&lt;=0,'历史数据'!O67&lt;=0),"",POWER('历史数据'!M67/'历史数据'!O67,1/3)-1)</f>
        <v/>
      </c>
      <c r="O49" s="24">
        <f>IF('历史数据'!P67="","",'历史数据'!P67/100000000)</f>
        <v/>
      </c>
      <c r="P49" s="26">
        <f>IF(OR('历史数据'!P67="",'历史数据'!Q67=0),"",('历史数据'!P67-'历史数据'!Q67)/ABS('历史数据'!Q67))</f>
        <v/>
      </c>
      <c r="Q49" s="26">
        <f>IF(OR('历史数据'!P67&lt;=0,'历史数据'!R67&lt;=0),"",POWER('历史数据'!P67/'历史数据'!R67,1/3)-1)</f>
        <v/>
      </c>
      <c r="R49" s="24">
        <f>IF('历史数据'!S67="","",'历史数据'!S67/100000000)</f>
        <v/>
      </c>
      <c r="S49" s="25">
        <f>IF('历史数据'!T67="","",'历史数据'!T67)</f>
        <v/>
      </c>
      <c r="T49" s="28">
        <f>IF('历史数据'!U67="","",'历史数据'!U67)</f>
        <v/>
      </c>
      <c r="U49" s="28">
        <f>IF('历史数据'!V67="","",'历史数据'!V67/100000000)</f>
        <v/>
      </c>
      <c r="V49" s="24">
        <f>IF('历史数据'!W67="","",'历史数据'!W67/100000000)</f>
        <v/>
      </c>
      <c r="W49" s="28">
        <f>IF('历史数据'!X67="","",'历史数据'!X67)</f>
        <v/>
      </c>
      <c r="X49" s="26">
        <f>IF(OR(R49="",V49&lt;=0),"",R49/V49-1)</f>
        <v/>
      </c>
      <c r="Y49" s="29">
        <f>IF('历史数据'!Y67="","",'历史数据'!Y67)</f>
        <v/>
      </c>
      <c r="Z49" s="24">
        <f>IF('历史数据'!Z67="","",'历史数据'!Z67/100000000)</f>
        <v/>
      </c>
      <c r="AA49" s="24">
        <f>IF('历史数据'!AA67="","",'历史数据'!AA67/100000000)</f>
        <v/>
      </c>
      <c r="AB49" s="24">
        <f>IF('历史数据'!AB67="","",'历史数据'!AB67/100000000)</f>
        <v/>
      </c>
      <c r="AC49" s="13" t="inlineStr">
        <is>
          <t>市值增长率:missing；发行价:optional_missing；发行股数:optional_missing；发行时总市值:optional_missing；当年累计大宗交易笔数:optional_missing；当年累计大宗交易金额:optional_missing</t>
        </is>
      </c>
      <c r="AD49" s="13" t="inlineStr">
        <is>
          <t>SUCCESS</t>
        </is>
      </c>
    </row>
    <row r="50" ht="21" customHeight="1" s="3">
      <c r="A50" s="12" t="inlineStr">
        <is>
          <t>00036</t>
        </is>
      </c>
      <c r="B50" s="13" t="inlineStr">
        <is>
          <t>FE HLDGS INTL</t>
        </is>
      </c>
      <c r="C50" s="25">
        <f>IF('历史数据'!D65="","",'历史数据'!D65)</f>
        <v/>
      </c>
      <c r="D50" s="13">
        <f>IF('历史数据'!E65="","",'历史数据'!E65)</f>
        <v/>
      </c>
      <c r="E50" s="24">
        <f>IF('历史数据'!G65="","",'历史数据'!G65/100000000)</f>
        <v/>
      </c>
      <c r="F50" s="26">
        <f>IF(OR('历史数据'!G65="",'历史数据'!H65&lt;=0),"",'历史数据'!G65/'历史数据'!H65-1)</f>
        <v/>
      </c>
      <c r="G50" s="26">
        <f>IF(OR('历史数据'!G65&lt;=0,'历史数据'!I65&lt;=0),"",POWER('历史数据'!G65/'历史数据'!I65,1/3)-1)</f>
        <v/>
      </c>
      <c r="H50" s="26">
        <f>IF(OR('历史数据'!G65&lt;=0,'历史数据'!J65=""),"",('历史数据'!G65-'历史数据'!J65)/'历史数据'!G65)</f>
        <v/>
      </c>
      <c r="I50" s="27">
        <f>IF(OR(H50="",'历史数据'!H65&lt;=0,'历史数据'!K65=""),"",(H50-('历史数据'!H65-'历史数据'!K65)/'历史数据'!H65)*100)</f>
        <v/>
      </c>
      <c r="J50" s="27">
        <f>IF(OR(H50="",'历史数据'!I65&lt;=0,'历史数据'!L65=""),"",(H50-('历史数据'!I65-'历史数据'!L65)/'历史数据'!I65)*100)</f>
        <v/>
      </c>
      <c r="K50" s="24">
        <f>IF('历史数据'!M65="","",'历史数据'!M65/100000000)</f>
        <v/>
      </c>
      <c r="L50" s="26">
        <f>IF(OR('历史数据'!G65=0,'历史数据'!M65=""),"",'历史数据'!M65/'历史数据'!G65)</f>
        <v/>
      </c>
      <c r="M50" s="26">
        <f>IF(OR('历史数据'!M65="",'历史数据'!N65=0),"",('历史数据'!M65-'历史数据'!N65)/ABS('历史数据'!N65))</f>
        <v/>
      </c>
      <c r="N50" s="26">
        <f>IF(OR('历史数据'!M65&lt;=0,'历史数据'!O65&lt;=0),"",POWER('历史数据'!M65/'历史数据'!O65,1/3)-1)</f>
        <v/>
      </c>
      <c r="O50" s="24">
        <f>IF('历史数据'!P65="","",'历史数据'!P65/100000000)</f>
        <v/>
      </c>
      <c r="P50" s="26">
        <f>IF(OR('历史数据'!P65="",'历史数据'!Q65=0),"",('历史数据'!P65-'历史数据'!Q65)/ABS('历史数据'!Q65))</f>
        <v/>
      </c>
      <c r="Q50" s="26">
        <f>IF(OR('历史数据'!P65&lt;=0,'历史数据'!R65&lt;=0),"",POWER('历史数据'!P65/'历史数据'!R65,1/3)-1)</f>
        <v/>
      </c>
      <c r="R50" s="24">
        <f>IF('历史数据'!S65="","",'历史数据'!S65/100000000)</f>
        <v/>
      </c>
      <c r="S50" s="25">
        <f>IF('历史数据'!T65="","",'历史数据'!T65)</f>
        <v/>
      </c>
      <c r="T50" s="28">
        <f>IF('历史数据'!U65="","",'历史数据'!U65)</f>
        <v/>
      </c>
      <c r="U50" s="28">
        <f>IF('历史数据'!V65="","",'历史数据'!V65/100000000)</f>
        <v/>
      </c>
      <c r="V50" s="24">
        <f>IF('历史数据'!W65="","",'历史数据'!W65/100000000)</f>
        <v/>
      </c>
      <c r="W50" s="28">
        <f>IF('历史数据'!X65="","",'历史数据'!X65)</f>
        <v/>
      </c>
      <c r="X50" s="26">
        <f>IF(OR(R50="",V50&lt;=0),"",R50/V50-1)</f>
        <v/>
      </c>
      <c r="Y50" s="29">
        <f>IF('历史数据'!Y65="","",'历史数据'!Y65)</f>
        <v/>
      </c>
      <c r="Z50" s="24">
        <f>IF('历史数据'!Z65="","",'历史数据'!Z65/100000000)</f>
        <v/>
      </c>
      <c r="AA50" s="24">
        <f>IF('历史数据'!AA65="","",'历史数据'!AA65/100000000)</f>
        <v/>
      </c>
      <c r="AB50" s="24">
        <f>IF('历史数据'!AB65="","",'历史数据'!AB65/100000000)</f>
        <v/>
      </c>
      <c r="AC50" s="13" t="inlineStr">
        <is>
          <t>市值增长率:missing；最新价:missing；发行价:optional_missing；发行股数:optional_missing；发行时总市值:optional_missing；当年累计大宗交易笔数:optional_missing</t>
        </is>
      </c>
      <c r="AD50" s="13" t="inlineStr">
        <is>
          <t>PARTIAL</t>
        </is>
      </c>
    </row>
  </sheetData>
  <autoFilter ref="A4:AD50"/>
  <mergeCells count="9">
    <mergeCell ref="AC3:AD3"/>
    <mergeCell ref="K3:N3"/>
    <mergeCell ref="A3:D3"/>
    <mergeCell ref="A2:AD2"/>
    <mergeCell ref="E3:G3"/>
    <mergeCell ref="H3:J3"/>
    <mergeCell ref="R3:AB3"/>
    <mergeCell ref="O3:Q3"/>
    <mergeCell ref="A1:AD1"/>
  </mergeCells>
  <pageMargins left="0.7" right="0.7" top="0.75" bottom="0.75" header="0.3" footer="0.3"/>
  <pageSetup orientation="landscape" paperSize="9" fitToHeight="0" fitToWidth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18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18" customWidth="1" style="3" min="11" max="11"/>
    <col width="18" customWidth="1" style="3" min="12" max="12"/>
    <col width="18" customWidth="1" style="3" min="13" max="13"/>
    <col width="18" customWidth="1" style="3" min="14" max="14"/>
    <col width="18" customWidth="1" style="3" min="15" max="15"/>
    <col width="18" customWidth="1" style="3" min="16" max="16"/>
    <col width="18" customWidth="1" style="3" min="17" max="17"/>
    <col width="18" customWidth="1" style="3" min="18" max="18"/>
    <col width="18" customWidth="1" style="3" min="19" max="19"/>
    <col width="18" customWidth="1" style="3" min="20" max="20"/>
    <col width="18" customWidth="1" style="3" min="21" max="21"/>
    <col width="18" customWidth="1" style="3" min="22" max="22"/>
    <col width="18" customWidth="1" style="3" min="23" max="23"/>
    <col width="18" customWidth="1" style="3" min="24" max="24"/>
    <col width="18" customWidth="1" style="3" min="25" max="25"/>
    <col width="18" customWidth="1" style="3" min="26" max="26"/>
    <col width="18" customWidth="1" style="3" min="27" max="27"/>
    <col width="18" customWidth="1" style="3" min="28" max="28"/>
    <col width="18" customWidth="1" style="3" min="29" max="29"/>
    <col width="18" customWidth="1" style="3" min="30" max="30"/>
    <col width="18" customWidth="1" style="3" min="31" max="31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本期报告日</t>
        </is>
      </c>
      <c r="E1" s="30" t="inlineStr">
        <is>
          <t>标准币种</t>
        </is>
      </c>
      <c r="F1" s="30" t="inlineStr">
        <is>
          <t>原币种</t>
        </is>
      </c>
      <c r="G1" s="30" t="inlineStr">
        <is>
          <t>本期营业收入</t>
        </is>
      </c>
      <c r="H1" s="30" t="inlineStr">
        <is>
          <t>上期营业收入</t>
        </is>
      </c>
      <c r="I1" s="30" t="inlineStr">
        <is>
          <t>三年前营业收入</t>
        </is>
      </c>
      <c r="J1" s="30" t="inlineStr">
        <is>
          <t>本期营业成本</t>
        </is>
      </c>
      <c r="K1" s="30" t="inlineStr">
        <is>
          <t>上期营业成本</t>
        </is>
      </c>
      <c r="L1" s="30" t="inlineStr">
        <is>
          <t>三年前营业成本</t>
        </is>
      </c>
      <c r="M1" s="30" t="inlineStr">
        <is>
          <t>本期归母净利润</t>
        </is>
      </c>
      <c r="N1" s="30" t="inlineStr">
        <is>
          <t>上期归母净利润</t>
        </is>
      </c>
      <c r="O1" s="30" t="inlineStr">
        <is>
          <t>三年前归母净利润</t>
        </is>
      </c>
      <c r="P1" s="30" t="inlineStr">
        <is>
          <t>本期经营现金流</t>
        </is>
      </c>
      <c r="Q1" s="30" t="inlineStr">
        <is>
          <t>上期经营现金流</t>
        </is>
      </c>
      <c r="R1" s="30" t="inlineStr">
        <is>
          <t>三年前经营现金流</t>
        </is>
      </c>
      <c r="S1" s="30" t="inlineStr">
        <is>
          <t>最新市值</t>
        </is>
      </c>
      <c r="T1" s="30" t="inlineStr">
        <is>
          <t>上市日期</t>
        </is>
      </c>
      <c r="U1" s="30" t="inlineStr">
        <is>
          <t>发行价</t>
        </is>
      </c>
      <c r="V1" s="30" t="inlineStr">
        <is>
          <t>发行股数</t>
        </is>
      </c>
      <c r="W1" s="30" t="inlineStr">
        <is>
          <t>发行时市值</t>
        </is>
      </c>
      <c r="X1" s="30" t="inlineStr">
        <is>
          <t>现价</t>
        </is>
      </c>
      <c r="Y1" s="30" t="inlineStr">
        <is>
          <t>大宗交易数量</t>
        </is>
      </c>
      <c r="Z1" s="30" t="inlineStr">
        <is>
          <t>大宗交易金额</t>
        </is>
      </c>
      <c r="AA1" s="30" t="inlineStr">
        <is>
          <t>近五日资金净额</t>
        </is>
      </c>
      <c r="AB1" s="30" t="inlineStr">
        <is>
          <t>近一月资金净额</t>
        </is>
      </c>
      <c r="AC1" s="30" t="inlineStr">
        <is>
          <t>是否合并口径</t>
        </is>
      </c>
      <c r="AD1" s="30" t="inlineStr">
        <is>
          <t>是否追溯调整</t>
        </is>
      </c>
      <c r="AE1" s="30" t="inlineStr">
        <is>
          <t>财务质量说明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s="31" t="n">
        <v>46022</v>
      </c>
      <c r="E2" t="inlineStr">
        <is>
          <t>CNY</t>
        </is>
      </c>
      <c r="F2" t="inlineStr">
        <is>
          <t>CNY</t>
        </is>
      </c>
      <c r="G2" t="n">
        <v>131442000000</v>
      </c>
      <c r="H2" t="n">
        <v>146695000000</v>
      </c>
      <c r="I2" t="n">
        <v>179895000000</v>
      </c>
      <c r="M2" t="n">
        <v>42633000000</v>
      </c>
      <c r="N2" t="n">
        <v>44508000000</v>
      </c>
      <c r="O2" t="n">
        <v>45516000000</v>
      </c>
      <c r="P2" t="n">
        <v>315858000000</v>
      </c>
      <c r="Q2" t="n">
        <v>63336000000</v>
      </c>
      <c r="R2" t="n">
        <v>134572000000</v>
      </c>
      <c r="S2" t="n">
        <v>226078947007</v>
      </c>
      <c r="T2" s="31" t="n">
        <v>33331</v>
      </c>
      <c r="U2" t="n">
        <v>40</v>
      </c>
      <c r="V2" t="n">
        <v>675000</v>
      </c>
      <c r="W2" t="n">
        <v>27000000</v>
      </c>
      <c r="X2" t="n">
        <v>11.65</v>
      </c>
      <c r="Y2" t="n">
        <v>0</v>
      </c>
      <c r="Z2" t="n">
        <v>0</v>
      </c>
    </row>
    <row r="3">
      <c r="A3" t="inlineStr">
        <is>
          <t>港股</t>
        </is>
      </c>
      <c r="B3" t="inlineStr">
        <is>
          <t>00001</t>
        </is>
      </c>
      <c r="C3" t="inlineStr">
        <is>
          <t>CKH HOLDINGS</t>
        </is>
      </c>
      <c r="D3" s="31" t="n">
        <v>46022</v>
      </c>
      <c r="E3" t="inlineStr">
        <is>
          <t>HKD</t>
        </is>
      </c>
      <c r="F3" t="inlineStr">
        <is>
          <t>HKD</t>
        </is>
      </c>
      <c r="G3" t="n">
        <v>252934115920</v>
      </c>
      <c r="H3" t="n">
        <v>260542280040</v>
      </c>
      <c r="I3" t="n">
        <v>234480695190</v>
      </c>
      <c r="J3" t="n">
        <v>111262252480</v>
      </c>
      <c r="K3" t="n">
        <v>112631467080</v>
      </c>
      <c r="L3" t="n">
        <v>103843530770</v>
      </c>
      <c r="M3" t="n">
        <v>10695028020</v>
      </c>
      <c r="N3" t="n">
        <v>15824171520</v>
      </c>
      <c r="O3" t="n">
        <v>32765143600</v>
      </c>
      <c r="P3" t="n">
        <v>56511765740</v>
      </c>
      <c r="Q3" t="n">
        <v>50217297120</v>
      </c>
      <c r="R3" t="n">
        <v>50660914780</v>
      </c>
      <c r="S3" t="n">
        <v>268677621675</v>
      </c>
      <c r="T3" s="31" t="n">
        <v>26604</v>
      </c>
      <c r="X3" t="n">
        <v>70.15000000000001</v>
      </c>
    </row>
    <row r="4">
      <c r="A4" t="inlineStr">
        <is>
          <t>A股</t>
        </is>
      </c>
      <c r="B4" t="inlineStr">
        <is>
          <t>000002</t>
        </is>
      </c>
      <c r="C4" t="inlineStr">
        <is>
          <t>万科Ａ</t>
        </is>
      </c>
      <c r="D4" s="31" t="n">
        <v>46022</v>
      </c>
      <c r="E4" t="inlineStr">
        <is>
          <t>CNY</t>
        </is>
      </c>
      <c r="F4" t="inlineStr">
        <is>
          <t>CNY</t>
        </is>
      </c>
      <c r="G4" t="n">
        <v>233432768960.43</v>
      </c>
      <c r="H4" t="n">
        <v>343176440712.96</v>
      </c>
      <c r="I4" t="n">
        <v>503838367358.76</v>
      </c>
      <c r="J4" t="n">
        <v>211347291770.8188</v>
      </c>
      <c r="K4" t="n">
        <v>308264871439.4431</v>
      </c>
      <c r="L4" t="n">
        <v>405319286979.5334</v>
      </c>
      <c r="M4" t="n">
        <v>-88556470495.64</v>
      </c>
      <c r="N4" t="n">
        <v>-49478429211.96</v>
      </c>
      <c r="O4" t="n">
        <v>22688551801.52</v>
      </c>
      <c r="P4" t="n">
        <v>-988124860.96</v>
      </c>
      <c r="Q4" t="n">
        <v>3799847632.35</v>
      </c>
      <c r="R4" t="n">
        <v>2750449478.44</v>
      </c>
      <c r="S4" t="n">
        <v>37701041928</v>
      </c>
      <c r="T4" s="31" t="n">
        <v>33267</v>
      </c>
      <c r="U4" t="n">
        <v>1</v>
      </c>
      <c r="V4" t="n">
        <v>28000000</v>
      </c>
      <c r="W4" t="n">
        <v>28000000</v>
      </c>
      <c r="X4" t="n">
        <v>3.16</v>
      </c>
      <c r="Y4" t="n">
        <v>0</v>
      </c>
      <c r="Z4" t="n">
        <v>0</v>
      </c>
    </row>
    <row r="5">
      <c r="A5" t="inlineStr">
        <is>
          <t>港股</t>
        </is>
      </c>
      <c r="B5" t="inlineStr">
        <is>
          <t>00002</t>
        </is>
      </c>
      <c r="C5" t="inlineStr">
        <is>
          <t>CLP HOLDINGS</t>
        </is>
      </c>
      <c r="D5" s="31" t="n">
        <v>46022</v>
      </c>
      <c r="E5" t="inlineStr">
        <is>
          <t>HKD</t>
        </is>
      </c>
      <c r="F5" t="inlineStr">
        <is>
          <t>HKD</t>
        </is>
      </c>
      <c r="G5" t="n">
        <v>79499617960</v>
      </c>
      <c r="H5" t="n">
        <v>84236302560</v>
      </c>
      <c r="I5" t="n">
        <v>89918344740</v>
      </c>
      <c r="J5" t="n">
        <v>52839273220</v>
      </c>
      <c r="K5" t="n">
        <v>57076475400</v>
      </c>
      <c r="L5" t="n">
        <v>73074845620</v>
      </c>
      <c r="M5" t="n">
        <v>9454906960</v>
      </c>
      <c r="N5" t="n">
        <v>10873561680</v>
      </c>
      <c r="O5" t="n">
        <v>825381480</v>
      </c>
      <c r="P5" t="n">
        <v>22018697160</v>
      </c>
      <c r="Q5" t="n">
        <v>21428565600</v>
      </c>
      <c r="R5" t="n">
        <v>11374900180</v>
      </c>
      <c r="S5" t="n">
        <v>198831659859</v>
      </c>
      <c r="T5" s="31" t="n">
        <v>29222</v>
      </c>
      <c r="X5" t="n">
        <v>78.7</v>
      </c>
    </row>
    <row r="6">
      <c r="A6" t="inlineStr">
        <is>
          <t>A股</t>
        </is>
      </c>
      <c r="B6" t="inlineStr">
        <is>
          <t>000006</t>
        </is>
      </c>
      <c r="C6" t="inlineStr">
        <is>
          <t>深振业Ａ</t>
        </is>
      </c>
      <c r="D6" s="31" t="n">
        <v>46022</v>
      </c>
      <c r="E6" t="inlineStr">
        <is>
          <t>CNY</t>
        </is>
      </c>
      <c r="F6" t="inlineStr">
        <is>
          <t>CNY</t>
        </is>
      </c>
      <c r="G6" t="n">
        <v>2618016381.31</v>
      </c>
      <c r="H6" t="n">
        <v>6064948157.84</v>
      </c>
      <c r="I6" t="n">
        <v>3699813551.41</v>
      </c>
      <c r="J6" t="n">
        <v>2118072022.708861</v>
      </c>
      <c r="K6" t="n">
        <v>5579182361.340805</v>
      </c>
      <c r="L6" t="n">
        <v>2270502785.980026</v>
      </c>
      <c r="M6" t="n">
        <v>-42257500.5</v>
      </c>
      <c r="N6" t="n">
        <v>-1568365378.32</v>
      </c>
      <c r="O6" t="n">
        <v>419619088.67</v>
      </c>
      <c r="P6" t="n">
        <v>189060245.8</v>
      </c>
      <c r="Q6" t="n">
        <v>1114966173.23</v>
      </c>
      <c r="R6" t="n">
        <v>2315465555.22</v>
      </c>
      <c r="S6" t="n">
        <v>10097962944</v>
      </c>
      <c r="T6" s="31" t="n">
        <v>33721</v>
      </c>
      <c r="U6" t="n">
        <v>10</v>
      </c>
      <c r="V6" t="n">
        <v>690000</v>
      </c>
      <c r="W6" t="n">
        <v>6900000</v>
      </c>
      <c r="X6" t="n">
        <v>7.48</v>
      </c>
      <c r="Y6" t="n">
        <v>0</v>
      </c>
      <c r="Z6" t="n">
        <v>0</v>
      </c>
    </row>
    <row r="7">
      <c r="A7" t="inlineStr">
        <is>
          <t>港股</t>
        </is>
      </c>
      <c r="B7" t="inlineStr">
        <is>
          <t>00003</t>
        </is>
      </c>
      <c r="C7" t="inlineStr">
        <is>
          <t>HK &amp; CHINA GAS</t>
        </is>
      </c>
      <c r="D7" s="31" t="n">
        <v>46022</v>
      </c>
      <c r="E7" t="inlineStr">
        <is>
          <t>HKD</t>
        </is>
      </c>
      <c r="F7" t="inlineStr">
        <is>
          <t>HKD</t>
        </is>
      </c>
      <c r="G7" t="n">
        <v>49068600686</v>
      </c>
      <c r="H7" t="n">
        <v>51370031712</v>
      </c>
      <c r="I7" t="n">
        <v>54447843618</v>
      </c>
      <c r="J7" t="n">
        <v>41723525324</v>
      </c>
      <c r="K7" t="n">
        <v>43796969196</v>
      </c>
      <c r="L7" t="n">
        <v>46978587859</v>
      </c>
      <c r="M7" t="n">
        <v>5137696004</v>
      </c>
      <c r="N7" t="n">
        <v>5289077460</v>
      </c>
      <c r="O7" t="n">
        <v>4687791633</v>
      </c>
      <c r="P7" t="n">
        <v>9513616260</v>
      </c>
      <c r="Q7" t="n">
        <v>8334637812</v>
      </c>
      <c r="R7" t="n">
        <v>8615321169</v>
      </c>
      <c r="S7" t="n">
        <v>137523242622</v>
      </c>
      <c r="T7" s="31" t="n">
        <v>22017</v>
      </c>
      <c r="X7" t="n">
        <v>7.37</v>
      </c>
    </row>
    <row r="8">
      <c r="A8" t="inlineStr">
        <is>
          <t>A股</t>
        </is>
      </c>
      <c r="B8" t="inlineStr">
        <is>
          <t>000007</t>
        </is>
      </c>
      <c r="C8" t="inlineStr">
        <is>
          <t>全新好</t>
        </is>
      </c>
      <c r="D8" s="31" t="n">
        <v>46022</v>
      </c>
      <c r="E8" t="inlineStr">
        <is>
          <t>CNY</t>
        </is>
      </c>
      <c r="F8" t="inlineStr">
        <is>
          <t>CNY</t>
        </is>
      </c>
      <c r="G8" t="n">
        <v>395737287.76</v>
      </c>
      <c r="H8" t="n">
        <v>307276011.84</v>
      </c>
      <c r="I8" t="n">
        <v>220838034.89</v>
      </c>
      <c r="J8" t="n">
        <v>346774845.7198787</v>
      </c>
      <c r="K8" t="n">
        <v>261729200.4900372</v>
      </c>
      <c r="L8" t="n">
        <v>176734440.3299914</v>
      </c>
      <c r="M8" t="n">
        <v>1927223.06</v>
      </c>
      <c r="N8" t="n">
        <v>56421651.57</v>
      </c>
      <c r="O8" t="n">
        <v>-5340611.62</v>
      </c>
      <c r="P8" t="n">
        <v>360419910.74</v>
      </c>
      <c r="Q8" t="n">
        <v>199918045.57</v>
      </c>
      <c r="R8" t="n">
        <v>156828635.68</v>
      </c>
      <c r="S8" t="n">
        <v>4365245354</v>
      </c>
      <c r="T8" s="31" t="n">
        <v>33707</v>
      </c>
      <c r="U8" t="n">
        <v>1</v>
      </c>
      <c r="V8" t="n">
        <v>3000000</v>
      </c>
      <c r="W8" t="n">
        <v>3000000</v>
      </c>
      <c r="X8" t="n">
        <v>12.6</v>
      </c>
      <c r="Y8" t="n">
        <v>0</v>
      </c>
      <c r="Z8" t="n">
        <v>0</v>
      </c>
    </row>
    <row r="9">
      <c r="A9" t="inlineStr">
        <is>
          <t>港股</t>
        </is>
      </c>
      <c r="B9" t="inlineStr">
        <is>
          <t>00004</t>
        </is>
      </c>
      <c r="C9" t="inlineStr">
        <is>
          <t>WHARF HOLDINGS</t>
        </is>
      </c>
      <c r="D9" s="31" t="n">
        <v>46022</v>
      </c>
      <c r="E9" t="inlineStr">
        <is>
          <t>HKD</t>
        </is>
      </c>
      <c r="F9" t="inlineStr">
        <is>
          <t>HKD</t>
        </is>
      </c>
      <c r="G9" t="n">
        <v>9932710340</v>
      </c>
      <c r="H9" t="n">
        <v>11218974600</v>
      </c>
      <c r="I9" t="n">
        <v>16136029280</v>
      </c>
      <c r="J9" t="n">
        <v>3436752100</v>
      </c>
      <c r="K9" t="n">
        <v>4021791720</v>
      </c>
      <c r="L9" t="n">
        <v>8236842670</v>
      </c>
      <c r="M9" t="n">
        <v>45161000</v>
      </c>
      <c r="N9" t="n">
        <v>-2985552960</v>
      </c>
      <c r="O9" t="n">
        <v>-1523025350</v>
      </c>
      <c r="P9" t="n">
        <v>3629137960</v>
      </c>
      <c r="Q9" t="n">
        <v>3546733200</v>
      </c>
      <c r="R9" t="n">
        <v>5523088410</v>
      </c>
      <c r="S9" t="n">
        <v>59775894516</v>
      </c>
      <c r="T9" s="31" t="n">
        <v>7672</v>
      </c>
      <c r="X9" t="n">
        <v>19.56</v>
      </c>
    </row>
    <row r="10">
      <c r="A10" t="inlineStr">
        <is>
          <t>A股</t>
        </is>
      </c>
      <c r="B10" t="inlineStr">
        <is>
          <t>000008</t>
        </is>
      </c>
      <c r="C10" t="inlineStr">
        <is>
          <t>神州高铁</t>
        </is>
      </c>
      <c r="D10" s="31" t="n">
        <v>46022</v>
      </c>
      <c r="E10" t="inlineStr">
        <is>
          <t>CNY</t>
        </is>
      </c>
      <c r="F10" t="inlineStr">
        <is>
          <t>CNY</t>
        </is>
      </c>
      <c r="G10" t="n">
        <v>2120399134.77</v>
      </c>
      <c r="H10" t="n">
        <v>2082012354.78</v>
      </c>
      <c r="I10" t="n">
        <v>1772952858.32</v>
      </c>
      <c r="J10" t="n">
        <v>1547787858.070406</v>
      </c>
      <c r="K10" t="n">
        <v>1588696826.770109</v>
      </c>
      <c r="L10" t="n">
        <v>1145700605.029335</v>
      </c>
      <c r="M10" t="n">
        <v>-835213824.83</v>
      </c>
      <c r="N10" t="n">
        <v>-545308746.3099999</v>
      </c>
      <c r="O10" t="n">
        <v>-846257790.47</v>
      </c>
      <c r="P10" t="n">
        <v>176842327.58</v>
      </c>
      <c r="Q10" t="n">
        <v>365014115.29</v>
      </c>
      <c r="R10" t="n">
        <v>573321770.79</v>
      </c>
      <c r="S10" t="n">
        <v>6845271761</v>
      </c>
      <c r="T10" s="31" t="n">
        <v>33731</v>
      </c>
      <c r="U10" t="n">
        <v>7.9</v>
      </c>
      <c r="V10" t="n">
        <v>13760000</v>
      </c>
      <c r="W10" t="n">
        <v>108704000</v>
      </c>
      <c r="X10" t="n">
        <v>2.52</v>
      </c>
      <c r="Y10" t="n">
        <v>0</v>
      </c>
      <c r="Z10" t="n">
        <v>0</v>
      </c>
    </row>
    <row r="11">
      <c r="A11" t="inlineStr">
        <is>
          <t>港股</t>
        </is>
      </c>
      <c r="B11" t="inlineStr">
        <is>
          <t>00005</t>
        </is>
      </c>
      <c r="C11" t="inlineStr">
        <is>
          <t>HSBC HOLDINGS</t>
        </is>
      </c>
      <c r="D11" s="31" t="n">
        <v>46022</v>
      </c>
      <c r="E11" t="inlineStr">
        <is>
          <t>HKD</t>
        </is>
      </c>
      <c r="F11" t="inlineStr">
        <is>
          <t>HKD</t>
        </is>
      </c>
      <c r="G11" t="n">
        <v>452823411200</v>
      </c>
      <c r="H11" t="n">
        <v>448843696000</v>
      </c>
      <c r="I11" t="n">
        <v>327586925600</v>
      </c>
      <c r="M11" t="n">
        <v>148321737600</v>
      </c>
      <c r="N11" t="n">
        <v>164736562800</v>
      </c>
      <c r="O11" t="n">
        <v>99914151600</v>
      </c>
      <c r="P11" t="n">
        <v>209219260800</v>
      </c>
      <c r="Q11" t="n">
        <v>469438462000</v>
      </c>
      <c r="R11" t="n">
        <v>134799833000</v>
      </c>
      <c r="S11" t="n">
        <v>2771195355376</v>
      </c>
      <c r="T11" s="31" t="n">
        <v>29222</v>
      </c>
      <c r="X11" t="n">
        <v>161.4</v>
      </c>
    </row>
    <row r="12">
      <c r="A12" t="inlineStr">
        <is>
          <t>A股</t>
        </is>
      </c>
      <c r="B12" t="inlineStr">
        <is>
          <t>000009</t>
        </is>
      </c>
      <c r="C12" t="inlineStr">
        <is>
          <t>中国宝安</t>
        </is>
      </c>
      <c r="D12" s="31" t="n">
        <v>46022</v>
      </c>
      <c r="E12" t="inlineStr">
        <is>
          <t>CNY</t>
        </is>
      </c>
      <c r="F12" t="inlineStr">
        <is>
          <t>CNY</t>
        </is>
      </c>
      <c r="G12" t="n">
        <v>23036277153.4</v>
      </c>
      <c r="H12" t="n">
        <v>20230360494.05</v>
      </c>
      <c r="I12" t="n">
        <v>32032835711.62</v>
      </c>
      <c r="J12" t="n">
        <v>17088664125.80773</v>
      </c>
      <c r="K12" t="n">
        <v>14711878939.40083</v>
      </c>
      <c r="L12" t="n">
        <v>25645195379.09827</v>
      </c>
      <c r="M12" t="n">
        <v>203041725.86</v>
      </c>
      <c r="N12" t="n">
        <v>172625210.4</v>
      </c>
      <c r="O12" t="n">
        <v>1157117454.23</v>
      </c>
      <c r="P12" t="n">
        <v>1161546515.34</v>
      </c>
      <c r="Q12" t="n">
        <v>1662423468.08</v>
      </c>
      <c r="R12" t="n">
        <v>290476146.61</v>
      </c>
      <c r="S12" t="n">
        <v>18725093386</v>
      </c>
      <c r="T12" s="31" t="n">
        <v>33414</v>
      </c>
      <c r="U12" t="n">
        <v>3</v>
      </c>
      <c r="V12" t="n">
        <v>60000000</v>
      </c>
      <c r="W12" t="n">
        <v>180000000</v>
      </c>
      <c r="X12" t="n">
        <v>7.26</v>
      </c>
      <c r="Y12" t="n">
        <v>0</v>
      </c>
      <c r="Z12" t="n">
        <v>0</v>
      </c>
    </row>
    <row r="13">
      <c r="A13" t="inlineStr">
        <is>
          <t>港股</t>
        </is>
      </c>
      <c r="B13" t="inlineStr">
        <is>
          <t>00006</t>
        </is>
      </c>
      <c r="C13" t="inlineStr">
        <is>
          <t>POWER ASSETS</t>
        </is>
      </c>
      <c r="D13" s="31" t="n">
        <v>46022</v>
      </c>
      <c r="E13" t="inlineStr">
        <is>
          <t>HKD</t>
        </is>
      </c>
      <c r="F13" t="inlineStr">
        <is>
          <t>HKD</t>
        </is>
      </c>
      <c r="G13" t="n">
        <v>696382620</v>
      </c>
      <c r="H13" t="n">
        <v>851030760</v>
      </c>
      <c r="I13" t="n">
        <v>1129986550</v>
      </c>
      <c r="J13" t="n">
        <v>0</v>
      </c>
      <c r="K13" t="n">
        <v>0</v>
      </c>
      <c r="L13" t="n">
        <v>0</v>
      </c>
      <c r="M13" t="n">
        <v>5632479920</v>
      </c>
      <c r="N13" t="n">
        <v>5666438760</v>
      </c>
      <c r="O13" t="n">
        <v>5046082230</v>
      </c>
      <c r="P13" t="n">
        <v>798446480</v>
      </c>
      <c r="Q13" t="n">
        <v>871403640</v>
      </c>
      <c r="R13" t="n">
        <v>689604440</v>
      </c>
      <c r="S13" t="n">
        <v>127866309240</v>
      </c>
      <c r="T13" s="31" t="n">
        <v>27988</v>
      </c>
      <c r="X13" t="n">
        <v>60</v>
      </c>
    </row>
    <row r="14">
      <c r="A14" t="inlineStr">
        <is>
          <t>A股</t>
        </is>
      </c>
      <c r="B14" t="inlineStr">
        <is>
          <t>000010</t>
        </is>
      </c>
      <c r="C14" t="inlineStr">
        <is>
          <t>*ST美丽</t>
        </is>
      </c>
      <c r="D14" s="31" t="n">
        <v>46022</v>
      </c>
      <c r="E14" t="inlineStr">
        <is>
          <t>CNY</t>
        </is>
      </c>
      <c r="F14" t="inlineStr">
        <is>
          <t>CNY</t>
        </is>
      </c>
      <c r="G14" t="n">
        <v>634211930.55</v>
      </c>
      <c r="H14" t="n">
        <v>842178635.66</v>
      </c>
      <c r="I14" t="n">
        <v>613053300.78</v>
      </c>
      <c r="J14" t="n">
        <v>584998287.9699998</v>
      </c>
      <c r="K14" t="n">
        <v>743738638.1496155</v>
      </c>
      <c r="L14" t="n">
        <v>542738042.9799573</v>
      </c>
      <c r="M14" t="n">
        <v>-34564363.86</v>
      </c>
      <c r="N14" t="n">
        <v>17621359.94</v>
      </c>
      <c r="O14" t="n">
        <v>-535790918.99</v>
      </c>
      <c r="P14" t="n">
        <v>-8038799.29</v>
      </c>
      <c r="Q14" t="n">
        <v>68941971.36</v>
      </c>
      <c r="R14" t="n">
        <v>-609168425.91</v>
      </c>
      <c r="S14" t="n">
        <v>1839443667</v>
      </c>
      <c r="T14" s="31" t="n">
        <v>34999</v>
      </c>
      <c r="U14" t="n">
        <v>1</v>
      </c>
      <c r="V14" t="n">
        <v>11000000</v>
      </c>
      <c r="W14" t="n">
        <v>11000000</v>
      </c>
      <c r="X14" t="n">
        <v>1.6</v>
      </c>
      <c r="Y14" t="n">
        <v>0</v>
      </c>
      <c r="Z14" t="n">
        <v>0</v>
      </c>
    </row>
    <row r="15">
      <c r="A15" t="inlineStr">
        <is>
          <t>港股</t>
        </is>
      </c>
      <c r="B15" t="inlineStr">
        <is>
          <t>00007</t>
        </is>
      </c>
      <c r="C15" t="inlineStr">
        <is>
          <t>WISDOM WEALTH</t>
        </is>
      </c>
      <c r="H15" t="n">
        <v>296906018.76</v>
      </c>
      <c r="I15" t="n">
        <v>456940655.99</v>
      </c>
      <c r="K15" t="n">
        <v>277945349.76</v>
      </c>
      <c r="L15" t="n">
        <v>429184077.28</v>
      </c>
      <c r="N15" t="n">
        <v>-107736419.64</v>
      </c>
      <c r="O15" t="n">
        <v>223520272.29</v>
      </c>
      <c r="Q15" t="n">
        <v>50145992.04</v>
      </c>
      <c r="R15" t="n">
        <v>-19746626.62</v>
      </c>
      <c r="S15" t="n">
        <v>107364502</v>
      </c>
    </row>
    <row r="16">
      <c r="A16" t="inlineStr">
        <is>
          <t>A股</t>
        </is>
      </c>
      <c r="B16" t="inlineStr">
        <is>
          <t>000011</t>
        </is>
      </c>
      <c r="C16" t="inlineStr">
        <is>
          <t>深物业A</t>
        </is>
      </c>
      <c r="D16" s="31" t="n">
        <v>46022</v>
      </c>
      <c r="E16" t="inlineStr">
        <is>
          <t>CNY</t>
        </is>
      </c>
      <c r="F16" t="inlineStr">
        <is>
          <t>CNY</t>
        </is>
      </c>
      <c r="G16" t="n">
        <v>2383288250.02</v>
      </c>
      <c r="H16" t="n">
        <v>2734158884.05</v>
      </c>
      <c r="I16" t="n">
        <v>3708669046.85</v>
      </c>
      <c r="J16" t="n">
        <v>1737158721.74119</v>
      </c>
      <c r="K16" t="n">
        <v>2250014088.330773</v>
      </c>
      <c r="L16" t="n">
        <v>1978777621.221426</v>
      </c>
      <c r="M16" t="n">
        <v>33885110.58</v>
      </c>
      <c r="N16" t="n">
        <v>-1114764922.17</v>
      </c>
      <c r="O16" t="n">
        <v>537291574.13</v>
      </c>
      <c r="P16" t="n">
        <v>-2086069661.63</v>
      </c>
      <c r="Q16" t="n">
        <v>-1423998174.52</v>
      </c>
      <c r="R16" t="n">
        <v>105233103.86</v>
      </c>
      <c r="S16" t="n">
        <v>5453208692</v>
      </c>
      <c r="T16" s="31" t="n">
        <v>33693</v>
      </c>
      <c r="U16" t="n">
        <v>3.6</v>
      </c>
      <c r="V16" t="n">
        <v>41500000</v>
      </c>
      <c r="W16" t="n">
        <v>149400000</v>
      </c>
      <c r="X16" t="n">
        <v>9.15</v>
      </c>
      <c r="Y16" t="n">
        <v>0</v>
      </c>
      <c r="Z16" t="n">
        <v>0</v>
      </c>
    </row>
    <row r="17">
      <c r="A17" t="inlineStr">
        <is>
          <t>港股</t>
        </is>
      </c>
      <c r="B17" t="inlineStr">
        <is>
          <t>00008</t>
        </is>
      </c>
      <c r="C17" t="inlineStr">
        <is>
          <t>PCCW</t>
        </is>
      </c>
      <c r="D17" s="31" t="n">
        <v>46022</v>
      </c>
      <c r="E17" t="inlineStr">
        <is>
          <t>HKD</t>
        </is>
      </c>
      <c r="F17" t="inlineStr">
        <is>
          <t>HKD</t>
        </is>
      </c>
      <c r="G17" t="n">
        <v>36356411440</v>
      </c>
      <c r="H17" t="n">
        <v>34779284280</v>
      </c>
      <c r="I17" t="n">
        <v>32215782550</v>
      </c>
      <c r="J17" t="n">
        <v>19447229820</v>
      </c>
      <c r="K17" t="n">
        <v>17712367080</v>
      </c>
      <c r="L17" t="n">
        <v>16002038780</v>
      </c>
      <c r="M17" t="n">
        <v>-228514660</v>
      </c>
      <c r="N17" t="n">
        <v>-277812000</v>
      </c>
      <c r="O17" t="n">
        <v>141136660</v>
      </c>
      <c r="P17" t="n">
        <v>11027412980</v>
      </c>
      <c r="Q17" t="n">
        <v>9839175000</v>
      </c>
      <c r="R17" t="n">
        <v>9235518530</v>
      </c>
      <c r="S17" t="n">
        <v>41528007096</v>
      </c>
      <c r="T17" s="31" t="n">
        <v>34625</v>
      </c>
      <c r="U17" t="n">
        <v>1.2</v>
      </c>
      <c r="V17" t="n">
        <v>63700000</v>
      </c>
      <c r="W17" t="n">
        <v>76440000</v>
      </c>
      <c r="X17" t="n">
        <v>5.36</v>
      </c>
    </row>
    <row r="18">
      <c r="A18" t="inlineStr">
        <is>
          <t>A股</t>
        </is>
      </c>
      <c r="B18" t="inlineStr">
        <is>
          <t>000012</t>
        </is>
      </c>
      <c r="C18" t="inlineStr">
        <is>
          <t>南玻Ａ</t>
        </is>
      </c>
      <c r="D18" s="31" t="n">
        <v>46022</v>
      </c>
      <c r="E18" t="inlineStr">
        <is>
          <t>CNY</t>
        </is>
      </c>
      <c r="F18" t="inlineStr">
        <is>
          <t>CNY</t>
        </is>
      </c>
      <c r="G18" t="n">
        <v>13718969008</v>
      </c>
      <c r="H18" t="n">
        <v>15455386401</v>
      </c>
      <c r="I18" t="n">
        <v>15198706998</v>
      </c>
      <c r="J18" t="n">
        <v>11714880099.99919</v>
      </c>
      <c r="K18" t="n">
        <v>12848639958.99621</v>
      </c>
      <c r="L18" t="n">
        <v>11006795373.00429</v>
      </c>
      <c r="M18" t="n">
        <v>125668291</v>
      </c>
      <c r="N18" t="n">
        <v>266772318</v>
      </c>
      <c r="O18" t="n">
        <v>2037202500</v>
      </c>
      <c r="P18" t="n">
        <v>1146547297</v>
      </c>
      <c r="Q18" t="n">
        <v>1756923649</v>
      </c>
      <c r="R18" t="n">
        <v>1957123231</v>
      </c>
      <c r="S18" t="n">
        <v>11530956794</v>
      </c>
      <c r="T18" s="31" t="n">
        <v>33662</v>
      </c>
      <c r="U18" t="n">
        <v>3.38</v>
      </c>
      <c r="V18" t="n">
        <v>20300000</v>
      </c>
      <c r="W18" t="n">
        <v>68614000</v>
      </c>
      <c r="X18" t="n">
        <v>3.79</v>
      </c>
      <c r="Y18" t="n">
        <v>0</v>
      </c>
      <c r="Z18" t="n">
        <v>0</v>
      </c>
    </row>
    <row r="19">
      <c r="A19" t="inlineStr">
        <is>
          <t>港股</t>
        </is>
      </c>
      <c r="B19" t="inlineStr">
        <is>
          <t>00010</t>
        </is>
      </c>
      <c r="C19" t="inlineStr">
        <is>
          <t>HANG LUNG GROUP</t>
        </is>
      </c>
      <c r="D19" s="31" t="n">
        <v>46022</v>
      </c>
      <c r="E19" t="inlineStr">
        <is>
          <t>HKD</t>
        </is>
      </c>
      <c r="F19" t="inlineStr">
        <is>
          <t>HKD</t>
        </is>
      </c>
      <c r="G19" t="n">
        <v>9406133080</v>
      </c>
      <c r="H19" t="n">
        <v>10890230400</v>
      </c>
      <c r="I19" t="n">
        <v>9773267070</v>
      </c>
      <c r="J19" t="n">
        <v>3231721160</v>
      </c>
      <c r="K19" t="n">
        <v>4569081360</v>
      </c>
      <c r="L19" t="n">
        <v>2910273660</v>
      </c>
      <c r="M19" t="n">
        <v>1237411400</v>
      </c>
      <c r="N19" t="n">
        <v>1493702520</v>
      </c>
      <c r="O19" t="n">
        <v>2427907860</v>
      </c>
      <c r="P19" t="n">
        <v>5475319640</v>
      </c>
      <c r="Q19" t="n">
        <v>4829298600</v>
      </c>
      <c r="R19" t="n">
        <v>3968798610</v>
      </c>
      <c r="S19" t="n">
        <v>17210854579</v>
      </c>
      <c r="T19" s="31" t="n">
        <v>26584</v>
      </c>
      <c r="X19" t="n">
        <v>12.64</v>
      </c>
    </row>
    <row r="20">
      <c r="A20" t="inlineStr">
        <is>
          <t>A股</t>
        </is>
      </c>
      <c r="B20" t="inlineStr">
        <is>
          <t>000014</t>
        </is>
      </c>
      <c r="C20" t="inlineStr">
        <is>
          <t>沙河股份</t>
        </is>
      </c>
      <c r="D20" s="31" t="n">
        <v>46022</v>
      </c>
      <c r="E20" t="inlineStr">
        <is>
          <t>CNY</t>
        </is>
      </c>
      <c r="F20" t="inlineStr">
        <is>
          <t>CNY</t>
        </is>
      </c>
      <c r="G20" t="n">
        <v>310141261.81</v>
      </c>
      <c r="H20" t="n">
        <v>357907444.53</v>
      </c>
      <c r="I20" t="n">
        <v>763601802.3200001</v>
      </c>
      <c r="J20" t="n">
        <v>313778353.2799629</v>
      </c>
      <c r="K20" t="n">
        <v>172827512.9000067</v>
      </c>
      <c r="L20" t="n">
        <v>452639637.5602189</v>
      </c>
      <c r="M20" t="n">
        <v>-150357687.09</v>
      </c>
      <c r="N20" t="n">
        <v>16446210.84</v>
      </c>
      <c r="O20" t="n">
        <v>248678665.41</v>
      </c>
      <c r="P20" t="n">
        <v>75769644.97</v>
      </c>
      <c r="Q20" t="n">
        <v>-141734897.42</v>
      </c>
      <c r="R20" t="n">
        <v>352480091.64</v>
      </c>
      <c r="S20" t="n">
        <v>2771429265</v>
      </c>
      <c r="T20" s="31" t="n">
        <v>33757</v>
      </c>
      <c r="U20" t="n">
        <v>2.38</v>
      </c>
      <c r="V20" t="n">
        <v>11000000</v>
      </c>
      <c r="W20" t="n">
        <v>26180000</v>
      </c>
      <c r="X20" t="n">
        <v>11.45</v>
      </c>
      <c r="Y20" t="n">
        <v>0</v>
      </c>
      <c r="Z20" t="n">
        <v>0</v>
      </c>
    </row>
    <row r="21">
      <c r="A21" t="inlineStr">
        <is>
          <t>港股</t>
        </is>
      </c>
      <c r="B21" t="inlineStr">
        <is>
          <t>00012</t>
        </is>
      </c>
      <c r="C21" t="inlineStr">
        <is>
          <t>HENDERSON LAND</t>
        </is>
      </c>
      <c r="D21" s="31" t="n">
        <v>46022</v>
      </c>
      <c r="E21" t="inlineStr">
        <is>
          <t>HKD</t>
        </is>
      </c>
      <c r="F21" t="inlineStr">
        <is>
          <t>HKD</t>
        </is>
      </c>
      <c r="G21" t="n">
        <v>23249786020</v>
      </c>
      <c r="H21" t="n">
        <v>23388066240</v>
      </c>
      <c r="I21" t="n">
        <v>22823941770</v>
      </c>
      <c r="J21" t="n">
        <v>15830736940</v>
      </c>
      <c r="K21" t="n">
        <v>14967584520</v>
      </c>
      <c r="L21" t="n">
        <v>13558945330</v>
      </c>
      <c r="M21" t="n">
        <v>5105902660</v>
      </c>
      <c r="N21" t="n">
        <v>5830347840</v>
      </c>
      <c r="O21" t="n">
        <v>8252921530</v>
      </c>
      <c r="P21" t="n">
        <v>11132186500</v>
      </c>
      <c r="Q21" t="n">
        <v>14165633880</v>
      </c>
      <c r="R21" t="n">
        <v>9942988370</v>
      </c>
      <c r="S21" t="n">
        <v>140303395347</v>
      </c>
      <c r="T21" s="31" t="n">
        <v>29790</v>
      </c>
      <c r="X21" t="n">
        <v>28.98</v>
      </c>
    </row>
    <row r="22">
      <c r="A22" t="inlineStr">
        <is>
          <t>A股</t>
        </is>
      </c>
      <c r="B22" t="inlineStr">
        <is>
          <t>000016</t>
        </is>
      </c>
      <c r="C22" t="inlineStr">
        <is>
          <t>*ST康佳A</t>
        </is>
      </c>
      <c r="D22" s="31" t="n">
        <v>46022</v>
      </c>
      <c r="E22" t="inlineStr">
        <is>
          <t>CNY</t>
        </is>
      </c>
      <c r="F22" t="inlineStr">
        <is>
          <t>CNY</t>
        </is>
      </c>
      <c r="G22" t="n">
        <v>9835474916.530001</v>
      </c>
      <c r="H22" t="n">
        <v>11114763969.59</v>
      </c>
      <c r="I22" t="n">
        <v>29607854255.27</v>
      </c>
      <c r="J22" t="n">
        <v>9430717918.201044</v>
      </c>
      <c r="K22" t="n">
        <v>10861823991.1863</v>
      </c>
      <c r="L22" t="n">
        <v>28788638393.87317</v>
      </c>
      <c r="M22" t="n">
        <v>-12582399856.8</v>
      </c>
      <c r="N22" t="n">
        <v>-3725557221.78</v>
      </c>
      <c r="O22" t="n">
        <v>-1723210310.01</v>
      </c>
      <c r="P22" t="n">
        <v>-1611000121.19</v>
      </c>
      <c r="Q22" t="n">
        <v>173888842.99</v>
      </c>
      <c r="R22" t="n">
        <v>-528303041.83</v>
      </c>
      <c r="S22" t="n">
        <v>5899466250</v>
      </c>
      <c r="T22" s="31" t="n">
        <v>33690</v>
      </c>
      <c r="U22" t="n">
        <v>3.9</v>
      </c>
      <c r="V22" t="n">
        <v>30150000</v>
      </c>
      <c r="W22" t="n">
        <v>117585000</v>
      </c>
      <c r="X22" t="n">
        <v>2.45</v>
      </c>
      <c r="Y22" t="n">
        <v>0</v>
      </c>
      <c r="Z22" t="n">
        <v>0</v>
      </c>
    </row>
    <row r="23">
      <c r="A23" t="inlineStr">
        <is>
          <t>港股</t>
        </is>
      </c>
      <c r="B23" t="inlineStr">
        <is>
          <t>00013</t>
        </is>
      </c>
      <c r="C23" t="inlineStr">
        <is>
          <t>HUTCHMED</t>
        </is>
      </c>
      <c r="D23" s="31" t="n">
        <v>46022</v>
      </c>
      <c r="E23" t="inlineStr">
        <is>
          <t>HKD</t>
        </is>
      </c>
      <c r="F23" t="inlineStr">
        <is>
          <t>HKD</t>
        </is>
      </c>
      <c r="G23" t="n">
        <v>3855381145.6</v>
      </c>
      <c r="H23" t="n">
        <v>4530136868.4</v>
      </c>
      <c r="I23" t="n">
        <v>2969768121.4</v>
      </c>
      <c r="J23" t="n">
        <v>2364129851.2</v>
      </c>
      <c r="K23" t="n">
        <v>2507917745.599999</v>
      </c>
      <c r="L23" t="n">
        <v>2166707953.8</v>
      </c>
      <c r="M23" t="n">
        <v>3211521979.2</v>
      </c>
      <c r="N23" t="n">
        <v>271211143.6</v>
      </c>
      <c r="O23" t="n">
        <v>-2513071441</v>
      </c>
      <c r="P23" t="n">
        <v>-454461121.6</v>
      </c>
      <c r="Q23" t="n">
        <v>3572634.8</v>
      </c>
      <c r="R23" t="n">
        <v>-1870684595.4</v>
      </c>
      <c r="S23" t="n">
        <v>17298405430</v>
      </c>
      <c r="T23" s="31" t="n">
        <v>44377</v>
      </c>
      <c r="U23" t="n">
        <v>40.1</v>
      </c>
      <c r="V23" t="n">
        <v>119600000</v>
      </c>
      <c r="W23" t="n">
        <v>4795960000</v>
      </c>
      <c r="X23" t="n">
        <v>19.83</v>
      </c>
    </row>
    <row r="24">
      <c r="A24" t="inlineStr">
        <is>
          <t>A股</t>
        </is>
      </c>
      <c r="B24" t="inlineStr">
        <is>
          <t>000017</t>
        </is>
      </c>
      <c r="C24" t="inlineStr">
        <is>
          <t>深中华A</t>
        </is>
      </c>
      <c r="D24" s="31" t="n">
        <v>46022</v>
      </c>
      <c r="E24" t="inlineStr">
        <is>
          <t>CNY</t>
        </is>
      </c>
      <c r="F24" t="inlineStr">
        <is>
          <t>CNY</t>
        </is>
      </c>
      <c r="G24" t="n">
        <v>735877268.75</v>
      </c>
      <c r="H24" t="n">
        <v>579869315.88</v>
      </c>
      <c r="I24" t="n">
        <v>444762238.25</v>
      </c>
      <c r="J24" t="n">
        <v>657982700.6796638</v>
      </c>
      <c r="K24" t="n">
        <v>545432979.8398008</v>
      </c>
      <c r="L24" t="n">
        <v>416884753.1702014</v>
      </c>
      <c r="M24" t="n">
        <v>41129172.17</v>
      </c>
      <c r="N24" t="n">
        <v>16845245.59</v>
      </c>
      <c r="O24" t="n">
        <v>-7616378.75</v>
      </c>
      <c r="P24" t="n">
        <v>-19515276.55</v>
      </c>
      <c r="Q24" t="n">
        <v>-17152733.19</v>
      </c>
      <c r="R24" t="n">
        <v>-261419066.03</v>
      </c>
      <c r="S24" t="n">
        <v>7891167483</v>
      </c>
      <c r="T24" s="31" t="n">
        <v>33694</v>
      </c>
      <c r="U24" t="n">
        <v>3.75</v>
      </c>
      <c r="V24" t="n">
        <v>32800000</v>
      </c>
      <c r="W24" t="n">
        <v>123000000</v>
      </c>
      <c r="X24" t="n">
        <v>11.45</v>
      </c>
      <c r="Y24" t="n">
        <v>0</v>
      </c>
      <c r="Z24" t="n">
        <v>0</v>
      </c>
    </row>
    <row r="25">
      <c r="A25" t="inlineStr">
        <is>
          <t>港股</t>
        </is>
      </c>
      <c r="B25" t="inlineStr">
        <is>
          <t>00014</t>
        </is>
      </c>
      <c r="C25" t="inlineStr">
        <is>
          <t>HYSAN DEV</t>
        </is>
      </c>
      <c r="D25" s="31" t="n">
        <v>46022</v>
      </c>
      <c r="E25" t="inlineStr">
        <is>
          <t>HKD</t>
        </is>
      </c>
      <c r="F25" t="inlineStr">
        <is>
          <t>HKD</t>
        </is>
      </c>
      <c r="G25" t="n">
        <v>3128754080</v>
      </c>
      <c r="H25" t="n">
        <v>3156870360</v>
      </c>
      <c r="I25" t="n">
        <v>3090714200</v>
      </c>
      <c r="J25" t="n">
        <v>619608920</v>
      </c>
      <c r="K25" t="n">
        <v>598221840</v>
      </c>
      <c r="L25" t="n">
        <v>506484090</v>
      </c>
      <c r="M25" t="n">
        <v>284514300</v>
      </c>
      <c r="N25" t="n">
        <v>32411400</v>
      </c>
      <c r="O25" t="n">
        <v>-1033513390</v>
      </c>
      <c r="P25" t="n">
        <v>2066567360</v>
      </c>
      <c r="Q25" t="n">
        <v>2181750240</v>
      </c>
      <c r="R25" t="n">
        <v>2139381650</v>
      </c>
      <c r="S25" t="n">
        <v>16801854528</v>
      </c>
      <c r="T25" s="31" t="n">
        <v>29847</v>
      </c>
      <c r="X25" t="n">
        <v>16.36</v>
      </c>
    </row>
    <row r="26">
      <c r="A26" t="inlineStr">
        <is>
          <t>A股</t>
        </is>
      </c>
      <c r="B26" t="inlineStr">
        <is>
          <t>000019</t>
        </is>
      </c>
      <c r="C26" t="inlineStr">
        <is>
          <t>深粮控股</t>
        </is>
      </c>
      <c r="D26" s="31" t="n">
        <v>46022</v>
      </c>
      <c r="E26" t="inlineStr">
        <is>
          <t>CNY</t>
        </is>
      </c>
      <c r="F26" t="inlineStr">
        <is>
          <t>CNY</t>
        </is>
      </c>
      <c r="G26" t="n">
        <v>5505279622.35</v>
      </c>
      <c r="H26" t="n">
        <v>5375089846.91</v>
      </c>
      <c r="I26" t="n">
        <v>8312723058.19</v>
      </c>
      <c r="J26" t="n">
        <v>4623410073.540928</v>
      </c>
      <c r="K26" t="n">
        <v>4479001434.831555</v>
      </c>
      <c r="L26" t="n">
        <v>7172858434.848978</v>
      </c>
      <c r="M26" t="n">
        <v>243215785.97</v>
      </c>
      <c r="N26" t="n">
        <v>325309578.52</v>
      </c>
      <c r="O26" t="n">
        <v>420764671.03</v>
      </c>
      <c r="P26" t="n">
        <v>1100440103.9</v>
      </c>
      <c r="Q26" t="n">
        <v>-15317619.38</v>
      </c>
      <c r="R26" t="n">
        <v>531888766.64</v>
      </c>
      <c r="S26" t="n">
        <v>8436558059</v>
      </c>
      <c r="T26" s="31" t="n">
        <v>33889</v>
      </c>
      <c r="U26" t="n">
        <v>2.1</v>
      </c>
      <c r="V26" t="n">
        <v>19400000</v>
      </c>
      <c r="W26" t="n">
        <v>40740000</v>
      </c>
      <c r="X26" t="n">
        <v>7.32</v>
      </c>
      <c r="Y26" t="n">
        <v>0</v>
      </c>
      <c r="Z26" t="n">
        <v>0</v>
      </c>
    </row>
    <row r="27">
      <c r="A27" t="inlineStr">
        <is>
          <t>港股</t>
        </is>
      </c>
      <c r="B27" t="inlineStr">
        <is>
          <t>00016</t>
        </is>
      </c>
      <c r="C27" t="inlineStr">
        <is>
          <t>SHK PPT</t>
        </is>
      </c>
      <c r="D27" s="31" t="n">
        <v>45838</v>
      </c>
      <c r="E27" t="inlineStr">
        <is>
          <t>HKD</t>
        </is>
      </c>
      <c r="F27" t="inlineStr">
        <is>
          <t>HKD</t>
        </is>
      </c>
      <c r="G27" t="n">
        <v>72701565950</v>
      </c>
      <c r="H27" t="n">
        <v>65262096080</v>
      </c>
      <c r="I27" t="n">
        <v>66488456930</v>
      </c>
      <c r="J27" t="n">
        <v>41521995450</v>
      </c>
      <c r="K27" t="n">
        <v>35861022560</v>
      </c>
      <c r="L27" t="n">
        <v>32416832140</v>
      </c>
      <c r="M27" t="n">
        <v>17579660150</v>
      </c>
      <c r="N27" t="n">
        <v>17382903280</v>
      </c>
      <c r="O27" t="n">
        <v>21858656400</v>
      </c>
      <c r="P27" t="n">
        <v>34727056000</v>
      </c>
      <c r="Q27" t="n">
        <v>22375262880</v>
      </c>
      <c r="R27" t="n">
        <v>13163084480</v>
      </c>
      <c r="S27" t="n">
        <v>353239415401</v>
      </c>
      <c r="T27" s="31" t="n">
        <v>26550</v>
      </c>
      <c r="X27" t="n">
        <v>121.9</v>
      </c>
    </row>
    <row r="28">
      <c r="A28" t="inlineStr">
        <is>
          <t>A股</t>
        </is>
      </c>
      <c r="B28" t="inlineStr">
        <is>
          <t>000020</t>
        </is>
      </c>
      <c r="C28" t="inlineStr">
        <is>
          <t>深华发Ａ</t>
        </is>
      </c>
      <c r="D28" s="31" t="n">
        <v>46022</v>
      </c>
      <c r="E28" t="inlineStr">
        <is>
          <t>CNY</t>
        </is>
      </c>
      <c r="F28" t="inlineStr">
        <is>
          <t>CNY</t>
        </is>
      </c>
      <c r="G28" t="n">
        <v>857889252.84</v>
      </c>
      <c r="H28" t="n">
        <v>816682662.0700001</v>
      </c>
      <c r="I28" t="n">
        <v>664435128.12</v>
      </c>
      <c r="J28" t="n">
        <v>762947772.8503619</v>
      </c>
      <c r="K28" t="n">
        <v>725116468.0502391</v>
      </c>
      <c r="L28" t="n">
        <v>594811719.9001356</v>
      </c>
      <c r="M28" t="n">
        <v>35440863.1</v>
      </c>
      <c r="N28" t="n">
        <v>36738290.33</v>
      </c>
      <c r="O28" t="n">
        <v>10127766.77</v>
      </c>
      <c r="P28" t="n">
        <v>7877188.66</v>
      </c>
      <c r="Q28" t="n">
        <v>109141743.81</v>
      </c>
      <c r="R28" t="n">
        <v>82391240.64</v>
      </c>
      <c r="S28" t="n">
        <v>3703748849</v>
      </c>
      <c r="T28" s="31" t="n">
        <v>33722</v>
      </c>
      <c r="U28" t="n">
        <v>1.9</v>
      </c>
      <c r="V28" t="n">
        <v>29630000</v>
      </c>
      <c r="W28" t="n">
        <v>56297000</v>
      </c>
      <c r="X28" t="n">
        <v>13.08</v>
      </c>
      <c r="Y28" t="n">
        <v>0</v>
      </c>
      <c r="Z28" t="n">
        <v>0</v>
      </c>
    </row>
    <row r="29">
      <c r="A29" t="inlineStr">
        <is>
          <t>港股</t>
        </is>
      </c>
      <c r="B29" t="inlineStr">
        <is>
          <t>00017</t>
        </is>
      </c>
      <c r="C29" t="inlineStr">
        <is>
          <t>NEW WORLD DEV</t>
        </is>
      </c>
      <c r="D29" s="31" t="n">
        <v>45838</v>
      </c>
      <c r="E29" t="inlineStr">
        <is>
          <t>HKD</t>
        </is>
      </c>
      <c r="F29" t="inlineStr">
        <is>
          <t>HKD</t>
        </is>
      </c>
      <c r="G29" t="n">
        <v>25243231975</v>
      </c>
      <c r="H29" t="n">
        <v>32657698296</v>
      </c>
      <c r="I29" t="n">
        <v>58334818913</v>
      </c>
      <c r="J29" t="n">
        <v>14641083665</v>
      </c>
      <c r="K29" t="n">
        <v>20930490440</v>
      </c>
      <c r="L29" t="n">
        <v>42731278730</v>
      </c>
      <c r="M29" t="n">
        <v>-14866152925</v>
      </c>
      <c r="N29" t="n">
        <v>-17964189172</v>
      </c>
      <c r="O29" t="n">
        <v>1068303348</v>
      </c>
      <c r="P29" t="n">
        <v>10866796200</v>
      </c>
      <c r="Q29" t="n">
        <v>308029500</v>
      </c>
      <c r="R29" t="n">
        <v>6372533804</v>
      </c>
      <c r="S29" t="n">
        <v>17603849031</v>
      </c>
      <c r="T29" s="31" t="n">
        <v>26626</v>
      </c>
      <c r="U29" t="n">
        <v>5.4</v>
      </c>
      <c r="V29" t="n">
        <v>4143000000</v>
      </c>
      <c r="W29" t="n">
        <v>22372200000</v>
      </c>
      <c r="X29" t="n">
        <v>6.995</v>
      </c>
    </row>
    <row r="30">
      <c r="A30" t="inlineStr">
        <is>
          <t>A股</t>
        </is>
      </c>
      <c r="B30" t="inlineStr">
        <is>
          <t>000021</t>
        </is>
      </c>
      <c r="C30" t="inlineStr">
        <is>
          <t>深科技</t>
        </is>
      </c>
      <c r="D30" s="31" t="n">
        <v>46022</v>
      </c>
      <c r="E30" t="inlineStr">
        <is>
          <t>CNY</t>
        </is>
      </c>
      <c r="F30" t="inlineStr">
        <is>
          <t>CNY</t>
        </is>
      </c>
      <c r="G30" t="n">
        <v>15747393092.5</v>
      </c>
      <c r="H30" t="n">
        <v>14827166508.53</v>
      </c>
      <c r="I30" t="n">
        <v>16118375162.38</v>
      </c>
      <c r="J30" t="n">
        <v>12861868306.97271</v>
      </c>
      <c r="K30" t="n">
        <v>12309595718.70884</v>
      </c>
      <c r="L30" t="n">
        <v>14181643369.10312</v>
      </c>
      <c r="M30" t="n">
        <v>1135679007.05</v>
      </c>
      <c r="N30" t="n">
        <v>930345572.1799999</v>
      </c>
      <c r="O30" t="n">
        <v>659052805.91</v>
      </c>
      <c r="P30" t="n">
        <v>1764618556.72</v>
      </c>
      <c r="Q30" t="n">
        <v>2428401907.74</v>
      </c>
      <c r="R30" t="n">
        <v>895695279.53</v>
      </c>
      <c r="S30" t="n">
        <v>58907051758</v>
      </c>
      <c r="T30" s="31" t="n">
        <v>34367</v>
      </c>
      <c r="U30" t="n">
        <v>4.65</v>
      </c>
      <c r="V30" t="n">
        <v>25675000</v>
      </c>
      <c r="W30" t="n">
        <v>119388750</v>
      </c>
      <c r="X30" t="n">
        <v>37.17</v>
      </c>
      <c r="Y30" t="n">
        <v>0</v>
      </c>
      <c r="Z30" t="n">
        <v>0</v>
      </c>
    </row>
    <row r="31">
      <c r="A31" t="inlineStr">
        <is>
          <t>港股</t>
        </is>
      </c>
      <c r="B31" t="inlineStr">
        <is>
          <t>00018</t>
        </is>
      </c>
      <c r="C31" t="inlineStr">
        <is>
          <t>ORIENTAL M G</t>
        </is>
      </c>
      <c r="D31" s="31" t="n">
        <v>45747</v>
      </c>
      <c r="E31" t="inlineStr">
        <is>
          <t>HKD</t>
        </is>
      </c>
      <c r="F31" t="inlineStr">
        <is>
          <t>HKD</t>
        </is>
      </c>
      <c r="G31" t="n">
        <v>503022636.21</v>
      </c>
      <c r="H31" t="n">
        <v>570216323.8</v>
      </c>
      <c r="I31" t="n">
        <v>596726559.8200001</v>
      </c>
      <c r="J31" t="n">
        <v>61858217.72999996</v>
      </c>
      <c r="K31" t="n">
        <v>80873325.49999994</v>
      </c>
      <c r="L31" t="n">
        <v>57986403.99000001</v>
      </c>
      <c r="M31" t="n">
        <v>48387668.22</v>
      </c>
      <c r="N31" t="n">
        <v>68078278.8</v>
      </c>
      <c r="O31" t="n">
        <v>135231051.44</v>
      </c>
      <c r="P31" t="n">
        <v>116075403.06</v>
      </c>
      <c r="Q31" t="n">
        <v>-102615114.15</v>
      </c>
      <c r="R31" t="n">
        <v>184650756.8</v>
      </c>
      <c r="S31" t="n">
        <v>510756512</v>
      </c>
      <c r="T31" s="31" t="n">
        <v>32007</v>
      </c>
      <c r="X31" t="n">
        <v>0.213</v>
      </c>
    </row>
    <row r="32">
      <c r="A32" t="inlineStr">
        <is>
          <t>A股</t>
        </is>
      </c>
      <c r="B32" t="inlineStr">
        <is>
          <t>000025</t>
        </is>
      </c>
      <c r="C32" t="inlineStr">
        <is>
          <t>特力Ａ</t>
        </is>
      </c>
      <c r="D32" s="31" t="n">
        <v>46022</v>
      </c>
      <c r="E32" t="inlineStr">
        <is>
          <t>CNY</t>
        </is>
      </c>
      <c r="F32" t="inlineStr">
        <is>
          <t>CNY</t>
        </is>
      </c>
      <c r="G32" t="n">
        <v>1461603400.53</v>
      </c>
      <c r="H32" t="n">
        <v>2613678204.37</v>
      </c>
      <c r="I32" t="n">
        <v>837656274.51</v>
      </c>
      <c r="J32" t="n">
        <v>1212036648.669564</v>
      </c>
      <c r="K32" t="n">
        <v>2376764300.059711</v>
      </c>
      <c r="L32" t="n">
        <v>700289243.4196911</v>
      </c>
      <c r="M32" t="n">
        <v>142865677.77</v>
      </c>
      <c r="N32" t="n">
        <v>136629870.8</v>
      </c>
      <c r="O32" t="n">
        <v>83496135.61</v>
      </c>
      <c r="P32" t="n">
        <v>327753897.88</v>
      </c>
      <c r="Q32" t="n">
        <v>390288813.85</v>
      </c>
      <c r="R32" t="n">
        <v>-51967764.29</v>
      </c>
      <c r="S32" t="n">
        <v>7353854939</v>
      </c>
      <c r="T32" s="31" t="n">
        <v>34141</v>
      </c>
      <c r="U32" t="n">
        <v>4.18</v>
      </c>
      <c r="V32" t="n">
        <v>25980000</v>
      </c>
      <c r="W32" t="n">
        <v>108596400</v>
      </c>
      <c r="X32" t="n">
        <v>17.06</v>
      </c>
      <c r="Y32" t="n">
        <v>0</v>
      </c>
      <c r="Z32" t="n">
        <v>0</v>
      </c>
    </row>
    <row r="33">
      <c r="A33" t="inlineStr">
        <is>
          <t>港股</t>
        </is>
      </c>
      <c r="B33" t="inlineStr">
        <is>
          <t>00019</t>
        </is>
      </c>
      <c r="C33" t="inlineStr">
        <is>
          <t>SWIRE PACIFIC A</t>
        </is>
      </c>
      <c r="D33" s="31" t="n">
        <v>46022</v>
      </c>
      <c r="E33" t="inlineStr">
        <is>
          <t>HKD</t>
        </is>
      </c>
      <c r="F33" t="inlineStr">
        <is>
          <t>HKD</t>
        </is>
      </c>
      <c r="G33" t="n">
        <v>81711603740</v>
      </c>
      <c r="H33" t="n">
        <v>75906572760</v>
      </c>
      <c r="I33" t="n">
        <v>81438532630</v>
      </c>
      <c r="J33" t="n">
        <v>51237864160</v>
      </c>
      <c r="K33" t="n">
        <v>47696616240</v>
      </c>
      <c r="L33" t="n">
        <v>50899417870</v>
      </c>
      <c r="M33" t="n">
        <v>2653660360</v>
      </c>
      <c r="N33" t="n">
        <v>4001418840</v>
      </c>
      <c r="O33" t="n">
        <v>3747267650</v>
      </c>
      <c r="P33" t="n">
        <v>13142754220</v>
      </c>
      <c r="Q33" t="n">
        <v>9684526320</v>
      </c>
      <c r="R33" t="n">
        <v>7285510120</v>
      </c>
      <c r="S33" t="n">
        <v>81793740000</v>
      </c>
      <c r="T33" s="31" t="n">
        <v>21654</v>
      </c>
      <c r="X33" t="n">
        <v>105</v>
      </c>
    </row>
    <row r="34">
      <c r="A34" t="inlineStr">
        <is>
          <t>A股</t>
        </is>
      </c>
      <c r="B34" t="inlineStr">
        <is>
          <t>000026</t>
        </is>
      </c>
      <c r="C34" t="inlineStr">
        <is>
          <t>飞亚达</t>
        </is>
      </c>
      <c r="D34" s="31" t="n">
        <v>46022</v>
      </c>
      <c r="E34" t="inlineStr">
        <is>
          <t>CNY</t>
        </is>
      </c>
      <c r="F34" t="inlineStr">
        <is>
          <t>CNY</t>
        </is>
      </c>
      <c r="G34" t="n">
        <v>3508487911.4</v>
      </c>
      <c r="H34" t="n">
        <v>3940530934.07</v>
      </c>
      <c r="I34" t="n">
        <v>4354096880.36</v>
      </c>
      <c r="J34" t="n">
        <v>2262131033.760061</v>
      </c>
      <c r="K34" t="n">
        <v>2476197934.431004</v>
      </c>
      <c r="L34" t="n">
        <v>2738972791.108363</v>
      </c>
      <c r="M34" t="n">
        <v>87317829.63</v>
      </c>
      <c r="N34" t="n">
        <v>220350184.99</v>
      </c>
      <c r="O34" t="n">
        <v>266681451.84</v>
      </c>
      <c r="P34" t="n">
        <v>541872287.53</v>
      </c>
      <c r="Q34" t="n">
        <v>536730960.29</v>
      </c>
      <c r="R34" t="n">
        <v>476228776.52</v>
      </c>
      <c r="S34" t="n">
        <v>8143683620</v>
      </c>
      <c r="T34" s="31" t="n">
        <v>34123</v>
      </c>
      <c r="U34" t="n">
        <v>3.6</v>
      </c>
      <c r="V34" t="n">
        <v>12500000</v>
      </c>
      <c r="W34" t="n">
        <v>45000000</v>
      </c>
      <c r="X34" t="n">
        <v>20.07</v>
      </c>
      <c r="Y34" t="n">
        <v>0</v>
      </c>
      <c r="Z34" t="n">
        <v>0</v>
      </c>
    </row>
    <row r="35">
      <c r="A35" t="inlineStr">
        <is>
          <t>港股</t>
        </is>
      </c>
      <c r="B35" t="inlineStr">
        <is>
          <t>00020</t>
        </is>
      </c>
      <c r="C35" t="inlineStr">
        <is>
          <t>SENSETIME-W</t>
        </is>
      </c>
      <c r="D35" s="31" t="n">
        <v>46022</v>
      </c>
      <c r="E35" t="inlineStr">
        <is>
          <t>HKD</t>
        </is>
      </c>
      <c r="F35" t="inlineStr">
        <is>
          <t>HKD</t>
        </is>
      </c>
      <c r="G35" t="n">
        <v>5014640000</v>
      </c>
      <c r="H35" t="n">
        <v>3772101000</v>
      </c>
      <c r="I35" t="n">
        <v>3808510000</v>
      </c>
      <c r="J35" t="n">
        <v>2958216000</v>
      </c>
      <c r="K35" t="n">
        <v>2152404000</v>
      </c>
      <c r="L35" t="n">
        <v>1266243000</v>
      </c>
      <c r="M35" t="n">
        <v>-1765929000</v>
      </c>
      <c r="N35" t="n">
        <v>-4278383000</v>
      </c>
      <c r="O35" t="n">
        <v>-6044796000</v>
      </c>
      <c r="P35" t="n">
        <v>-301142000</v>
      </c>
      <c r="Q35" t="n">
        <v>-3926728000</v>
      </c>
      <c r="R35" t="n">
        <v>-3084483000</v>
      </c>
      <c r="S35" t="n">
        <v>62480554240</v>
      </c>
      <c r="T35" s="31" t="n">
        <v>44560</v>
      </c>
      <c r="U35" t="n">
        <v>3.85</v>
      </c>
      <c r="V35" t="n">
        <v>1725000000</v>
      </c>
      <c r="W35" t="n">
        <v>6641250000</v>
      </c>
      <c r="X35" t="n">
        <v>1.48</v>
      </c>
    </row>
    <row r="36">
      <c r="A36" t="inlineStr">
        <is>
          <t>A股</t>
        </is>
      </c>
      <c r="B36" t="inlineStr">
        <is>
          <t>000027</t>
        </is>
      </c>
      <c r="C36" t="inlineStr">
        <is>
          <t>深圳能源</t>
        </is>
      </c>
      <c r="D36" s="31" t="n">
        <v>46022</v>
      </c>
      <c r="E36" t="inlineStr">
        <is>
          <t>CNY</t>
        </is>
      </c>
      <c r="F36" t="inlineStr">
        <is>
          <t>CNY</t>
        </is>
      </c>
      <c r="G36" t="n">
        <v>43429622180.48</v>
      </c>
      <c r="H36" t="n">
        <v>41213608804.88</v>
      </c>
      <c r="I36" t="n">
        <v>37524716709.56</v>
      </c>
      <c r="J36" t="n">
        <v>34452224373.51523</v>
      </c>
      <c r="K36" t="n">
        <v>33111085340.55674</v>
      </c>
      <c r="L36" t="n">
        <v>31014007247.29285</v>
      </c>
      <c r="M36" t="n">
        <v>2103342043.54</v>
      </c>
      <c r="N36" t="n">
        <v>2005148708.38</v>
      </c>
      <c r="O36" t="n">
        <v>2198612414.94</v>
      </c>
      <c r="P36" t="n">
        <v>11817010849.29</v>
      </c>
      <c r="Q36" t="n">
        <v>9611803315.559999</v>
      </c>
      <c r="R36" t="n">
        <v>9624731071.23</v>
      </c>
      <c r="S36" t="n">
        <v>30066704269</v>
      </c>
      <c r="T36" s="31" t="n">
        <v>34215</v>
      </c>
      <c r="U36" t="n">
        <v>3.5</v>
      </c>
      <c r="V36" t="n">
        <v>107300000</v>
      </c>
      <c r="W36" t="n">
        <v>375550000</v>
      </c>
      <c r="X36" t="n">
        <v>6.32</v>
      </c>
      <c r="Y36" t="n">
        <v>0</v>
      </c>
      <c r="Z36" t="n">
        <v>0</v>
      </c>
    </row>
    <row r="37">
      <c r="A37" t="inlineStr">
        <is>
          <t>港股</t>
        </is>
      </c>
      <c r="B37" t="inlineStr">
        <is>
          <t>00021</t>
        </is>
      </c>
      <c r="C37" t="inlineStr">
        <is>
          <t>GREAT CHI HLDGS</t>
        </is>
      </c>
      <c r="D37" s="31" t="n">
        <v>46022</v>
      </c>
      <c r="E37" t="inlineStr">
        <is>
          <t>HKD</t>
        </is>
      </c>
      <c r="F37" t="inlineStr">
        <is>
          <t>HKD</t>
        </is>
      </c>
      <c r="G37" t="n">
        <v>54761325.38</v>
      </c>
      <c r="H37" t="n">
        <v>122778087.36</v>
      </c>
      <c r="I37" t="n">
        <v>11206965.42</v>
      </c>
      <c r="J37" t="n">
        <v>43466559.28</v>
      </c>
      <c r="K37" t="n">
        <v>85535536.68000001</v>
      </c>
      <c r="L37" t="n">
        <v>7094350.34</v>
      </c>
      <c r="M37" t="n">
        <v>-133997203.1</v>
      </c>
      <c r="N37" t="n">
        <v>-100625358.48</v>
      </c>
      <c r="O37" t="n">
        <v>47362068.67</v>
      </c>
      <c r="P37" t="n">
        <v>-1479474.36</v>
      </c>
      <c r="Q37" t="n">
        <v>-18119824.68</v>
      </c>
      <c r="R37" t="n">
        <v>-27270639.83</v>
      </c>
      <c r="S37" t="n">
        <v>325969139</v>
      </c>
      <c r="T37" s="31" t="n">
        <v>32507</v>
      </c>
      <c r="X37" t="n">
        <v>0.082</v>
      </c>
    </row>
    <row r="38">
      <c r="A38" t="inlineStr">
        <is>
          <t>A股</t>
        </is>
      </c>
      <c r="B38" t="inlineStr">
        <is>
          <t>000028</t>
        </is>
      </c>
      <c r="C38" t="inlineStr">
        <is>
          <t>国药一致</t>
        </is>
      </c>
      <c r="D38" s="31" t="n">
        <v>46022</v>
      </c>
      <c r="E38" t="inlineStr">
        <is>
          <t>CNY</t>
        </is>
      </c>
      <c r="F38" t="inlineStr">
        <is>
          <t>CNY</t>
        </is>
      </c>
      <c r="G38" t="n">
        <v>73415858423.13</v>
      </c>
      <c r="H38" t="n">
        <v>74378494389.57001</v>
      </c>
      <c r="I38" t="n">
        <v>73443136988.14</v>
      </c>
      <c r="J38" t="n">
        <v>65575391355.22467</v>
      </c>
      <c r="K38" t="n">
        <v>66129208570.97416</v>
      </c>
      <c r="L38" t="n">
        <v>64516926009.95139</v>
      </c>
      <c r="M38" t="n">
        <v>1135926834.84</v>
      </c>
      <c r="N38" t="n">
        <v>642493449.76</v>
      </c>
      <c r="O38" t="n">
        <v>1486707652.27</v>
      </c>
      <c r="P38" t="n">
        <v>1638588925.27</v>
      </c>
      <c r="Q38" t="n">
        <v>3271468297.03</v>
      </c>
      <c r="R38" t="n">
        <v>2560430612.77</v>
      </c>
      <c r="S38" t="n">
        <v>12232187248</v>
      </c>
      <c r="T38" s="31" t="n">
        <v>34190</v>
      </c>
      <c r="U38" t="n">
        <v>3.5</v>
      </c>
      <c r="V38" t="n">
        <v>30000000</v>
      </c>
      <c r="W38" t="n">
        <v>105000000</v>
      </c>
      <c r="X38" t="n">
        <v>19.98</v>
      </c>
      <c r="Y38" t="n">
        <v>0</v>
      </c>
      <c r="Z38" t="n">
        <v>0</v>
      </c>
    </row>
    <row r="39">
      <c r="A39" t="inlineStr">
        <is>
          <t>港股</t>
        </is>
      </c>
      <c r="B39" t="inlineStr">
        <is>
          <t>00022</t>
        </is>
      </c>
      <c r="C39" t="inlineStr">
        <is>
          <t>MEXAN</t>
        </is>
      </c>
      <c r="D39" s="31" t="n">
        <v>45747</v>
      </c>
      <c r="E39" t="inlineStr">
        <is>
          <t>HKD</t>
        </is>
      </c>
      <c r="F39" t="inlineStr">
        <is>
          <t>HKD</t>
        </is>
      </c>
      <c r="G39" t="n">
        <v>34691025.36</v>
      </c>
      <c r="H39" t="n">
        <v>92922281.55</v>
      </c>
      <c r="I39" t="n">
        <v>22314940.15</v>
      </c>
      <c r="J39" t="n">
        <v>28297659.12</v>
      </c>
      <c r="K39" t="n">
        <v>66951437.15</v>
      </c>
      <c r="L39" t="n">
        <v>15292404.56</v>
      </c>
      <c r="M39" t="n">
        <v>-29549939.43</v>
      </c>
      <c r="N39" t="n">
        <v>-18274234.9</v>
      </c>
      <c r="O39" t="n">
        <v>-36013710.06</v>
      </c>
      <c r="P39" t="n">
        <v>26931870.72</v>
      </c>
      <c r="Q39" t="n">
        <v>15354237.35</v>
      </c>
      <c r="R39" t="n">
        <v>-13349224.6</v>
      </c>
      <c r="S39" t="n">
        <v>67053826</v>
      </c>
      <c r="T39" s="31" t="n">
        <v>26647</v>
      </c>
      <c r="X39" t="n">
        <v>1.705</v>
      </c>
    </row>
    <row r="40">
      <c r="A40" t="inlineStr">
        <is>
          <t>A股</t>
        </is>
      </c>
      <c r="B40" t="inlineStr">
        <is>
          <t>000029</t>
        </is>
      </c>
      <c r="C40" t="inlineStr">
        <is>
          <t>深深房Ａ</t>
        </is>
      </c>
      <c r="D40" s="31" t="n">
        <v>46022</v>
      </c>
      <c r="E40" t="inlineStr">
        <is>
          <t>CNY</t>
        </is>
      </c>
      <c r="F40" t="inlineStr">
        <is>
          <t>CNY</t>
        </is>
      </c>
      <c r="G40" t="n">
        <v>1482872299.36</v>
      </c>
      <c r="H40" t="n">
        <v>407022191.44</v>
      </c>
      <c r="I40" t="n">
        <v>634384561.42</v>
      </c>
      <c r="J40" t="n">
        <v>1069812444.739885</v>
      </c>
      <c r="K40" t="n">
        <v>332325650.300201</v>
      </c>
      <c r="L40" t="n">
        <v>437052001.0101835</v>
      </c>
      <c r="M40" t="n">
        <v>99956003.75</v>
      </c>
      <c r="N40" t="n">
        <v>-176710947.65</v>
      </c>
      <c r="O40" t="n">
        <v>153718805.57</v>
      </c>
      <c r="P40" t="n">
        <v>-95319433.93000001</v>
      </c>
      <c r="Q40" t="n">
        <v>-127403949.79</v>
      </c>
      <c r="R40" t="n">
        <v>-675775998.76</v>
      </c>
      <c r="S40" t="n">
        <v>24006691800</v>
      </c>
      <c r="T40" s="31" t="n">
        <v>34227</v>
      </c>
      <c r="U40" t="n">
        <v>3.8</v>
      </c>
      <c r="V40" t="n">
        <v>112000000</v>
      </c>
      <c r="W40" t="n">
        <v>425600000</v>
      </c>
      <c r="X40" t="n">
        <v>23.73</v>
      </c>
      <c r="Y40" t="n">
        <v>0</v>
      </c>
      <c r="Z40" t="n">
        <v>0</v>
      </c>
    </row>
    <row r="41">
      <c r="A41" t="inlineStr">
        <is>
          <t>港股</t>
        </is>
      </c>
      <c r="B41" t="inlineStr">
        <is>
          <t>00023</t>
        </is>
      </c>
      <c r="C41" t="inlineStr">
        <is>
          <t>BANK OF E ASIA</t>
        </is>
      </c>
      <c r="D41" s="31" t="n">
        <v>46022</v>
      </c>
      <c r="E41" t="inlineStr">
        <is>
          <t>HKD</t>
        </is>
      </c>
      <c r="F41" t="inlineStr">
        <is>
          <t>HKD</t>
        </is>
      </c>
      <c r="G41" t="n">
        <v>18984781180</v>
      </c>
      <c r="H41" t="n">
        <v>19427393160</v>
      </c>
      <c r="I41" t="n">
        <v>16037769580</v>
      </c>
      <c r="M41" t="n">
        <v>3162173220</v>
      </c>
      <c r="N41" t="n">
        <v>4267192320</v>
      </c>
      <c r="O41" t="n">
        <v>3893763930</v>
      </c>
      <c r="P41" t="n">
        <v>15355643220</v>
      </c>
      <c r="Q41" t="n">
        <v>-701938320</v>
      </c>
      <c r="R41" t="n">
        <v>977237380</v>
      </c>
      <c r="S41" t="n">
        <v>48232158932</v>
      </c>
      <c r="T41" s="31" t="n">
        <v>7672</v>
      </c>
      <c r="X41" t="n">
        <v>18.24</v>
      </c>
    </row>
    <row r="42">
      <c r="A42" t="inlineStr">
        <is>
          <t>A股</t>
        </is>
      </c>
      <c r="B42" t="inlineStr">
        <is>
          <t>000030</t>
        </is>
      </c>
      <c r="C42" t="inlineStr">
        <is>
          <t>富奥股份</t>
        </is>
      </c>
      <c r="D42" s="31" t="n">
        <v>46022</v>
      </c>
      <c r="E42" t="inlineStr">
        <is>
          <t>CNY</t>
        </is>
      </c>
      <c r="F42" t="inlineStr">
        <is>
          <t>CNY</t>
        </is>
      </c>
      <c r="G42" t="n">
        <v>17410397362.62</v>
      </c>
      <c r="H42" t="n">
        <v>16468392260.56</v>
      </c>
      <c r="I42" t="n">
        <v>12570517605.95</v>
      </c>
      <c r="J42" t="n">
        <v>15244757636.32131</v>
      </c>
      <c r="K42" t="n">
        <v>14564938662.26258</v>
      </c>
      <c r="L42" t="n">
        <v>11512279154.72</v>
      </c>
      <c r="M42" t="n">
        <v>702615804.9</v>
      </c>
      <c r="N42" t="n">
        <v>676188915.08</v>
      </c>
      <c r="O42" t="n">
        <v>501168226.47</v>
      </c>
      <c r="P42" t="n">
        <v>536199267.13</v>
      </c>
      <c r="Q42" t="n">
        <v>469872166.96</v>
      </c>
      <c r="R42" t="n">
        <v>281858459.52</v>
      </c>
      <c r="S42" t="n">
        <v>6982432031</v>
      </c>
      <c r="T42" s="31" t="n">
        <v>34241</v>
      </c>
      <c r="U42" t="n">
        <v>4.55</v>
      </c>
      <c r="V42" t="n">
        <v>43500000</v>
      </c>
      <c r="W42" t="n">
        <v>197925000</v>
      </c>
      <c r="X42" t="n">
        <v>4.06</v>
      </c>
      <c r="Y42" t="n">
        <v>0</v>
      </c>
      <c r="Z42" t="n">
        <v>0</v>
      </c>
    </row>
    <row r="43">
      <c r="A43" t="inlineStr">
        <is>
          <t>港股</t>
        </is>
      </c>
      <c r="B43" t="inlineStr">
        <is>
          <t>00025</t>
        </is>
      </c>
      <c r="C43" t="inlineStr">
        <is>
          <t>CHEVALIER INT'L</t>
        </is>
      </c>
      <c r="D43" s="31" t="n">
        <v>45747</v>
      </c>
      <c r="E43" t="inlineStr">
        <is>
          <t>HKD</t>
        </is>
      </c>
      <c r="F43" t="inlineStr">
        <is>
          <t>HKD</t>
        </is>
      </c>
      <c r="G43" t="n">
        <v>8550061477.35</v>
      </c>
      <c r="H43" t="n">
        <v>7430271455.85</v>
      </c>
      <c r="I43" t="n">
        <v>7002611507.33</v>
      </c>
      <c r="J43" t="n">
        <v>7960380489.990001</v>
      </c>
      <c r="K43" t="n">
        <v>6655445890.5</v>
      </c>
      <c r="L43" t="n">
        <v>6161710922.77</v>
      </c>
      <c r="M43" t="n">
        <v>-436580721.87</v>
      </c>
      <c r="N43" t="n">
        <v>-335777054.5</v>
      </c>
      <c r="O43" t="n">
        <v>522714598.23</v>
      </c>
      <c r="P43" t="n">
        <v>-342028482.9</v>
      </c>
      <c r="Q43" t="n">
        <v>-222829083.45</v>
      </c>
      <c r="R43" t="n">
        <v>277800121.36</v>
      </c>
      <c r="S43" t="n">
        <v>1515380253</v>
      </c>
      <c r="T43" s="31" t="n">
        <v>31021</v>
      </c>
      <c r="X43" t="n">
        <v>5.03</v>
      </c>
    </row>
    <row r="44">
      <c r="A44" t="inlineStr">
        <is>
          <t>A股</t>
        </is>
      </c>
      <c r="B44" t="inlineStr">
        <is>
          <t>000031</t>
        </is>
      </c>
      <c r="C44" t="inlineStr">
        <is>
          <t>大悦城</t>
        </is>
      </c>
      <c r="D44" s="31" t="n">
        <v>46022</v>
      </c>
      <c r="E44" t="inlineStr">
        <is>
          <t>CNY</t>
        </is>
      </c>
      <c r="F44" t="inlineStr">
        <is>
          <t>CNY</t>
        </is>
      </c>
      <c r="G44" t="n">
        <v>30892372928.84</v>
      </c>
      <c r="H44" t="n">
        <v>35790676999.47</v>
      </c>
      <c r="I44" t="n">
        <v>39578691796.06</v>
      </c>
      <c r="J44" t="n">
        <v>21069342328.06276</v>
      </c>
      <c r="K44" t="n">
        <v>28001447915.45924</v>
      </c>
      <c r="L44" t="n">
        <v>30056510654.03932</v>
      </c>
      <c r="M44" t="n">
        <v>-2350270677.56</v>
      </c>
      <c r="N44" t="n">
        <v>-2976784327.74</v>
      </c>
      <c r="O44" t="n">
        <v>-2882769952.94</v>
      </c>
      <c r="P44" t="n">
        <v>3022719556.75</v>
      </c>
      <c r="Q44" t="n">
        <v>6617322861.11</v>
      </c>
      <c r="R44" t="n">
        <v>2710451072.07</v>
      </c>
      <c r="S44" t="n">
        <v>9687068146</v>
      </c>
      <c r="T44" s="31" t="n">
        <v>34250</v>
      </c>
      <c r="U44" t="n">
        <v>4.38</v>
      </c>
      <c r="V44" t="n">
        <v>67000000</v>
      </c>
      <c r="W44" t="n">
        <v>293460000</v>
      </c>
      <c r="X44" t="n">
        <v>2.26</v>
      </c>
      <c r="Y44" t="n">
        <v>0</v>
      </c>
      <c r="Z44" t="n">
        <v>0</v>
      </c>
    </row>
    <row r="45">
      <c r="A45" t="inlineStr">
        <is>
          <t>港股</t>
        </is>
      </c>
      <c r="B45" t="inlineStr">
        <is>
          <t>00026</t>
        </is>
      </c>
      <c r="C45" t="inlineStr">
        <is>
          <t>CHINA MOTOR BUS</t>
        </is>
      </c>
      <c r="D45" s="31" t="n">
        <v>45838</v>
      </c>
      <c r="E45" t="inlineStr">
        <is>
          <t>HKD</t>
        </is>
      </c>
      <c r="F45" t="inlineStr">
        <is>
          <t>HKD</t>
        </is>
      </c>
      <c r="G45" t="n">
        <v>48390802.85</v>
      </c>
      <c r="H45" t="n">
        <v>63476894</v>
      </c>
      <c r="I45" t="n">
        <v>62414331.77</v>
      </c>
      <c r="J45" t="n">
        <v>0</v>
      </c>
      <c r="K45" t="n">
        <v>0</v>
      </c>
      <c r="L45" t="n">
        <v>0</v>
      </c>
      <c r="M45" t="n">
        <v>-168258422.8</v>
      </c>
      <c r="N45" t="n">
        <v>-239322036.92</v>
      </c>
      <c r="O45" t="n">
        <v>61870430.93</v>
      </c>
      <c r="P45" t="n">
        <v>4727548.8</v>
      </c>
      <c r="Q45" t="n">
        <v>26586368.4</v>
      </c>
      <c r="R45" t="n">
        <v>22747198.81</v>
      </c>
      <c r="S45" t="n">
        <v>2667912504</v>
      </c>
      <c r="T45" s="31" t="n">
        <v>22647</v>
      </c>
      <c r="X45" t="n">
        <v>59</v>
      </c>
    </row>
    <row r="46">
      <c r="A46" t="inlineStr">
        <is>
          <t>A股</t>
        </is>
      </c>
      <c r="B46" t="inlineStr">
        <is>
          <t>000032</t>
        </is>
      </c>
      <c r="C46" t="inlineStr">
        <is>
          <t>深桑达Ａ</t>
        </is>
      </c>
      <c r="D46" s="31" t="n">
        <v>46022</v>
      </c>
      <c r="E46" t="inlineStr">
        <is>
          <t>CNY</t>
        </is>
      </c>
      <c r="F46" t="inlineStr">
        <is>
          <t>CNY</t>
        </is>
      </c>
      <c r="G46" t="n">
        <v>49170356917.15</v>
      </c>
      <c r="H46" t="n">
        <v>67389424494.27</v>
      </c>
      <c r="I46" t="n">
        <v>51051921142.62</v>
      </c>
      <c r="J46" t="n">
        <v>44397126178.08781</v>
      </c>
      <c r="K46" t="n">
        <v>60531585176.63797</v>
      </c>
      <c r="L46" t="n">
        <v>45227828100.43539</v>
      </c>
      <c r="M46" t="n">
        <v>-127069431.4</v>
      </c>
      <c r="N46" t="n">
        <v>329726273.71</v>
      </c>
      <c r="O46" t="n">
        <v>-158404699.08</v>
      </c>
      <c r="P46" t="n">
        <v>-296557412.71</v>
      </c>
      <c r="Q46" t="n">
        <v>820791360.47</v>
      </c>
      <c r="R46" t="n">
        <v>-246859123.02</v>
      </c>
      <c r="S46" t="n">
        <v>17644403596</v>
      </c>
      <c r="T46" s="31" t="n">
        <v>34270</v>
      </c>
      <c r="U46" t="n">
        <v>3.36</v>
      </c>
      <c r="V46" t="n">
        <v>27500000</v>
      </c>
      <c r="W46" t="n">
        <v>92400000</v>
      </c>
      <c r="X46" t="n">
        <v>14.52</v>
      </c>
      <c r="Y46" t="n">
        <v>0</v>
      </c>
      <c r="Z46" t="n">
        <v>0</v>
      </c>
    </row>
    <row r="47">
      <c r="A47" t="inlineStr">
        <is>
          <t>港股</t>
        </is>
      </c>
      <c r="B47" t="inlineStr">
        <is>
          <t>00027</t>
        </is>
      </c>
      <c r="C47" t="inlineStr">
        <is>
          <t>GALAXY ENT</t>
        </is>
      </c>
      <c r="D47" s="31" t="n">
        <v>46022</v>
      </c>
      <c r="E47" t="inlineStr">
        <is>
          <t>HKD</t>
        </is>
      </c>
      <c r="F47" t="inlineStr">
        <is>
          <t>HKD</t>
        </is>
      </c>
      <c r="G47" t="n">
        <v>44476652786.5</v>
      </c>
      <c r="H47" t="n">
        <v>40220114692.92</v>
      </c>
      <c r="I47" t="n">
        <v>10249195073.11</v>
      </c>
      <c r="J47" t="n">
        <v>1090509892.760002</v>
      </c>
      <c r="K47" t="n">
        <v>1251283768.799995</v>
      </c>
      <c r="L47" t="n">
        <v>1216721280.460001</v>
      </c>
      <c r="M47" t="n">
        <v>9640758023.299999</v>
      </c>
      <c r="N47" t="n">
        <v>8111413091.88</v>
      </c>
      <c r="O47" t="n">
        <v>-3067283727.9</v>
      </c>
      <c r="P47" t="n">
        <v>12874103172.86</v>
      </c>
      <c r="Q47" t="n">
        <v>10696005548.52</v>
      </c>
      <c r="R47" t="n">
        <v>-2661391665.87</v>
      </c>
      <c r="S47" t="n">
        <v>148281090508</v>
      </c>
      <c r="T47" s="31" t="n">
        <v>33518</v>
      </c>
      <c r="U47" t="n">
        <v>1.12</v>
      </c>
      <c r="V47" t="n">
        <v>48750000</v>
      </c>
      <c r="W47" t="n">
        <v>54600000.00000001</v>
      </c>
      <c r="X47" t="n">
        <v>33.86</v>
      </c>
    </row>
    <row r="48">
      <c r="A48" t="inlineStr">
        <is>
          <t>A股</t>
        </is>
      </c>
      <c r="B48" t="inlineStr">
        <is>
          <t>000034</t>
        </is>
      </c>
      <c r="C48" t="inlineStr">
        <is>
          <t>神州数码</t>
        </is>
      </c>
      <c r="D48" s="31" t="n">
        <v>46022</v>
      </c>
      <c r="E48" t="inlineStr">
        <is>
          <t>CNY</t>
        </is>
      </c>
      <c r="F48" t="inlineStr">
        <is>
          <t>CNY</t>
        </is>
      </c>
      <c r="G48" t="n">
        <v>143751044503.13</v>
      </c>
      <c r="H48" t="n">
        <v>128166392637.76</v>
      </c>
      <c r="I48" t="n">
        <v>115880020611.9</v>
      </c>
      <c r="J48" t="n">
        <v>138866961377.3526</v>
      </c>
      <c r="K48" t="n">
        <v>122769551323.8236</v>
      </c>
      <c r="L48" t="n">
        <v>111333032431.053</v>
      </c>
      <c r="M48" t="n">
        <v>522943843.22</v>
      </c>
      <c r="N48" t="n">
        <v>752694649.23</v>
      </c>
      <c r="O48" t="n">
        <v>1004405512.88</v>
      </c>
      <c r="P48" t="n">
        <v>-2425699608.73</v>
      </c>
      <c r="Q48" t="n">
        <v>2504566070.05</v>
      </c>
      <c r="R48" t="n">
        <v>836465651.1900001</v>
      </c>
      <c r="S48" t="n">
        <v>24483091085</v>
      </c>
      <c r="T48" s="31" t="n">
        <v>34463</v>
      </c>
      <c r="U48" t="n">
        <v>5.2</v>
      </c>
      <c r="V48" t="n">
        <v>46800000</v>
      </c>
      <c r="W48" t="n">
        <v>243360000</v>
      </c>
      <c r="X48" t="n">
        <v>24.08</v>
      </c>
      <c r="Y48" t="n">
        <v>0</v>
      </c>
      <c r="Z48" t="n">
        <v>0</v>
      </c>
    </row>
    <row r="49">
      <c r="A49" t="inlineStr">
        <is>
          <t>港股</t>
        </is>
      </c>
      <c r="B49" t="inlineStr">
        <is>
          <t>00028</t>
        </is>
      </c>
      <c r="C49" t="inlineStr">
        <is>
          <t>TIAN AN</t>
        </is>
      </c>
      <c r="D49" s="31" t="n">
        <v>46022</v>
      </c>
      <c r="E49" t="inlineStr">
        <is>
          <t>HKD</t>
        </is>
      </c>
      <c r="F49" t="inlineStr">
        <is>
          <t>HKD</t>
        </is>
      </c>
      <c r="G49" t="n">
        <v>9481868980.219999</v>
      </c>
      <c r="H49" t="n">
        <v>2789449173.36</v>
      </c>
      <c r="I49" t="n">
        <v>4544086821.75</v>
      </c>
      <c r="J49" t="n">
        <v>4577519863.219999</v>
      </c>
      <c r="K49" t="n">
        <v>1833147112.2</v>
      </c>
      <c r="L49" t="n">
        <v>2548706548.64</v>
      </c>
      <c r="M49" t="n">
        <v>1597286763.92</v>
      </c>
      <c r="N49" t="n">
        <v>-191765289.24</v>
      </c>
      <c r="O49" t="n">
        <v>1365415004.66</v>
      </c>
      <c r="P49" t="n">
        <v>119734456.08</v>
      </c>
      <c r="Q49" t="n">
        <v>3921225628.08</v>
      </c>
      <c r="R49" t="n">
        <v>3798104538.97</v>
      </c>
      <c r="S49" t="n">
        <v>4962645227</v>
      </c>
      <c r="T49" s="31" t="n">
        <v>31854</v>
      </c>
      <c r="X49" t="n">
        <v>3.385</v>
      </c>
    </row>
    <row r="50">
      <c r="A50" t="inlineStr">
        <is>
          <t>A股</t>
        </is>
      </c>
      <c r="B50" t="inlineStr">
        <is>
          <t>000035</t>
        </is>
      </c>
      <c r="C50" t="inlineStr">
        <is>
          <t>中国天楹</t>
        </is>
      </c>
      <c r="D50" s="31" t="n">
        <v>46022</v>
      </c>
      <c r="E50" t="inlineStr">
        <is>
          <t>CNY</t>
        </is>
      </c>
      <c r="F50" t="inlineStr">
        <is>
          <t>CNY</t>
        </is>
      </c>
      <c r="G50" t="n">
        <v>5283464987.58</v>
      </c>
      <c r="H50" t="n">
        <v>5667336235.45</v>
      </c>
      <c r="I50" t="n">
        <v>6706701979.82</v>
      </c>
      <c r="J50" t="n">
        <v>3742379673.592036</v>
      </c>
      <c r="K50" t="n">
        <v>4004723646.558793</v>
      </c>
      <c r="L50" t="n">
        <v>5392086146.621416</v>
      </c>
      <c r="M50" t="n">
        <v>283949932.62</v>
      </c>
      <c r="N50" t="n">
        <v>279979308.66</v>
      </c>
      <c r="O50" t="n">
        <v>123485132.53</v>
      </c>
      <c r="P50" t="n">
        <v>653089056.4299999</v>
      </c>
      <c r="Q50" t="n">
        <v>655318988.92</v>
      </c>
      <c r="R50" t="n">
        <v>593887362.47</v>
      </c>
      <c r="S50" t="n">
        <v>11271514670</v>
      </c>
      <c r="T50" s="31" t="n">
        <v>34432</v>
      </c>
      <c r="U50" t="n">
        <v>3.9</v>
      </c>
      <c r="V50" t="n">
        <v>15000000</v>
      </c>
      <c r="W50" t="n">
        <v>58500000</v>
      </c>
      <c r="X50" t="n">
        <v>4.72</v>
      </c>
      <c r="Y50" t="n">
        <v>0</v>
      </c>
      <c r="Z50" t="n">
        <v>0</v>
      </c>
    </row>
    <row r="51">
      <c r="A51" t="inlineStr">
        <is>
          <t>港股</t>
        </is>
      </c>
      <c r="B51" t="inlineStr">
        <is>
          <t>00029</t>
        </is>
      </c>
      <c r="C51" t="inlineStr">
        <is>
          <t>DYNAMIC HOLD</t>
        </is>
      </c>
      <c r="D51" s="31" t="n">
        <v>45838</v>
      </c>
      <c r="E51" t="inlineStr">
        <is>
          <t>HKD</t>
        </is>
      </c>
      <c r="F51" t="inlineStr">
        <is>
          <t>HKD</t>
        </is>
      </c>
      <c r="G51" t="n">
        <v>59232976.4</v>
      </c>
      <c r="H51" t="n">
        <v>65323245.64</v>
      </c>
      <c r="I51" t="n">
        <v>74309169.48</v>
      </c>
      <c r="J51" t="n">
        <v>21512900.5</v>
      </c>
      <c r="K51" t="n">
        <v>24284589.44</v>
      </c>
      <c r="L51" t="n">
        <v>21349818.35</v>
      </c>
      <c r="M51" t="n">
        <v>-57082598.3</v>
      </c>
      <c r="N51" t="n">
        <v>4886447649.4</v>
      </c>
      <c r="O51" t="n">
        <v>26640878.88</v>
      </c>
      <c r="P51" t="n">
        <v>9855443.65</v>
      </c>
      <c r="Q51" t="n">
        <v>-37596939.92</v>
      </c>
      <c r="R51" t="n">
        <v>655075.54</v>
      </c>
      <c r="S51" t="n">
        <v>2210644233</v>
      </c>
      <c r="T51" s="31" t="n">
        <v>29224</v>
      </c>
      <c r="X51" t="n">
        <v>9.300000000000001</v>
      </c>
    </row>
    <row r="52">
      <c r="A52" t="inlineStr">
        <is>
          <t>A股</t>
        </is>
      </c>
      <c r="B52" t="inlineStr">
        <is>
          <t>000036</t>
        </is>
      </c>
      <c r="C52" t="inlineStr">
        <is>
          <t>华联控股</t>
        </is>
      </c>
      <c r="D52" s="31" t="n">
        <v>46022</v>
      </c>
      <c r="E52" t="inlineStr">
        <is>
          <t>CNY</t>
        </is>
      </c>
      <c r="F52" t="inlineStr">
        <is>
          <t>CNY</t>
        </is>
      </c>
      <c r="G52" t="n">
        <v>621481960.92</v>
      </c>
      <c r="H52" t="n">
        <v>425305861.53</v>
      </c>
      <c r="I52" t="n">
        <v>2343946610.94</v>
      </c>
      <c r="J52" t="n">
        <v>265247815.1302277</v>
      </c>
      <c r="K52" t="n">
        <v>218678438.7399329</v>
      </c>
      <c r="L52" t="n">
        <v>1128569559.950896</v>
      </c>
      <c r="M52" t="n">
        <v>70145408.95</v>
      </c>
      <c r="N52" t="n">
        <v>40511986.3</v>
      </c>
      <c r="O52" t="n">
        <v>435747116.3</v>
      </c>
      <c r="P52" t="n">
        <v>285554295</v>
      </c>
      <c r="Q52" t="n">
        <v>-319552239.66</v>
      </c>
      <c r="R52" t="n">
        <v>2255056118.38</v>
      </c>
      <c r="S52" t="n">
        <v>5783733147</v>
      </c>
      <c r="T52" s="31" t="n">
        <v>34502</v>
      </c>
      <c r="U52" t="n">
        <v>2.6</v>
      </c>
      <c r="V52" t="n">
        <v>34100000</v>
      </c>
      <c r="W52" t="n">
        <v>88660000</v>
      </c>
      <c r="X52" t="n">
        <v>4.12</v>
      </c>
      <c r="Y52" t="n">
        <v>0</v>
      </c>
      <c r="Z52" t="n">
        <v>0</v>
      </c>
    </row>
    <row r="53">
      <c r="A53" t="inlineStr">
        <is>
          <t>港股</t>
        </is>
      </c>
      <c r="B53" t="inlineStr">
        <is>
          <t>00030</t>
        </is>
      </c>
      <c r="C53" t="inlineStr">
        <is>
          <t>YNBY INTL</t>
        </is>
      </c>
      <c r="D53" s="31" t="n">
        <v>46022</v>
      </c>
      <c r="E53" t="inlineStr">
        <is>
          <t>HKD</t>
        </is>
      </c>
      <c r="F53" t="inlineStr">
        <is>
          <t>HKD</t>
        </is>
      </c>
      <c r="G53" t="n">
        <v>1000927215.36202</v>
      </c>
      <c r="H53" t="n">
        <v>699095610.56208</v>
      </c>
      <c r="I53" t="n">
        <v>145598801.33851</v>
      </c>
      <c r="J53" t="n">
        <v>954592177.4901</v>
      </c>
      <c r="K53" t="n">
        <v>637963355.9220001</v>
      </c>
      <c r="L53" t="n">
        <v>142072746.39818</v>
      </c>
      <c r="M53" t="n">
        <v>4136773.79338</v>
      </c>
      <c r="N53" t="n">
        <v>16780095.75684</v>
      </c>
      <c r="O53" t="n">
        <v>-906152493.81489</v>
      </c>
      <c r="P53" t="n">
        <v>-90207776.99236</v>
      </c>
      <c r="Q53" t="n">
        <v>33148101.8616</v>
      </c>
      <c r="R53" t="n">
        <v>-3633079.87498</v>
      </c>
      <c r="S53" t="n">
        <v>2140147523</v>
      </c>
      <c r="T53" s="31" t="n">
        <v>33520</v>
      </c>
      <c r="U53" t="n">
        <v>1.25</v>
      </c>
      <c r="V53" t="n">
        <v>100000000</v>
      </c>
      <c r="W53" t="n">
        <v>125000000</v>
      </c>
      <c r="X53" t="n">
        <v>0.227</v>
      </c>
    </row>
    <row r="54">
      <c r="A54" t="inlineStr">
        <is>
          <t>A股</t>
        </is>
      </c>
      <c r="B54" t="inlineStr">
        <is>
          <t>000037</t>
        </is>
      </c>
      <c r="C54" t="inlineStr">
        <is>
          <t>深南电A</t>
        </is>
      </c>
      <c r="D54" s="31" t="n">
        <v>46022</v>
      </c>
      <c r="E54" t="inlineStr">
        <is>
          <t>CNY</t>
        </is>
      </c>
      <c r="F54" t="inlineStr">
        <is>
          <t>CNY</t>
        </is>
      </c>
      <c r="G54" t="n">
        <v>401681583.1</v>
      </c>
      <c r="H54" t="n">
        <v>442971955.85</v>
      </c>
      <c r="I54" t="n">
        <v>694227657.28</v>
      </c>
      <c r="J54" t="n">
        <v>315239698.9399791</v>
      </c>
      <c r="K54" t="n">
        <v>415446732.389833</v>
      </c>
      <c r="L54" t="n">
        <v>804679323.4798785</v>
      </c>
      <c r="M54" t="n">
        <v>161038200.4</v>
      </c>
      <c r="N54" t="n">
        <v>21908828.57</v>
      </c>
      <c r="O54" t="n">
        <v>-160163240.67</v>
      </c>
      <c r="P54" t="n">
        <v>-16801521.85</v>
      </c>
      <c r="Q54" t="n">
        <v>-37635766.05</v>
      </c>
      <c r="R54" t="n">
        <v>207168402.26</v>
      </c>
      <c r="S54" t="n">
        <v>5931183945</v>
      </c>
      <c r="T54" s="31" t="n">
        <v>34516</v>
      </c>
      <c r="U54" t="n">
        <v>4.6</v>
      </c>
      <c r="V54" t="n">
        <v>40000000</v>
      </c>
      <c r="W54" t="n">
        <v>184000000</v>
      </c>
      <c r="X54" t="n">
        <v>9.84</v>
      </c>
      <c r="Y54" t="n">
        <v>0</v>
      </c>
      <c r="Z54" t="n">
        <v>0</v>
      </c>
    </row>
    <row r="55">
      <c r="A55" t="inlineStr">
        <is>
          <t>港股</t>
        </is>
      </c>
      <c r="B55" t="inlineStr">
        <is>
          <t>00031</t>
        </is>
      </c>
      <c r="C55" t="inlineStr">
        <is>
          <t>CHINA AEROSPACE</t>
        </is>
      </c>
      <c r="D55" s="31" t="n">
        <v>46022</v>
      </c>
      <c r="E55" t="inlineStr">
        <is>
          <t>HKD</t>
        </is>
      </c>
      <c r="F55" t="inlineStr">
        <is>
          <t>HKD</t>
        </is>
      </c>
      <c r="G55" t="n">
        <v>3641176979.38</v>
      </c>
      <c r="H55" t="n">
        <v>3557356730.88</v>
      </c>
      <c r="I55" t="n">
        <v>4021083489.64</v>
      </c>
      <c r="J55" t="n">
        <v>3024121462.32</v>
      </c>
      <c r="K55" t="n">
        <v>2809251612.72</v>
      </c>
      <c r="L55" t="n">
        <v>3137544773.02</v>
      </c>
      <c r="M55" t="n">
        <v>-149509103.38</v>
      </c>
      <c r="N55" t="n">
        <v>-49364414.28</v>
      </c>
      <c r="O55" t="n">
        <v>-107119151.86</v>
      </c>
      <c r="P55" t="n">
        <v>289535299.98</v>
      </c>
      <c r="Q55" t="n">
        <v>229221755.16</v>
      </c>
      <c r="R55" t="n">
        <v>672334851.09</v>
      </c>
      <c r="S55" t="n">
        <v>1496235613</v>
      </c>
      <c r="T55" s="31" t="n">
        <v>29823</v>
      </c>
      <c r="X55" t="n">
        <v>0.485</v>
      </c>
    </row>
    <row r="56">
      <c r="A56" t="inlineStr">
        <is>
          <t>A股</t>
        </is>
      </c>
      <c r="B56" t="inlineStr">
        <is>
          <t>000039</t>
        </is>
      </c>
      <c r="C56" t="inlineStr">
        <is>
          <t>中集集团</t>
        </is>
      </c>
      <c r="D56" s="31" t="n">
        <v>46022</v>
      </c>
      <c r="E56" t="inlineStr">
        <is>
          <t>CNY</t>
        </is>
      </c>
      <c r="F56" t="inlineStr">
        <is>
          <t>CNY</t>
        </is>
      </c>
      <c r="G56" t="n">
        <v>156611446000</v>
      </c>
      <c r="H56" t="n">
        <v>177664098000</v>
      </c>
      <c r="I56" t="n">
        <v>141536654000</v>
      </c>
      <c r="J56" t="n">
        <v>137116422000.065</v>
      </c>
      <c r="K56" t="n">
        <v>155417337999.9431</v>
      </c>
      <c r="L56" t="n">
        <v>119911749999.9433</v>
      </c>
      <c r="M56" t="n">
        <v>220820000</v>
      </c>
      <c r="N56" t="n">
        <v>2972343000</v>
      </c>
      <c r="O56" t="n">
        <v>3219226000</v>
      </c>
      <c r="P56" t="n">
        <v>18514449000</v>
      </c>
      <c r="Q56" t="n">
        <v>9263870000</v>
      </c>
      <c r="R56" t="n">
        <v>14617466000</v>
      </c>
      <c r="S56" t="n">
        <v>51876046104</v>
      </c>
      <c r="T56" s="31" t="n">
        <v>34432</v>
      </c>
      <c r="U56" t="n">
        <v>8.5</v>
      </c>
      <c r="V56" t="n">
        <v>12000000</v>
      </c>
      <c r="W56" t="n">
        <v>102000000</v>
      </c>
      <c r="X56" t="n">
        <v>9.619999999999999</v>
      </c>
      <c r="Y56" t="n">
        <v>0</v>
      </c>
      <c r="Z56" t="n">
        <v>0</v>
      </c>
    </row>
    <row r="57">
      <c r="A57" t="inlineStr">
        <is>
          <t>港股</t>
        </is>
      </c>
      <c r="B57" t="inlineStr">
        <is>
          <t>00032</t>
        </is>
      </c>
      <c r="C57" t="inlineStr">
        <is>
          <t>CROSS-HAR(HOLD)</t>
        </is>
      </c>
      <c r="D57" s="31" t="n">
        <v>46022</v>
      </c>
      <c r="E57" t="inlineStr">
        <is>
          <t>HKD</t>
        </is>
      </c>
      <c r="F57" t="inlineStr">
        <is>
          <t>HKD</t>
        </is>
      </c>
      <c r="G57" t="n">
        <v>839626086.24</v>
      </c>
      <c r="H57" t="n">
        <v>904325288.04</v>
      </c>
      <c r="I57" t="n">
        <v>624985288.2</v>
      </c>
      <c r="J57" t="n">
        <v>296276934.0600001</v>
      </c>
      <c r="K57" t="n">
        <v>324959474.52</v>
      </c>
      <c r="L57" t="n">
        <v>219263840.7400001</v>
      </c>
      <c r="M57" t="n">
        <v>653510379.48</v>
      </c>
      <c r="N57" t="n">
        <v>402373640.4</v>
      </c>
      <c r="O57" t="n">
        <v>-397728467.5</v>
      </c>
      <c r="P57" t="n">
        <v>56946214.56</v>
      </c>
      <c r="Q57" t="n">
        <v>59588821.92</v>
      </c>
      <c r="R57" t="n">
        <v>128085092.03</v>
      </c>
      <c r="S57" t="n">
        <v>2832430366</v>
      </c>
      <c r="T57" s="31" t="n">
        <v>27240</v>
      </c>
      <c r="X57" t="n">
        <v>7.6</v>
      </c>
    </row>
    <row r="58">
      <c r="A58" t="inlineStr">
        <is>
          <t>A股</t>
        </is>
      </c>
      <c r="B58" t="inlineStr">
        <is>
          <t>000042</t>
        </is>
      </c>
      <c r="C58" t="inlineStr">
        <is>
          <t>中洲控股</t>
        </is>
      </c>
      <c r="D58" s="31" t="n">
        <v>46022</v>
      </c>
      <c r="E58" t="inlineStr">
        <is>
          <t>CNY</t>
        </is>
      </c>
      <c r="F58" t="inlineStr">
        <is>
          <t>CNY</t>
        </is>
      </c>
      <c r="G58" t="n">
        <v>2594482776.47</v>
      </c>
      <c r="H58" t="n">
        <v>4323648747.25</v>
      </c>
      <c r="I58" t="n">
        <v>7083041153.52</v>
      </c>
      <c r="J58" t="n">
        <v>1630808098.760781</v>
      </c>
      <c r="K58" t="n">
        <v>2775263264.130139</v>
      </c>
      <c r="L58" t="n">
        <v>4547225341.000259</v>
      </c>
      <c r="M58" t="n">
        <v>-902407022.03</v>
      </c>
      <c r="N58" t="n">
        <v>-2024703774.39</v>
      </c>
      <c r="O58" t="n">
        <v>79768111.59999999</v>
      </c>
      <c r="P58" t="n">
        <v>5440284938.63</v>
      </c>
      <c r="Q58" t="n">
        <v>5656231252.75</v>
      </c>
      <c r="R58" t="n">
        <v>978788918.66</v>
      </c>
      <c r="S58" t="n">
        <v>5777382598</v>
      </c>
      <c r="T58" s="31" t="n">
        <v>34598</v>
      </c>
      <c r="U58" t="n">
        <v>10.8</v>
      </c>
      <c r="V58" t="n">
        <v>16300000</v>
      </c>
      <c r="W58" t="n">
        <v>176040000</v>
      </c>
      <c r="X58" t="n">
        <v>8.69</v>
      </c>
      <c r="Y58" t="n">
        <v>0</v>
      </c>
      <c r="Z58" t="n">
        <v>0</v>
      </c>
    </row>
    <row r="59">
      <c r="A59" t="inlineStr">
        <is>
          <t>港股</t>
        </is>
      </c>
      <c r="B59" t="inlineStr">
        <is>
          <t>00033</t>
        </is>
      </c>
      <c r="C59" t="inlineStr">
        <is>
          <t>INTL GENIUS</t>
        </is>
      </c>
      <c r="H59" t="n">
        <v>206914595.48</v>
      </c>
      <c r="I59" t="n">
        <v>252760811.59</v>
      </c>
      <c r="K59" t="n">
        <v>194989518.6</v>
      </c>
      <c r="L59" t="n">
        <v>209294924.65</v>
      </c>
      <c r="N59" t="n">
        <v>-36498985.88</v>
      </c>
      <c r="O59" t="n">
        <v>35383486.25</v>
      </c>
      <c r="Q59" t="n">
        <v>-17921384.48</v>
      </c>
      <c r="R59" t="n">
        <v>-59863.3</v>
      </c>
      <c r="S59" t="n">
        <v>223298042</v>
      </c>
    </row>
    <row r="60">
      <c r="A60" t="inlineStr">
        <is>
          <t>A股</t>
        </is>
      </c>
      <c r="B60" t="inlineStr">
        <is>
          <t>000045</t>
        </is>
      </c>
      <c r="C60" t="inlineStr">
        <is>
          <t>深纺织Ａ</t>
        </is>
      </c>
      <c r="D60" s="31" t="n">
        <v>46022</v>
      </c>
      <c r="E60" t="inlineStr">
        <is>
          <t>CNY</t>
        </is>
      </c>
      <c r="F60" t="inlineStr">
        <is>
          <t>CNY</t>
        </is>
      </c>
      <c r="G60" t="n">
        <v>3241380430.62</v>
      </c>
      <c r="H60" t="n">
        <v>3335283008.68</v>
      </c>
      <c r="I60" t="n">
        <v>2837988264.36</v>
      </c>
      <c r="J60" t="n">
        <v>2756367676.811153</v>
      </c>
      <c r="K60" t="n">
        <v>2795859934.82083</v>
      </c>
      <c r="L60" t="n">
        <v>2374005896.429483</v>
      </c>
      <c r="M60" t="n">
        <v>68418663.02</v>
      </c>
      <c r="N60" t="n">
        <v>89371134.23999999</v>
      </c>
      <c r="O60" t="n">
        <v>73309182.94</v>
      </c>
      <c r="P60" t="n">
        <v>347793597.26</v>
      </c>
      <c r="Q60" t="n">
        <v>231264525.09</v>
      </c>
      <c r="R60" t="n">
        <v>490238550.6</v>
      </c>
      <c r="S60" t="n">
        <v>5632522961</v>
      </c>
      <c r="T60" s="31" t="n">
        <v>34561</v>
      </c>
      <c r="U60" t="n">
        <v>3.9</v>
      </c>
      <c r="V60" t="n">
        <v>16800000</v>
      </c>
      <c r="W60" t="n">
        <v>65520000</v>
      </c>
      <c r="X60" t="n">
        <v>11.12</v>
      </c>
      <c r="Y60" t="n">
        <v>0</v>
      </c>
      <c r="Z60" t="n">
        <v>0</v>
      </c>
    </row>
    <row r="61">
      <c r="A61" t="inlineStr">
        <is>
          <t>港股</t>
        </is>
      </c>
      <c r="B61" t="inlineStr">
        <is>
          <t>00034</t>
        </is>
      </c>
      <c r="C61" t="inlineStr">
        <is>
          <t>KOWLOON DEV</t>
        </is>
      </c>
      <c r="D61" s="31" t="n">
        <v>46022</v>
      </c>
      <c r="E61" t="inlineStr">
        <is>
          <t>HKD</t>
        </is>
      </c>
      <c r="F61" t="inlineStr">
        <is>
          <t>HKD</t>
        </is>
      </c>
      <c r="G61" t="n">
        <v>4473940400.06</v>
      </c>
      <c r="H61" t="n">
        <v>4991212989.84</v>
      </c>
      <c r="I61" t="n">
        <v>4092878279.35</v>
      </c>
      <c r="J61" t="n">
        <v>2056267942.340001</v>
      </c>
      <c r="K61" t="n">
        <v>3075347354.64</v>
      </c>
      <c r="L61" t="n">
        <v>1468763663.85</v>
      </c>
      <c r="M61" t="n">
        <v>117937951.5</v>
      </c>
      <c r="N61" t="n">
        <v>107107638.48</v>
      </c>
      <c r="O61" t="n">
        <v>1085264094.18</v>
      </c>
      <c r="P61" t="n">
        <v>1317791657.46</v>
      </c>
      <c r="Q61" t="n">
        <v>1628470973.28</v>
      </c>
      <c r="R61" t="n">
        <v>-4900963372.34</v>
      </c>
      <c r="S61" t="n">
        <v>6243664957</v>
      </c>
      <c r="T61" s="31" t="n">
        <v>34884</v>
      </c>
      <c r="X61" t="n">
        <v>4.78</v>
      </c>
    </row>
    <row r="62">
      <c r="A62" t="inlineStr">
        <is>
          <t>A股</t>
        </is>
      </c>
      <c r="B62" t="inlineStr">
        <is>
          <t>000048</t>
        </is>
      </c>
      <c r="C62" t="inlineStr">
        <is>
          <t>京基智农</t>
        </is>
      </c>
      <c r="D62" s="31" t="n">
        <v>46022</v>
      </c>
      <c r="E62" t="inlineStr">
        <is>
          <t>CNY</t>
        </is>
      </c>
      <c r="F62" t="inlineStr">
        <is>
          <t>CNY</t>
        </is>
      </c>
      <c r="G62" t="n">
        <v>4871819142.45</v>
      </c>
      <c r="H62" t="n">
        <v>5960479688.87</v>
      </c>
      <c r="I62" t="n">
        <v>5995656104.54</v>
      </c>
      <c r="J62" t="n">
        <v>4200481714.83768</v>
      </c>
      <c r="K62" t="n">
        <v>4288975054.208886</v>
      </c>
      <c r="L62" t="n">
        <v>3973013550.441747</v>
      </c>
      <c r="M62" t="n">
        <v>152808661.82</v>
      </c>
      <c r="N62" t="n">
        <v>713795295.65</v>
      </c>
      <c r="O62" t="n">
        <v>773073916.59</v>
      </c>
      <c r="P62" t="n">
        <v>597311894.42</v>
      </c>
      <c r="Q62" t="n">
        <v>997453274.96</v>
      </c>
      <c r="R62" t="n">
        <v>1021171817.86</v>
      </c>
      <c r="S62" t="n">
        <v>11754594968</v>
      </c>
      <c r="T62" s="31" t="n">
        <v>34639</v>
      </c>
      <c r="U62" t="n">
        <v>4.8</v>
      </c>
      <c r="V62" t="n">
        <v>21800000</v>
      </c>
      <c r="W62" t="n">
        <v>104640000</v>
      </c>
      <c r="X62" t="n">
        <v>22.17</v>
      </c>
      <c r="Y62" t="n">
        <v>0</v>
      </c>
      <c r="Z62" t="n">
        <v>0</v>
      </c>
    </row>
    <row r="63">
      <c r="A63" t="inlineStr">
        <is>
          <t>港股</t>
        </is>
      </c>
      <c r="B63" t="inlineStr">
        <is>
          <t>00035</t>
        </is>
      </c>
      <c r="C63" t="inlineStr">
        <is>
          <t>FE CONSORT INTL</t>
        </is>
      </c>
      <c r="D63" s="31" t="n">
        <v>45747</v>
      </c>
      <c r="E63" t="inlineStr">
        <is>
          <t>HKD</t>
        </is>
      </c>
      <c r="F63" t="inlineStr">
        <is>
          <t>HKD</t>
        </is>
      </c>
      <c r="G63" t="n">
        <v>8833544702.219999</v>
      </c>
      <c r="H63" t="n">
        <v>9250145197.450001</v>
      </c>
      <c r="I63" t="n">
        <v>4781419752.36</v>
      </c>
      <c r="J63" t="n">
        <v>6655063294.23</v>
      </c>
      <c r="K63" t="n">
        <v>6725623739.1</v>
      </c>
      <c r="L63" t="n">
        <v>3172345904.99</v>
      </c>
      <c r="M63" t="n">
        <v>-1176720835.26</v>
      </c>
      <c r="N63" t="n">
        <v>204970955</v>
      </c>
      <c r="O63" t="n">
        <v>1054621994.81</v>
      </c>
      <c r="P63" t="n">
        <v>4532653037.04</v>
      </c>
      <c r="Q63" t="n">
        <v>3245884144</v>
      </c>
      <c r="R63" t="n">
        <v>-400839259.47</v>
      </c>
      <c r="S63" t="n">
        <v>2018966718</v>
      </c>
      <c r="T63" s="31" t="n">
        <v>26563</v>
      </c>
      <c r="X63" t="n">
        <v>0.66</v>
      </c>
    </row>
    <row r="64">
      <c r="A64" t="inlineStr">
        <is>
          <t>A股</t>
        </is>
      </c>
      <c r="B64" t="inlineStr">
        <is>
          <t>000049</t>
        </is>
      </c>
      <c r="C64" t="inlineStr">
        <is>
          <t>德赛电池</t>
        </is>
      </c>
      <c r="D64" s="31" t="n">
        <v>46022</v>
      </c>
      <c r="E64" t="inlineStr">
        <is>
          <t>CNY</t>
        </is>
      </c>
      <c r="F64" t="inlineStr">
        <is>
          <t>CNY</t>
        </is>
      </c>
      <c r="G64" t="n">
        <v>22399427302.94</v>
      </c>
      <c r="H64" t="n">
        <v>20859251590.68</v>
      </c>
      <c r="I64" t="n">
        <v>21749126094.98</v>
      </c>
      <c r="J64" t="n">
        <v>20379412302.96188</v>
      </c>
      <c r="K64" t="n">
        <v>18695095059.53391</v>
      </c>
      <c r="L64" t="n">
        <v>19606307451.36511</v>
      </c>
      <c r="M64" t="n">
        <v>292270104.15</v>
      </c>
      <c r="N64" t="n">
        <v>413011992.42</v>
      </c>
      <c r="O64" t="n">
        <v>866209024.46</v>
      </c>
      <c r="P64" t="n">
        <v>1226211658.15</v>
      </c>
      <c r="Q64" t="n">
        <v>365595069.97</v>
      </c>
      <c r="R64" t="n">
        <v>390934137.4</v>
      </c>
      <c r="S64" t="n">
        <v>9050544705</v>
      </c>
      <c r="T64" s="31" t="n">
        <v>34778</v>
      </c>
      <c r="U64" t="n">
        <v>4.95</v>
      </c>
      <c r="V64" t="n">
        <v>14000000</v>
      </c>
      <c r="W64" t="n">
        <v>69300000</v>
      </c>
      <c r="X64" t="n">
        <v>23.53</v>
      </c>
      <c r="Y64" t="n">
        <v>0</v>
      </c>
      <c r="Z64" t="n">
        <v>0</v>
      </c>
    </row>
    <row r="65">
      <c r="A65" t="inlineStr">
        <is>
          <t>港股</t>
        </is>
      </c>
      <c r="B65" t="inlineStr">
        <is>
          <t>00036</t>
        </is>
      </c>
      <c r="C65" t="inlineStr">
        <is>
          <t>FE HLDGS INTL</t>
        </is>
      </c>
      <c r="D65" s="31" t="n">
        <v>46022</v>
      </c>
      <c r="E65" t="inlineStr">
        <is>
          <t>HKD</t>
        </is>
      </c>
      <c r="F65" t="inlineStr">
        <is>
          <t>HKD</t>
        </is>
      </c>
      <c r="G65" t="n">
        <v>10684189.38</v>
      </c>
      <c r="H65" t="n">
        <v>13124764.92</v>
      </c>
      <c r="I65" t="n">
        <v>4194795.92</v>
      </c>
      <c r="J65" t="n">
        <v>1661021.58</v>
      </c>
      <c r="K65" t="n">
        <v>2262315.720000001</v>
      </c>
      <c r="L65" t="n">
        <v>2706608.1</v>
      </c>
      <c r="M65" t="n">
        <v>-66274670.72</v>
      </c>
      <c r="N65" t="n">
        <v>-318087331.68</v>
      </c>
      <c r="O65" t="n">
        <v>-61456082.73</v>
      </c>
      <c r="P65" t="n">
        <v>6599828.54</v>
      </c>
      <c r="Q65" t="n">
        <v>7809295.32</v>
      </c>
      <c r="R65" t="n">
        <v>-1902665.1</v>
      </c>
      <c r="S65" t="n">
        <v>89852284</v>
      </c>
      <c r="T65" s="31" t="n">
        <v>26707</v>
      </c>
    </row>
    <row r="66">
      <c r="A66" t="inlineStr">
        <is>
          <t>A股</t>
        </is>
      </c>
      <c r="B66" t="inlineStr">
        <is>
          <t>000050</t>
        </is>
      </c>
      <c r="C66" t="inlineStr">
        <is>
          <t>深天马Ａ</t>
        </is>
      </c>
      <c r="D66" s="31" t="n">
        <v>46022</v>
      </c>
      <c r="E66" t="inlineStr">
        <is>
          <t>CNY</t>
        </is>
      </c>
      <c r="F66" t="inlineStr">
        <is>
          <t>CNY</t>
        </is>
      </c>
      <c r="G66" t="n">
        <v>36226540318.59</v>
      </c>
      <c r="H66" t="n">
        <v>33494295787.75</v>
      </c>
      <c r="I66" t="n">
        <v>31447476894.8</v>
      </c>
      <c r="J66" t="n">
        <v>30341845431.47295</v>
      </c>
      <c r="K66" t="n">
        <v>29046070794.74289</v>
      </c>
      <c r="L66" t="n">
        <v>27390325273.06717</v>
      </c>
      <c r="M66" t="n">
        <v>167375926.83</v>
      </c>
      <c r="N66" t="n">
        <v>-668579178.38</v>
      </c>
      <c r="O66" t="n">
        <v>111690919.2</v>
      </c>
      <c r="P66" t="n">
        <v>6988145917.28</v>
      </c>
      <c r="Q66" t="n">
        <v>5751856931.54</v>
      </c>
      <c r="R66" t="n">
        <v>3912600159.94</v>
      </c>
      <c r="S66" t="n">
        <v>16368412025</v>
      </c>
      <c r="T66" s="31" t="n">
        <v>34773</v>
      </c>
      <c r="U66" t="n">
        <v>4.5</v>
      </c>
      <c r="V66" t="n">
        <v>11000000</v>
      </c>
      <c r="W66" t="n">
        <v>49500000</v>
      </c>
      <c r="X66" t="n">
        <v>6.72</v>
      </c>
      <c r="Y66" t="n">
        <v>0</v>
      </c>
      <c r="Z66" t="n">
        <v>0</v>
      </c>
    </row>
    <row r="67">
      <c r="A67" t="inlineStr">
        <is>
          <t>港股</t>
        </is>
      </c>
      <c r="B67" t="inlineStr">
        <is>
          <t>00037</t>
        </is>
      </c>
      <c r="C67" t="inlineStr">
        <is>
          <t>FE HOTELS</t>
        </is>
      </c>
      <c r="D67" s="31" t="n">
        <v>45747</v>
      </c>
      <c r="E67" t="inlineStr">
        <is>
          <t>HKD</t>
        </is>
      </c>
      <c r="F67" t="inlineStr">
        <is>
          <t>HKD</t>
        </is>
      </c>
      <c r="G67" t="n">
        <v>17105073.01482</v>
      </c>
      <c r="H67" t="n">
        <v>21277168.17675</v>
      </c>
      <c r="I67" t="n">
        <v>41418407.21756</v>
      </c>
      <c r="J67" t="n">
        <v>13189426.88427</v>
      </c>
      <c r="K67" t="n">
        <v>15052286.39565</v>
      </c>
      <c r="L67" t="n">
        <v>21407990.10003</v>
      </c>
      <c r="M67" t="n">
        <v>-32630200.16286</v>
      </c>
      <c r="N67" t="n">
        <v>-29931767.13685</v>
      </c>
      <c r="O67" t="n">
        <v>43780139.70644</v>
      </c>
      <c r="P67" t="n">
        <v>-8968475.367839999</v>
      </c>
      <c r="Q67" t="n">
        <v>-15687860.4417</v>
      </c>
      <c r="R67" t="n">
        <v>2979383.1067</v>
      </c>
      <c r="S67" t="n">
        <v>372502256</v>
      </c>
      <c r="T67" s="31" t="n">
        <v>29039</v>
      </c>
      <c r="X67" t="n">
        <v>0.495</v>
      </c>
    </row>
    <row r="68">
      <c r="A68" t="inlineStr">
        <is>
          <t>A股</t>
        </is>
      </c>
      <c r="B68" t="inlineStr">
        <is>
          <t>000055</t>
        </is>
      </c>
      <c r="C68" t="inlineStr">
        <is>
          <t>方大集团</t>
        </is>
      </c>
      <c r="D68" s="31" t="n">
        <v>46022</v>
      </c>
      <c r="E68" t="inlineStr">
        <is>
          <t>CNY</t>
        </is>
      </c>
      <c r="F68" t="inlineStr">
        <is>
          <t>CNY</t>
        </is>
      </c>
      <c r="G68" t="n">
        <v>3377303066.44</v>
      </c>
      <c r="H68" t="n">
        <v>4424224197.71</v>
      </c>
      <c r="I68" t="n">
        <v>3846975948.44</v>
      </c>
      <c r="J68" t="n">
        <v>2921536952.528957</v>
      </c>
      <c r="K68" t="n">
        <v>3588142296.480403</v>
      </c>
      <c r="L68" t="n">
        <v>2917753967.520224</v>
      </c>
      <c r="M68" t="n">
        <v>-515466884.24</v>
      </c>
      <c r="N68" t="n">
        <v>144813705.53</v>
      </c>
      <c r="O68" t="n">
        <v>282933854.32</v>
      </c>
      <c r="P68" t="n">
        <v>187412899.87</v>
      </c>
      <c r="Q68" t="n">
        <v>270894093.43</v>
      </c>
      <c r="R68" t="n">
        <v>221211632.3</v>
      </c>
      <c r="S68" t="n">
        <v>3876685959</v>
      </c>
      <c r="T68" s="31" t="n">
        <v>35170</v>
      </c>
      <c r="U68" t="n">
        <v>5.18</v>
      </c>
      <c r="V68" t="n">
        <v>20000000</v>
      </c>
      <c r="W68" t="n">
        <v>103600000</v>
      </c>
      <c r="X68" t="n">
        <v>3.61</v>
      </c>
      <c r="Y68" t="n">
        <v>0</v>
      </c>
      <c r="Z68" t="n">
        <v>0</v>
      </c>
    </row>
    <row r="69">
      <c r="A69" t="inlineStr">
        <is>
          <t>港股</t>
        </is>
      </c>
      <c r="B69" t="inlineStr">
        <is>
          <t>00038</t>
        </is>
      </c>
      <c r="C69" t="inlineStr">
        <is>
          <t>FIRST TRACTOR</t>
        </is>
      </c>
      <c r="D69" s="31" t="n">
        <v>46022</v>
      </c>
      <c r="E69" t="inlineStr">
        <is>
          <t>HKD</t>
        </is>
      </c>
      <c r="F69" t="inlineStr">
        <is>
          <t>HKD</t>
        </is>
      </c>
      <c r="G69" t="n">
        <v>10822591178.94</v>
      </c>
      <c r="H69" t="n">
        <v>11904370911.94</v>
      </c>
      <c r="I69" t="n">
        <v>12455465114.62</v>
      </c>
      <c r="J69" t="n">
        <v>9183170444.950001</v>
      </c>
      <c r="K69" t="n">
        <v>10145221753.22</v>
      </c>
      <c r="L69" t="n">
        <v>10497058564.32</v>
      </c>
      <c r="M69" t="n">
        <v>811953460.29</v>
      </c>
      <c r="N69" t="n">
        <v>922023211.45</v>
      </c>
      <c r="O69" t="n">
        <v>681050957.24</v>
      </c>
      <c r="P69" t="n">
        <v>915718981.9299999</v>
      </c>
      <c r="Q69" t="n">
        <v>1216115552.21</v>
      </c>
      <c r="R69" t="n">
        <v>3602007317.35</v>
      </c>
      <c r="S69" t="n">
        <v>10517319774</v>
      </c>
      <c r="T69" s="31" t="n">
        <v>35604</v>
      </c>
      <c r="U69" t="n">
        <v>4.5</v>
      </c>
      <c r="V69" t="n">
        <v>335000000</v>
      </c>
      <c r="W69" t="n">
        <v>1507500000</v>
      </c>
      <c r="X69" t="n">
        <v>9.359999999999999</v>
      </c>
    </row>
    <row r="70">
      <c r="A70" t="inlineStr">
        <is>
          <t>A股</t>
        </is>
      </c>
      <c r="B70" t="inlineStr">
        <is>
          <t>000056</t>
        </is>
      </c>
      <c r="C70" t="inlineStr">
        <is>
          <t>*ST皇庭</t>
        </is>
      </c>
      <c r="D70" s="31" t="n">
        <v>46022</v>
      </c>
      <c r="E70" t="inlineStr">
        <is>
          <t>CNY</t>
        </is>
      </c>
      <c r="F70" t="inlineStr">
        <is>
          <t>CNY</t>
        </is>
      </c>
      <c r="G70" t="n">
        <v>3360179115.05</v>
      </c>
      <c r="H70" t="n">
        <v>657815797.49</v>
      </c>
      <c r="I70" t="n">
        <v>663174655.33</v>
      </c>
      <c r="J70" t="n">
        <v>2507359702.5789</v>
      </c>
      <c r="K70" t="n">
        <v>272664776.9599261</v>
      </c>
      <c r="L70" t="n">
        <v>211606045.9796855</v>
      </c>
      <c r="M70" t="n">
        <v>-2729683196.27</v>
      </c>
      <c r="N70" t="n">
        <v>-640428436.96</v>
      </c>
      <c r="O70" t="n">
        <v>-1228081041.93</v>
      </c>
      <c r="P70" t="n">
        <v>152344034.47</v>
      </c>
      <c r="Q70" t="n">
        <v>334830995.84</v>
      </c>
      <c r="R70" t="n">
        <v>385287928.13</v>
      </c>
      <c r="S70" t="n">
        <v>2459658698</v>
      </c>
      <c r="T70" s="31" t="n">
        <v>35254</v>
      </c>
      <c r="U70" t="n">
        <v>4.78</v>
      </c>
      <c r="V70" t="n">
        <v>20000000</v>
      </c>
      <c r="W70" t="n">
        <v>95600000</v>
      </c>
      <c r="X70" t="n">
        <v>2.08</v>
      </c>
      <c r="Y70" t="n">
        <v>0</v>
      </c>
      <c r="Z70" t="n">
        <v>0</v>
      </c>
    </row>
    <row r="71">
      <c r="A71" t="inlineStr">
        <is>
          <t>港股</t>
        </is>
      </c>
      <c r="B71" t="inlineStr">
        <is>
          <t>00039</t>
        </is>
      </c>
      <c r="C71" t="inlineStr">
        <is>
          <t>CH BEIDAHUANG</t>
        </is>
      </c>
      <c r="H71" t="n">
        <v>168617993.4</v>
      </c>
      <c r="I71" t="n">
        <v>830987642.52</v>
      </c>
      <c r="K71" t="n">
        <v>129114053.04</v>
      </c>
      <c r="L71" t="n">
        <v>710209499.0899999</v>
      </c>
      <c r="N71" t="n">
        <v>-273930040.32</v>
      </c>
      <c r="O71" t="n">
        <v>-195134831.5</v>
      </c>
      <c r="Q71" t="n">
        <v>-119207277.12</v>
      </c>
      <c r="R71" t="n">
        <v>231057684.55</v>
      </c>
      <c r="S71" t="n">
        <v>361690768</v>
      </c>
    </row>
    <row r="72">
      <c r="A72" t="inlineStr">
        <is>
          <t>A股</t>
        </is>
      </c>
      <c r="B72" t="inlineStr">
        <is>
          <t>000058</t>
        </is>
      </c>
      <c r="C72" t="inlineStr">
        <is>
          <t>深赛格</t>
        </is>
      </c>
      <c r="D72" s="31" t="n">
        <v>46022</v>
      </c>
      <c r="E72" t="inlineStr">
        <is>
          <t>CNY</t>
        </is>
      </c>
      <c r="F72" t="inlineStr">
        <is>
          <t>CNY</t>
        </is>
      </c>
      <c r="G72" t="n">
        <v>1687654147.69</v>
      </c>
      <c r="H72" t="n">
        <v>1767139190.28</v>
      </c>
      <c r="I72" t="n">
        <v>1828803853.48</v>
      </c>
      <c r="J72" t="n">
        <v>1233813641.050027</v>
      </c>
      <c r="K72" t="n">
        <v>1312107549.030744</v>
      </c>
      <c r="L72" t="n">
        <v>1543095927.349263</v>
      </c>
      <c r="M72" t="n">
        <v>69394739.7</v>
      </c>
      <c r="N72" t="n">
        <v>45205937.86</v>
      </c>
      <c r="O72" t="n">
        <v>15776322.05</v>
      </c>
      <c r="P72" t="n">
        <v>297224389.69</v>
      </c>
      <c r="Q72" t="n">
        <v>256729989.46</v>
      </c>
      <c r="R72" t="n">
        <v>222483347.29</v>
      </c>
      <c r="S72" t="n">
        <v>8840020825</v>
      </c>
      <c r="T72" s="31" t="n">
        <v>35425</v>
      </c>
      <c r="U72" t="n">
        <v>6.8</v>
      </c>
      <c r="V72" t="n">
        <v>25000000</v>
      </c>
      <c r="W72" t="n">
        <v>170000000</v>
      </c>
      <c r="X72" t="n">
        <v>7.18</v>
      </c>
      <c r="Y72" t="n">
        <v>0</v>
      </c>
      <c r="Z72" t="n">
        <v>0</v>
      </c>
    </row>
    <row r="73">
      <c r="A73" t="inlineStr">
        <is>
          <t>港股</t>
        </is>
      </c>
      <c r="B73" t="inlineStr">
        <is>
          <t>00040</t>
        </is>
      </c>
      <c r="C73" t="inlineStr">
        <is>
          <t>GOLD PEAK</t>
        </is>
      </c>
      <c r="D73" s="31" t="n">
        <v>45747</v>
      </c>
      <c r="E73" t="inlineStr">
        <is>
          <t>HKD</t>
        </is>
      </c>
      <c r="F73" t="inlineStr">
        <is>
          <t>HKD</t>
        </is>
      </c>
      <c r="G73" t="n">
        <v>6322581487.68</v>
      </c>
      <c r="H73" t="n">
        <v>5871185859.3</v>
      </c>
      <c r="I73" t="n">
        <v>5727044436.2</v>
      </c>
      <c r="J73" t="n">
        <v>4462110066.18</v>
      </c>
      <c r="K73" t="n">
        <v>4199812260.1</v>
      </c>
      <c r="L73" t="n">
        <v>4241055954.51</v>
      </c>
      <c r="M73" t="n">
        <v>28034652.57</v>
      </c>
      <c r="N73" t="n">
        <v>-333002104.95</v>
      </c>
      <c r="O73" t="n">
        <v>127249902.03</v>
      </c>
      <c r="P73" t="n">
        <v>602046909.36</v>
      </c>
      <c r="Q73" t="n">
        <v>431947504.7</v>
      </c>
      <c r="R73" t="n">
        <v>-46524399.66</v>
      </c>
      <c r="S73" t="n">
        <v>622716796</v>
      </c>
      <c r="T73" s="31" t="n">
        <v>30865</v>
      </c>
      <c r="X73" t="n">
        <v>0.6899999999999999</v>
      </c>
    </row>
    <row r="74">
      <c r="A74" t="inlineStr">
        <is>
          <t>A股</t>
        </is>
      </c>
      <c r="B74" t="inlineStr">
        <is>
          <t>000059</t>
        </is>
      </c>
      <c r="C74" t="inlineStr">
        <is>
          <t>华锦股份</t>
        </is>
      </c>
      <c r="D74" s="31" t="n">
        <v>46022</v>
      </c>
      <c r="E74" t="inlineStr">
        <is>
          <t>CNY</t>
        </is>
      </c>
      <c r="F74" t="inlineStr">
        <is>
          <t>CNY</t>
        </is>
      </c>
      <c r="G74" t="n">
        <v>41756479557.71</v>
      </c>
      <c r="H74" t="n">
        <v>34596123962.95</v>
      </c>
      <c r="I74" t="n">
        <v>49062144367.8</v>
      </c>
      <c r="J74" t="n">
        <v>36702860468.18579</v>
      </c>
      <c r="K74" t="n">
        <v>32002084365.59535</v>
      </c>
      <c r="L74" t="n">
        <v>40950057521.23649</v>
      </c>
      <c r="M74" t="n">
        <v>-1763294889.03</v>
      </c>
      <c r="N74" t="n">
        <v>-2794763928.73</v>
      </c>
      <c r="O74" t="n">
        <v>529199044.17</v>
      </c>
      <c r="P74" t="n">
        <v>-2567271889.58</v>
      </c>
      <c r="Q74" t="n">
        <v>459656992.97</v>
      </c>
      <c r="R74" t="n">
        <v>1754225728.18</v>
      </c>
      <c r="S74" t="n">
        <v>8908894931</v>
      </c>
      <c r="T74" s="31" t="n">
        <v>35460</v>
      </c>
      <c r="U74" t="n">
        <v>5.38</v>
      </c>
      <c r="V74" t="n">
        <v>130000000</v>
      </c>
      <c r="W74" t="n">
        <v>699400000</v>
      </c>
      <c r="X74" t="n">
        <v>5.57</v>
      </c>
      <c r="Y74" t="n">
        <v>0</v>
      </c>
      <c r="Z74" t="n">
        <v>0</v>
      </c>
    </row>
    <row r="75">
      <c r="A75" t="inlineStr">
        <is>
          <t>港股</t>
        </is>
      </c>
      <c r="B75" t="inlineStr">
        <is>
          <t>00041</t>
        </is>
      </c>
      <c r="C75" t="inlineStr">
        <is>
          <t>GREAT EAGLE H</t>
        </is>
      </c>
      <c r="D75" s="31" t="n">
        <v>46022</v>
      </c>
      <c r="E75" t="inlineStr">
        <is>
          <t>HKD</t>
        </is>
      </c>
      <c r="F75" t="inlineStr">
        <is>
          <t>HKD</t>
        </is>
      </c>
      <c r="G75" t="n">
        <v>17755624307.58</v>
      </c>
      <c r="H75" t="n">
        <v>10073964107.64</v>
      </c>
      <c r="I75" t="n">
        <v>7936553880.64</v>
      </c>
      <c r="J75" t="n">
        <v>14179892842.96</v>
      </c>
      <c r="K75" t="n">
        <v>6179344534.799999</v>
      </c>
      <c r="L75" t="n">
        <v>4669370619.06</v>
      </c>
      <c r="M75" t="n">
        <v>-1494236587.68</v>
      </c>
      <c r="N75" t="n">
        <v>-1605946902.36</v>
      </c>
      <c r="O75" t="n">
        <v>-162042751.08</v>
      </c>
      <c r="P75" t="n">
        <v>6830929118.86</v>
      </c>
      <c r="Q75" t="n">
        <v>5223880539.84</v>
      </c>
      <c r="R75" t="n">
        <v>2240648990.09</v>
      </c>
      <c r="S75" t="n">
        <v>11171399341</v>
      </c>
      <c r="T75" s="31" t="n">
        <v>26598</v>
      </c>
      <c r="X75" t="n">
        <v>14.9</v>
      </c>
    </row>
    <row r="76">
      <c r="A76" t="inlineStr">
        <is>
          <t>A股</t>
        </is>
      </c>
      <c r="B76" t="inlineStr">
        <is>
          <t>000060</t>
        </is>
      </c>
      <c r="C76" t="inlineStr">
        <is>
          <t>中金岭南</t>
        </is>
      </c>
      <c r="D76" s="31" t="n">
        <v>46022</v>
      </c>
      <c r="E76" t="inlineStr">
        <is>
          <t>CNY</t>
        </is>
      </c>
      <c r="F76" t="inlineStr">
        <is>
          <t>CNY</t>
        </is>
      </c>
      <c r="G76" t="n">
        <v>60543580352.45</v>
      </c>
      <c r="H76" t="n">
        <v>56479945220.29</v>
      </c>
      <c r="I76" t="n">
        <v>55437255672.57</v>
      </c>
      <c r="J76" t="n">
        <v>56603433761.5164</v>
      </c>
      <c r="K76" t="n">
        <v>52850664560.36069</v>
      </c>
      <c r="L76" t="n">
        <v>52603209331.37414</v>
      </c>
      <c r="M76" t="n">
        <v>801756079.53</v>
      </c>
      <c r="N76" t="n">
        <v>1081867493.96</v>
      </c>
      <c r="O76" t="n">
        <v>1212289355.25</v>
      </c>
      <c r="P76" t="n">
        <v>2409708434.66</v>
      </c>
      <c r="Q76" t="n">
        <v>784510200.58</v>
      </c>
      <c r="R76" t="n">
        <v>1080793454.45</v>
      </c>
      <c r="S76" t="n">
        <v>30777325134</v>
      </c>
      <c r="T76" s="31" t="n">
        <v>35453</v>
      </c>
      <c r="U76" t="n">
        <v>8</v>
      </c>
      <c r="V76" t="n">
        <v>20000000</v>
      </c>
      <c r="W76" t="n">
        <v>160000000</v>
      </c>
      <c r="X76" t="n">
        <v>6.93</v>
      </c>
      <c r="Y76" t="n">
        <v>0</v>
      </c>
      <c r="Z76" t="n">
        <v>0</v>
      </c>
    </row>
    <row r="77">
      <c r="A77" t="inlineStr">
        <is>
          <t>港股</t>
        </is>
      </c>
      <c r="B77" t="inlineStr">
        <is>
          <t>00042</t>
        </is>
      </c>
      <c r="C77" t="inlineStr">
        <is>
          <t>NE ELECTRIC</t>
        </is>
      </c>
      <c r="D77" s="31" t="n">
        <v>46022</v>
      </c>
      <c r="E77" t="inlineStr">
        <is>
          <t>HKD</t>
        </is>
      </c>
      <c r="F77" t="inlineStr">
        <is>
          <t>HKD</t>
        </is>
      </c>
      <c r="G77" t="n">
        <v>164170000</v>
      </c>
      <c r="H77" t="n">
        <v>156441000</v>
      </c>
      <c r="I77" t="n">
        <v>161003000</v>
      </c>
      <c r="J77" t="n">
        <v>113928000</v>
      </c>
      <c r="K77" t="n">
        <v>110359000</v>
      </c>
      <c r="L77" t="n">
        <v>68784000</v>
      </c>
      <c r="M77" t="n">
        <v>-82696000</v>
      </c>
      <c r="N77" t="n">
        <v>-10111000</v>
      </c>
      <c r="O77" t="n">
        <v>-25142000</v>
      </c>
      <c r="P77" t="n">
        <v>-16760000</v>
      </c>
      <c r="Q77" t="n">
        <v>-5599000</v>
      </c>
      <c r="R77" t="n">
        <v>9314000</v>
      </c>
      <c r="S77" t="n">
        <v>198254990</v>
      </c>
      <c r="T77" s="31" t="n">
        <v>34886</v>
      </c>
      <c r="U77" t="n">
        <v>1.8</v>
      </c>
      <c r="V77" t="n">
        <v>257950000</v>
      </c>
      <c r="W77" t="n">
        <v>464310000</v>
      </c>
      <c r="X77" t="n">
        <v>0.227</v>
      </c>
    </row>
    <row r="78">
      <c r="A78" t="inlineStr">
        <is>
          <t>A股</t>
        </is>
      </c>
      <c r="B78" t="inlineStr">
        <is>
          <t>000061</t>
        </is>
      </c>
      <c r="C78" t="inlineStr">
        <is>
          <t>农产品</t>
        </is>
      </c>
      <c r="D78" s="31" t="n">
        <v>46022</v>
      </c>
      <c r="E78" t="inlineStr">
        <is>
          <t>CNY</t>
        </is>
      </c>
      <c r="F78" t="inlineStr">
        <is>
          <t>CNY</t>
        </is>
      </c>
      <c r="G78" t="n">
        <v>6528350316.11</v>
      </c>
      <c r="H78" t="n">
        <v>5756144465.11</v>
      </c>
      <c r="I78" t="n">
        <v>4353580540.51</v>
      </c>
      <c r="J78" t="n">
        <v>5073547220.200267</v>
      </c>
      <c r="K78" t="n">
        <v>4248236021.427856</v>
      </c>
      <c r="L78" t="n">
        <v>3148238915.058112</v>
      </c>
      <c r="M78" t="n">
        <v>372470153.54</v>
      </c>
      <c r="N78" t="n">
        <v>385673796.12</v>
      </c>
      <c r="O78" t="n">
        <v>202305342.32</v>
      </c>
      <c r="P78" t="n">
        <v>907421666.37</v>
      </c>
      <c r="Q78" t="n">
        <v>507095141.82</v>
      </c>
      <c r="R78" t="n">
        <v>856248895.12</v>
      </c>
      <c r="S78" t="n">
        <v>12783150115</v>
      </c>
      <c r="T78" s="31" t="n">
        <v>35440</v>
      </c>
      <c r="U78" t="n">
        <v>8.380000000000001</v>
      </c>
      <c r="V78" t="n">
        <v>19000000</v>
      </c>
      <c r="W78" t="n">
        <v>159220000</v>
      </c>
      <c r="X78" t="n">
        <v>6.44</v>
      </c>
      <c r="Y78" t="n">
        <v>0</v>
      </c>
      <c r="Z78" t="n">
        <v>0</v>
      </c>
    </row>
    <row r="79">
      <c r="A79" t="inlineStr">
        <is>
          <t>港股</t>
        </is>
      </c>
      <c r="B79" t="inlineStr">
        <is>
          <t>00045</t>
        </is>
      </c>
      <c r="C79" t="inlineStr">
        <is>
          <t>HK&amp;S HOTELS</t>
        </is>
      </c>
      <c r="D79" s="31" t="n">
        <v>46022</v>
      </c>
      <c r="E79" t="inlineStr">
        <is>
          <t>HKD</t>
        </is>
      </c>
      <c r="F79" t="inlineStr">
        <is>
          <t>HKD</t>
        </is>
      </c>
      <c r="G79" t="n">
        <v>7205889160</v>
      </c>
      <c r="H79" t="n">
        <v>9528951600</v>
      </c>
      <c r="I79" t="n">
        <v>3749947460</v>
      </c>
      <c r="J79" t="n">
        <v>810188340</v>
      </c>
      <c r="K79" t="n">
        <v>3329113800</v>
      </c>
      <c r="L79" t="n">
        <v>314431040</v>
      </c>
      <c r="M79" t="n">
        <v>289030400</v>
      </c>
      <c r="N79" t="n">
        <v>-873255720</v>
      </c>
      <c r="O79" t="n">
        <v>-435915760</v>
      </c>
      <c r="P79" t="n">
        <v>1700763260</v>
      </c>
      <c r="Q79" t="n">
        <v>4066241640</v>
      </c>
      <c r="R79" t="n">
        <v>372493590</v>
      </c>
      <c r="S79" t="n">
        <v>9201507972</v>
      </c>
      <c r="T79" s="31" t="n">
        <v>7672</v>
      </c>
      <c r="X79" t="n">
        <v>5.52</v>
      </c>
    </row>
    <row r="80">
      <c r="A80" t="inlineStr">
        <is>
          <t>A股</t>
        </is>
      </c>
      <c r="B80" t="inlineStr">
        <is>
          <t>000062</t>
        </is>
      </c>
      <c r="C80" t="inlineStr">
        <is>
          <t>深圳华强</t>
        </is>
      </c>
      <c r="D80" s="31" t="n">
        <v>46022</v>
      </c>
      <c r="E80" t="inlineStr">
        <is>
          <t>CNY</t>
        </is>
      </c>
      <c r="F80" t="inlineStr">
        <is>
          <t>CNY</t>
        </is>
      </c>
      <c r="G80" t="n">
        <v>24908894154.62</v>
      </c>
      <c r="H80" t="n">
        <v>21953724057.41</v>
      </c>
      <c r="I80" t="n">
        <v>23941299880.97</v>
      </c>
      <c r="J80" t="n">
        <v>22866688914.72034</v>
      </c>
      <c r="K80" t="n">
        <v>20103475044.04053</v>
      </c>
      <c r="L80" t="n">
        <v>21366167369.88136</v>
      </c>
      <c r="M80" t="n">
        <v>462938895.43</v>
      </c>
      <c r="N80" t="n">
        <v>212965894.74</v>
      </c>
      <c r="O80" t="n">
        <v>952451389.6</v>
      </c>
      <c r="P80" t="n">
        <v>-990401922.16</v>
      </c>
      <c r="Q80" t="n">
        <v>1442202098.11</v>
      </c>
      <c r="R80" t="n">
        <v>2275825644.74</v>
      </c>
      <c r="S80" t="n">
        <v>25990846652</v>
      </c>
      <c r="T80" s="31" t="n">
        <v>35460</v>
      </c>
      <c r="U80" t="n">
        <v>11.4</v>
      </c>
      <c r="V80" t="n">
        <v>18000000</v>
      </c>
      <c r="W80" t="n">
        <v>205200000</v>
      </c>
      <c r="X80" t="n">
        <v>24.85</v>
      </c>
      <c r="Y80" t="n">
        <v>0</v>
      </c>
      <c r="Z80" t="n">
        <v>0</v>
      </c>
    </row>
    <row r="81">
      <c r="A81" t="inlineStr">
        <is>
          <t>港股</t>
        </is>
      </c>
      <c r="B81" t="inlineStr">
        <is>
          <t>00046</t>
        </is>
      </c>
      <c r="C81" t="inlineStr">
        <is>
          <t>COMPUTER &amp; TECH</t>
        </is>
      </c>
      <c r="D81" s="31" t="n">
        <v>46022</v>
      </c>
      <c r="E81" t="inlineStr">
        <is>
          <t>HKD</t>
        </is>
      </c>
      <c r="F81" t="inlineStr">
        <is>
          <t>HKD</t>
        </is>
      </c>
      <c r="G81" t="n">
        <v>217938857.02</v>
      </c>
      <c r="H81" t="n">
        <v>241766819.04</v>
      </c>
      <c r="I81" t="n">
        <v>240038621.13</v>
      </c>
      <c r="J81" t="n">
        <v>91362509.44000001</v>
      </c>
      <c r="K81" t="n">
        <v>109170855.6</v>
      </c>
      <c r="L81" t="n">
        <v>110514471.13</v>
      </c>
      <c r="M81" t="n">
        <v>16658989.68</v>
      </c>
      <c r="N81" t="n">
        <v>26915352.6</v>
      </c>
      <c r="O81" t="n">
        <v>41993515.97</v>
      </c>
      <c r="P81" t="n">
        <v>32909723.92</v>
      </c>
      <c r="Q81" t="n">
        <v>40776319.32</v>
      </c>
      <c r="R81" t="n">
        <v>54166106.26</v>
      </c>
      <c r="S81" t="n">
        <v>317634699</v>
      </c>
      <c r="T81" s="31" t="n">
        <v>35933</v>
      </c>
      <c r="U81" t="n">
        <v>1.08</v>
      </c>
      <c r="V81" t="n">
        <v>55000000</v>
      </c>
      <c r="W81" t="n">
        <v>59400000.00000001</v>
      </c>
      <c r="X81" t="n">
        <v>1.3</v>
      </c>
    </row>
    <row r="82">
      <c r="A82" t="inlineStr">
        <is>
          <t>A股</t>
        </is>
      </c>
      <c r="B82" t="inlineStr">
        <is>
          <t>000063</t>
        </is>
      </c>
      <c r="C82" t="inlineStr">
        <is>
          <t>中兴通讯</t>
        </is>
      </c>
      <c r="D82" s="31" t="n">
        <v>46022</v>
      </c>
      <c r="E82" t="inlineStr">
        <is>
          <t>CNY</t>
        </is>
      </c>
      <c r="F82" t="inlineStr">
        <is>
          <t>CNY</t>
        </is>
      </c>
      <c r="G82" t="n">
        <v>133895460000</v>
      </c>
      <c r="H82" t="n">
        <v>121298752000</v>
      </c>
      <c r="I82" t="n">
        <v>122954418000</v>
      </c>
      <c r="J82" t="n">
        <v>93391317999.93547</v>
      </c>
      <c r="K82" t="n">
        <v>75311066000.01469</v>
      </c>
      <c r="L82" t="n">
        <v>77227568999.97691</v>
      </c>
      <c r="M82" t="n">
        <v>5617745000</v>
      </c>
      <c r="N82" t="n">
        <v>8424792000</v>
      </c>
      <c r="O82" t="n">
        <v>8080295000</v>
      </c>
      <c r="P82" t="n">
        <v>3918746000</v>
      </c>
      <c r="Q82" t="n">
        <v>11479844000</v>
      </c>
      <c r="R82" t="n">
        <v>7577700000</v>
      </c>
      <c r="S82" t="n">
        <v>160870278250</v>
      </c>
      <c r="T82" s="31" t="n">
        <v>35752</v>
      </c>
      <c r="U82" t="n">
        <v>6.81</v>
      </c>
      <c r="V82" t="n">
        <v>65000000</v>
      </c>
      <c r="W82" t="n">
        <v>442650000</v>
      </c>
      <c r="X82" t="n">
        <v>33.63</v>
      </c>
      <c r="Y82" t="n">
        <v>0</v>
      </c>
      <c r="Z82" t="n">
        <v>0</v>
      </c>
    </row>
    <row r="83">
      <c r="A83" t="inlineStr">
        <is>
          <t>港股</t>
        </is>
      </c>
      <c r="B83" t="inlineStr">
        <is>
          <t>00048</t>
        </is>
      </c>
      <c r="C83" t="inlineStr">
        <is>
          <t>C AUTO INT DECO</t>
        </is>
      </c>
      <c r="D83" s="31" t="n">
        <v>46022</v>
      </c>
      <c r="E83" t="inlineStr">
        <is>
          <t>HKD</t>
        </is>
      </c>
      <c r="F83" t="inlineStr">
        <is>
          <t>HKD</t>
        </is>
      </c>
      <c r="G83" t="n">
        <v>102028000</v>
      </c>
      <c r="H83" t="n">
        <v>128552000</v>
      </c>
      <c r="I83" t="n">
        <v>184036000</v>
      </c>
      <c r="J83" t="n">
        <v>91561000</v>
      </c>
      <c r="K83" t="n">
        <v>107511000</v>
      </c>
      <c r="L83" t="n">
        <v>164550000</v>
      </c>
      <c r="M83" t="n">
        <v>-20774000</v>
      </c>
      <c r="N83" t="n">
        <v>27379000</v>
      </c>
      <c r="O83" t="n">
        <v>-78558000</v>
      </c>
      <c r="P83" t="n">
        <v>-11786000</v>
      </c>
      <c r="Q83" t="n">
        <v>22078000</v>
      </c>
      <c r="R83" t="n">
        <v>6154000</v>
      </c>
      <c r="S83" t="n">
        <v>161981471</v>
      </c>
      <c r="T83" s="31" t="n">
        <v>40450</v>
      </c>
      <c r="X83" t="n">
        <v>0.37</v>
      </c>
    </row>
    <row r="84">
      <c r="A84" t="inlineStr">
        <is>
          <t>A股</t>
        </is>
      </c>
      <c r="B84" t="inlineStr">
        <is>
          <t>000065</t>
        </is>
      </c>
      <c r="C84" t="inlineStr">
        <is>
          <t>北方国际</t>
        </is>
      </c>
      <c r="D84" s="31" t="n">
        <v>46022</v>
      </c>
      <c r="E84" t="inlineStr">
        <is>
          <t>CNY</t>
        </is>
      </c>
      <c r="F84" t="inlineStr">
        <is>
          <t>CNY</t>
        </is>
      </c>
      <c r="G84" t="n">
        <v>13553927839.78</v>
      </c>
      <c r="H84" t="n">
        <v>19079925410.56</v>
      </c>
      <c r="I84" t="n">
        <v>13433273051.45</v>
      </c>
      <c r="J84" t="n">
        <v>11618417727.66981</v>
      </c>
      <c r="K84" t="n">
        <v>16633668465.59739</v>
      </c>
      <c r="L84" t="n">
        <v>11587105875.61329</v>
      </c>
      <c r="M84" t="n">
        <v>723310917.63</v>
      </c>
      <c r="N84" t="n">
        <v>1049512515.37</v>
      </c>
      <c r="O84" t="n">
        <v>636159328.51</v>
      </c>
      <c r="P84" t="n">
        <v>1048812790.94</v>
      </c>
      <c r="Q84" t="n">
        <v>653348422.9299999</v>
      </c>
      <c r="R84" t="n">
        <v>738034656.25</v>
      </c>
      <c r="S84" t="n">
        <v>11881553287</v>
      </c>
      <c r="T84" s="31" t="n">
        <v>35951</v>
      </c>
      <c r="U84" t="n">
        <v>3.98</v>
      </c>
      <c r="V84" t="n">
        <v>12500000</v>
      </c>
      <c r="W84" t="n">
        <v>49750000</v>
      </c>
      <c r="X84" t="n">
        <v>10.23</v>
      </c>
      <c r="Y84" t="n">
        <v>0</v>
      </c>
      <c r="Z84" t="n">
        <v>0</v>
      </c>
    </row>
    <row r="85">
      <c r="A85" t="inlineStr">
        <is>
          <t>港股</t>
        </is>
      </c>
      <c r="B85" t="inlineStr">
        <is>
          <t>00050</t>
        </is>
      </c>
      <c r="C85" t="inlineStr">
        <is>
          <t>HK FERRY (HOLD)</t>
        </is>
      </c>
      <c r="D85" s="31" t="n">
        <v>46022</v>
      </c>
      <c r="E85" t="inlineStr">
        <is>
          <t>HKD</t>
        </is>
      </c>
      <c r="F85" t="inlineStr">
        <is>
          <t>HKD</t>
        </is>
      </c>
      <c r="G85" t="n">
        <v>385902551.44</v>
      </c>
      <c r="H85" t="n">
        <v>391631576.4</v>
      </c>
      <c r="I85" t="n">
        <v>250680146.64</v>
      </c>
      <c r="J85" t="n">
        <v>238609046.72</v>
      </c>
      <c r="K85" t="n">
        <v>239661930.12</v>
      </c>
      <c r="L85" t="n">
        <v>160586720.98</v>
      </c>
      <c r="M85" t="n">
        <v>302909278.52</v>
      </c>
      <c r="N85" t="n">
        <v>151754805</v>
      </c>
      <c r="O85" t="n">
        <v>1160479214.72</v>
      </c>
      <c r="P85" t="n">
        <v>63159464.94</v>
      </c>
      <c r="Q85" t="n">
        <v>4654277.04</v>
      </c>
      <c r="R85" t="n">
        <v>-251954842.93</v>
      </c>
      <c r="S85" t="n">
        <v>1792057631</v>
      </c>
      <c r="T85" s="31" t="n">
        <v>32507</v>
      </c>
      <c r="X85" t="n">
        <v>5.03</v>
      </c>
    </row>
    <row r="86">
      <c r="A86" t="inlineStr">
        <is>
          <t>A股</t>
        </is>
      </c>
      <c r="B86" t="inlineStr">
        <is>
          <t>000066</t>
        </is>
      </c>
      <c r="C86" t="inlineStr">
        <is>
          <t>中国长城</t>
        </is>
      </c>
      <c r="D86" s="31" t="n">
        <v>46022</v>
      </c>
      <c r="E86" t="inlineStr">
        <is>
          <t>CNY</t>
        </is>
      </c>
      <c r="F86" t="inlineStr">
        <is>
          <t>CNY</t>
        </is>
      </c>
      <c r="G86" t="n">
        <v>15808600064.94</v>
      </c>
      <c r="H86" t="n">
        <v>14202752494.2</v>
      </c>
      <c r="I86" t="n">
        <v>14027336139.07</v>
      </c>
      <c r="J86" t="n">
        <v>13191001140.75307</v>
      </c>
      <c r="K86" t="n">
        <v>12022126385.95192</v>
      </c>
      <c r="L86" t="n">
        <v>10490832566.41467</v>
      </c>
      <c r="M86" t="n">
        <v>-55724795.18</v>
      </c>
      <c r="N86" t="n">
        <v>-1478505080.54</v>
      </c>
      <c r="O86" t="n">
        <v>122773876.57</v>
      </c>
      <c r="P86" t="n">
        <v>-325785004.2</v>
      </c>
      <c r="Q86" t="n">
        <v>182298473.16</v>
      </c>
      <c r="R86" t="n">
        <v>-401639226.91</v>
      </c>
      <c r="S86" t="n">
        <v>45999894995</v>
      </c>
      <c r="T86" s="31" t="n">
        <v>35607</v>
      </c>
      <c r="U86" t="n">
        <v>6.58</v>
      </c>
      <c r="V86" t="n">
        <v>57000000</v>
      </c>
      <c r="W86" t="n">
        <v>375060000</v>
      </c>
      <c r="X86" t="n">
        <v>14.26</v>
      </c>
      <c r="Y86" t="n">
        <v>0</v>
      </c>
      <c r="Z86" t="n">
        <v>0</v>
      </c>
    </row>
    <row r="87">
      <c r="A87" t="inlineStr">
        <is>
          <t>港股</t>
        </is>
      </c>
      <c r="B87" t="inlineStr">
        <is>
          <t>00051</t>
        </is>
      </c>
      <c r="C87" t="inlineStr">
        <is>
          <t>HARBOUR CENTRE</t>
        </is>
      </c>
      <c r="D87" s="31" t="n">
        <v>46022</v>
      </c>
      <c r="E87" t="inlineStr">
        <is>
          <t>HKD</t>
        </is>
      </c>
      <c r="F87" t="inlineStr">
        <is>
          <t>HKD</t>
        </is>
      </c>
      <c r="G87" t="n">
        <v>1214830900</v>
      </c>
      <c r="H87" t="n">
        <v>1253858160</v>
      </c>
      <c r="I87" t="n">
        <v>1017434530</v>
      </c>
      <c r="J87" t="n">
        <v>606963840</v>
      </c>
      <c r="K87" t="n">
        <v>522286560</v>
      </c>
      <c r="L87" t="n">
        <v>580625500</v>
      </c>
      <c r="M87" t="n">
        <v>-211353480</v>
      </c>
      <c r="N87" t="n">
        <v>-64822800</v>
      </c>
      <c r="O87" t="n">
        <v>-175974190</v>
      </c>
      <c r="P87" t="n">
        <v>310707680</v>
      </c>
      <c r="Q87" t="n">
        <v>207432960</v>
      </c>
      <c r="R87" t="n">
        <v>-131310690</v>
      </c>
      <c r="S87" t="n">
        <v>3189375000</v>
      </c>
      <c r="T87" s="31" t="n">
        <v>25979</v>
      </c>
      <c r="X87" t="n">
        <v>4.5</v>
      </c>
    </row>
    <row r="88">
      <c r="A88" t="inlineStr">
        <is>
          <t>A股</t>
        </is>
      </c>
      <c r="B88" t="inlineStr">
        <is>
          <t>000068</t>
        </is>
      </c>
      <c r="C88" t="inlineStr">
        <is>
          <t>华控赛格</t>
        </is>
      </c>
      <c r="D88" s="31" t="n">
        <v>46022</v>
      </c>
      <c r="E88" t="inlineStr">
        <is>
          <t>CNY</t>
        </is>
      </c>
      <c r="F88" t="inlineStr">
        <is>
          <t>CNY</t>
        </is>
      </c>
      <c r="G88" t="n">
        <v>832445316.14</v>
      </c>
      <c r="H88" t="n">
        <v>1105292510.07</v>
      </c>
      <c r="I88" t="n">
        <v>1108589760.29</v>
      </c>
      <c r="J88" t="n">
        <v>719878801.1001956</v>
      </c>
      <c r="K88" t="n">
        <v>1036156894.61041</v>
      </c>
      <c r="L88" t="n">
        <v>989115901.8994968</v>
      </c>
      <c r="M88" t="n">
        <v>-104510783.21</v>
      </c>
      <c r="N88" t="n">
        <v>17034715.31</v>
      </c>
      <c r="O88" t="n">
        <v>-217469849.37</v>
      </c>
      <c r="P88" t="n">
        <v>313119421.88</v>
      </c>
      <c r="Q88" t="n">
        <v>215464499.43</v>
      </c>
      <c r="R88" t="n">
        <v>84735733.23</v>
      </c>
      <c r="S88" t="n">
        <v>3322015831</v>
      </c>
      <c r="T88" s="31" t="n">
        <v>35592</v>
      </c>
      <c r="U88" t="n">
        <v>5.45</v>
      </c>
      <c r="V88" t="n">
        <v>150000000</v>
      </c>
      <c r="W88" t="n">
        <v>817500000</v>
      </c>
      <c r="X88" t="n">
        <v>3.3</v>
      </c>
      <c r="Y88" t="n">
        <v>0</v>
      </c>
      <c r="Z88" t="n">
        <v>0</v>
      </c>
    </row>
    <row r="89">
      <c r="A89" t="inlineStr">
        <is>
          <t>港股</t>
        </is>
      </c>
      <c r="B89" t="inlineStr">
        <is>
          <t>00052</t>
        </is>
      </c>
      <c r="C89" t="inlineStr">
        <is>
          <t>FAIRWOOD HOLD</t>
        </is>
      </c>
      <c r="D89" s="31" t="n">
        <v>45747</v>
      </c>
      <c r="E89" t="inlineStr">
        <is>
          <t>HKD</t>
        </is>
      </c>
      <c r="F89" t="inlineStr">
        <is>
          <t>HKD</t>
        </is>
      </c>
      <c r="G89" t="n">
        <v>2860837598.1</v>
      </c>
      <c r="H89" t="n">
        <v>2843799302.85</v>
      </c>
      <c r="I89" t="n">
        <v>2337283781.42</v>
      </c>
      <c r="J89" t="n">
        <v>2641936785.12</v>
      </c>
      <c r="K89" t="n">
        <v>2598492312.15</v>
      </c>
      <c r="L89" t="n">
        <v>2156784584.81</v>
      </c>
      <c r="M89" t="n">
        <v>32797378.2</v>
      </c>
      <c r="N89" t="n">
        <v>45923103.35</v>
      </c>
      <c r="O89" t="n">
        <v>34581466.4</v>
      </c>
      <c r="P89" t="n">
        <v>541195499.16</v>
      </c>
      <c r="Q89" t="n">
        <v>589355407.4</v>
      </c>
      <c r="R89" t="n">
        <v>455271006.63</v>
      </c>
      <c r="S89" t="n">
        <v>608898066</v>
      </c>
      <c r="T89" s="31" t="n">
        <v>33520</v>
      </c>
      <c r="U89" t="n">
        <v>1.18</v>
      </c>
      <c r="V89" t="n">
        <v>97925000</v>
      </c>
      <c r="W89" t="n">
        <v>115551500</v>
      </c>
      <c r="X89" t="n">
        <v>4.7</v>
      </c>
    </row>
    <row r="90">
      <c r="A90" t="inlineStr">
        <is>
          <t>A股</t>
        </is>
      </c>
      <c r="B90" t="inlineStr">
        <is>
          <t>000069</t>
        </is>
      </c>
      <c r="C90" t="inlineStr">
        <is>
          <t>华侨城Ａ</t>
        </is>
      </c>
      <c r="D90" s="31" t="n">
        <v>46022</v>
      </c>
      <c r="E90" t="inlineStr">
        <is>
          <t>CNY</t>
        </is>
      </c>
      <c r="F90" t="inlineStr">
        <is>
          <t>CNY</t>
        </is>
      </c>
      <c r="G90" t="n">
        <v>31381203946.95</v>
      </c>
      <c r="H90" t="n">
        <v>54407299587.95</v>
      </c>
      <c r="I90" t="n">
        <v>76767105130.88</v>
      </c>
      <c r="J90" t="n">
        <v>28466433703.85112</v>
      </c>
      <c r="K90" t="n">
        <v>47304535881.38853</v>
      </c>
      <c r="L90" t="n">
        <v>59236660300.77504</v>
      </c>
      <c r="M90" t="n">
        <v>-14496107715.32</v>
      </c>
      <c r="N90" t="n">
        <v>-8662299644.25</v>
      </c>
      <c r="O90" t="n">
        <v>-10904910148.41</v>
      </c>
      <c r="P90" t="n">
        <v>12500919515.87</v>
      </c>
      <c r="Q90" t="n">
        <v>5362213679.58</v>
      </c>
      <c r="R90" t="n">
        <v>-574644519.3</v>
      </c>
      <c r="S90" t="n">
        <v>14709097237</v>
      </c>
      <c r="T90" s="31" t="n">
        <v>35683</v>
      </c>
      <c r="U90" t="n">
        <v>6.18</v>
      </c>
      <c r="V90" t="n">
        <v>50000000</v>
      </c>
      <c r="W90" t="n">
        <v>309000000</v>
      </c>
      <c r="X90" t="n">
        <v>1.83</v>
      </c>
      <c r="Y90" t="n">
        <v>0</v>
      </c>
      <c r="Z90" t="n">
        <v>0</v>
      </c>
    </row>
    <row r="91">
      <c r="A91" t="inlineStr">
        <is>
          <t>港股</t>
        </is>
      </c>
      <c r="B91" t="inlineStr">
        <is>
          <t>00053</t>
        </is>
      </c>
      <c r="C91" t="inlineStr">
        <is>
          <t>GUOCO GROUP</t>
        </is>
      </c>
      <c r="D91" s="31" t="n">
        <v>45838</v>
      </c>
      <c r="E91" t="inlineStr">
        <is>
          <t>HKD</t>
        </is>
      </c>
      <c r="F91" t="inlineStr">
        <is>
          <t>HKD</t>
        </is>
      </c>
      <c r="G91" t="n">
        <v>24198408862.2</v>
      </c>
      <c r="H91" t="n">
        <v>21842879432.4</v>
      </c>
      <c r="I91" t="n">
        <v>13615517851</v>
      </c>
      <c r="M91" t="n">
        <v>3675740659.2</v>
      </c>
      <c r="N91" t="n">
        <v>3268215070.8</v>
      </c>
      <c r="O91" t="n">
        <v>1676930538.2</v>
      </c>
      <c r="P91" t="n">
        <v>6850994958</v>
      </c>
      <c r="Q91" t="n">
        <v>7247919966</v>
      </c>
      <c r="R91" t="n">
        <v>3031324615.2</v>
      </c>
      <c r="S91" t="n">
        <v>23362647483</v>
      </c>
      <c r="T91" s="31" t="n">
        <v>30439</v>
      </c>
      <c r="X91" t="n">
        <v>71</v>
      </c>
    </row>
    <row r="92">
      <c r="A92" t="inlineStr">
        <is>
          <t>A股</t>
        </is>
      </c>
      <c r="B92" t="inlineStr">
        <is>
          <t>000070</t>
        </is>
      </c>
      <c r="C92" t="inlineStr">
        <is>
          <t>特发信息</t>
        </is>
      </c>
      <c r="D92" s="31" t="n">
        <v>46022</v>
      </c>
      <c r="E92" t="inlineStr">
        <is>
          <t>CNY</t>
        </is>
      </c>
      <c r="F92" t="inlineStr">
        <is>
          <t>CNY</t>
        </is>
      </c>
      <c r="G92" t="n">
        <v>4416543075</v>
      </c>
      <c r="H92" t="n">
        <v>4409404867.78</v>
      </c>
      <c r="I92" t="n">
        <v>4191611230.82</v>
      </c>
      <c r="J92" t="n">
        <v>3661055473.480575</v>
      </c>
      <c r="K92" t="n">
        <v>3675938085.020188</v>
      </c>
      <c r="L92" t="n">
        <v>3524258129.138829</v>
      </c>
      <c r="M92" t="n">
        <v>-495591165.17</v>
      </c>
      <c r="N92" t="n">
        <v>-402566084.98</v>
      </c>
      <c r="O92" t="n">
        <v>13349009.47</v>
      </c>
      <c r="P92" t="n">
        <v>111830183.59</v>
      </c>
      <c r="Q92" t="n">
        <v>372715369.71</v>
      </c>
      <c r="R92" t="n">
        <v>125781522.38</v>
      </c>
      <c r="S92" t="n">
        <v>13816131819</v>
      </c>
      <c r="T92" s="31" t="n">
        <v>36657</v>
      </c>
      <c r="U92" t="n">
        <v>7.9</v>
      </c>
      <c r="V92" t="n">
        <v>70000000</v>
      </c>
      <c r="W92" t="n">
        <v>553000000</v>
      </c>
      <c r="X92" t="n">
        <v>15.91</v>
      </c>
      <c r="Y92" t="n">
        <v>0</v>
      </c>
      <c r="Z92" t="n">
        <v>0</v>
      </c>
    </row>
    <row r="93">
      <c r="A93" t="inlineStr">
        <is>
          <t>港股</t>
        </is>
      </c>
      <c r="B93" t="inlineStr">
        <is>
          <t>00055</t>
        </is>
      </c>
      <c r="C93" t="inlineStr">
        <is>
          <t>NEWAY GROUP</t>
        </is>
      </c>
      <c r="D93" s="31" t="n">
        <v>46022</v>
      </c>
      <c r="E93" t="inlineStr">
        <is>
          <t>HKD</t>
        </is>
      </c>
      <c r="F93" t="inlineStr">
        <is>
          <t>HKD</t>
        </is>
      </c>
      <c r="G93" t="n">
        <v>371761924.2801</v>
      </c>
      <c r="H93" t="n">
        <v>445002831.4842</v>
      </c>
      <c r="I93" t="n">
        <v>401438523.30834</v>
      </c>
      <c r="J93" t="n">
        <v>303591804.84198</v>
      </c>
      <c r="K93" t="n">
        <v>354967830.35328</v>
      </c>
      <c r="L93" t="n">
        <v>317215971.80014</v>
      </c>
      <c r="M93" t="n">
        <v>-44361686.4288</v>
      </c>
      <c r="N93" t="n">
        <v>-71298886.64448</v>
      </c>
      <c r="O93" t="n">
        <v>-1734934.00556</v>
      </c>
      <c r="P93" t="n">
        <v>26638692.75016</v>
      </c>
      <c r="Q93" t="n">
        <v>-47398262.82072</v>
      </c>
      <c r="R93" t="n">
        <v>-172254899.5664</v>
      </c>
      <c r="S93" t="n">
        <v>36737121</v>
      </c>
      <c r="T93" s="31" t="n">
        <v>33857</v>
      </c>
      <c r="U93" t="n">
        <v>1</v>
      </c>
      <c r="V93" t="n">
        <v>90000000</v>
      </c>
      <c r="W93" t="n">
        <v>90000000</v>
      </c>
      <c r="X93" t="n">
        <v>0.145</v>
      </c>
    </row>
    <row r="94">
      <c r="A94" t="inlineStr">
        <is>
          <t>A股</t>
        </is>
      </c>
      <c r="B94" t="inlineStr">
        <is>
          <t>000078</t>
        </is>
      </c>
      <c r="C94" t="inlineStr">
        <is>
          <t>ST海王</t>
        </is>
      </c>
      <c r="D94" s="31" t="n">
        <v>46022</v>
      </c>
      <c r="E94" t="inlineStr">
        <is>
          <t>CNY</t>
        </is>
      </c>
      <c r="F94" t="inlineStr">
        <is>
          <t>CNY</t>
        </is>
      </c>
      <c r="G94" t="n">
        <v>26667709464.32</v>
      </c>
      <c r="H94" t="n">
        <v>30317288483.53</v>
      </c>
      <c r="I94" t="n">
        <v>37834858745.02</v>
      </c>
      <c r="J94" t="n">
        <v>24209622771.50827</v>
      </c>
      <c r="K94" t="n">
        <v>27444706675.75816</v>
      </c>
      <c r="L94" t="n">
        <v>34045035123.51575</v>
      </c>
      <c r="M94" t="n">
        <v>-563060359.37</v>
      </c>
      <c r="N94" t="n">
        <v>-1193414955.25</v>
      </c>
      <c r="O94" t="n">
        <v>-1026968798.29</v>
      </c>
      <c r="P94" t="n">
        <v>104391403.12</v>
      </c>
      <c r="Q94" t="n">
        <v>39539808.26</v>
      </c>
      <c r="R94" t="n">
        <v>-64328675.93</v>
      </c>
      <c r="S94" t="n">
        <v>4236108444</v>
      </c>
      <c r="T94" s="31" t="n">
        <v>36147</v>
      </c>
      <c r="U94" t="n">
        <v>5.36</v>
      </c>
      <c r="V94" t="n">
        <v>19100000</v>
      </c>
      <c r="W94" t="n">
        <v>102376000</v>
      </c>
      <c r="X94" t="n">
        <v>1.61</v>
      </c>
      <c r="Y94" t="n">
        <v>0</v>
      </c>
      <c r="Z94" t="n">
        <v>0</v>
      </c>
    </row>
    <row r="95">
      <c r="A95" t="inlineStr">
        <is>
          <t>港股</t>
        </is>
      </c>
      <c r="B95" t="inlineStr">
        <is>
          <t>00057</t>
        </is>
      </c>
      <c r="C95" t="inlineStr">
        <is>
          <t>CHEN HSONG HOLD</t>
        </is>
      </c>
      <c r="D95" s="31" t="n">
        <v>45747</v>
      </c>
      <c r="E95" t="inlineStr">
        <is>
          <t>HKD</t>
        </is>
      </c>
      <c r="F95" t="inlineStr">
        <is>
          <t>HKD</t>
        </is>
      </c>
      <c r="G95" t="n">
        <v>2394499300.05</v>
      </c>
      <c r="H95" t="n">
        <v>1821753019.75</v>
      </c>
      <c r="I95" t="n">
        <v>2213054080.63</v>
      </c>
      <c r="J95" t="n">
        <v>1831801861.89</v>
      </c>
      <c r="K95" t="n">
        <v>1389343174.55</v>
      </c>
      <c r="L95" t="n">
        <v>1688107582.88</v>
      </c>
      <c r="M95" t="n">
        <v>142472032.38</v>
      </c>
      <c r="N95" t="n">
        <v>91428287.15000001</v>
      </c>
      <c r="O95" t="n">
        <v>172995732.09</v>
      </c>
      <c r="P95" t="n">
        <v>-91242047.76000001</v>
      </c>
      <c r="Q95" t="n">
        <v>292853725.1</v>
      </c>
      <c r="R95" t="n">
        <v>-223520844.08</v>
      </c>
      <c r="S95" t="n">
        <v>980523288</v>
      </c>
      <c r="T95" s="31" t="n">
        <v>33533</v>
      </c>
      <c r="U95" t="n">
        <v>1.68</v>
      </c>
      <c r="V95" t="n">
        <v>127500000</v>
      </c>
      <c r="W95" t="n">
        <v>214200000</v>
      </c>
      <c r="X95" t="n">
        <v>1.555</v>
      </c>
    </row>
    <row r="96">
      <c r="A96" t="inlineStr">
        <is>
          <t>A股</t>
        </is>
      </c>
      <c r="B96" t="inlineStr">
        <is>
          <t>000088</t>
        </is>
      </c>
      <c r="C96" t="inlineStr">
        <is>
          <t>盐田港</t>
        </is>
      </c>
      <c r="D96" s="31" t="n">
        <v>46022</v>
      </c>
      <c r="E96" t="inlineStr">
        <is>
          <t>CNY</t>
        </is>
      </c>
      <c r="F96" t="inlineStr">
        <is>
          <t>CNY</t>
        </is>
      </c>
      <c r="G96" t="n">
        <v>858334827.15</v>
      </c>
      <c r="H96" t="n">
        <v>793567994.5</v>
      </c>
      <c r="I96" t="n">
        <v>797609609.29</v>
      </c>
      <c r="J96" t="n">
        <v>592944936.7903339</v>
      </c>
      <c r="K96" t="n">
        <v>600381020.7202698</v>
      </c>
      <c r="L96" t="n">
        <v>574289857.0702916</v>
      </c>
      <c r="M96" t="n">
        <v>1447533202.29</v>
      </c>
      <c r="N96" t="n">
        <v>1349328627.36</v>
      </c>
      <c r="O96" t="n">
        <v>471874494.73</v>
      </c>
      <c r="P96" t="n">
        <v>404494208.45</v>
      </c>
      <c r="Q96" t="n">
        <v>282374033.59</v>
      </c>
      <c r="R96" t="n">
        <v>657502890.83</v>
      </c>
      <c r="S96" t="n">
        <v>23553659557</v>
      </c>
      <c r="T96" s="31" t="n">
        <v>35639</v>
      </c>
      <c r="U96" t="n">
        <v>5.31</v>
      </c>
      <c r="V96" t="n">
        <v>125000000</v>
      </c>
      <c r="W96" t="n">
        <v>663750000</v>
      </c>
      <c r="X96" t="n">
        <v>4.53</v>
      </c>
      <c r="Y96" t="n">
        <v>0</v>
      </c>
      <c r="Z96" t="n">
        <v>0</v>
      </c>
    </row>
    <row r="97">
      <c r="A97" t="inlineStr">
        <is>
          <t>港股</t>
        </is>
      </c>
      <c r="B97" t="inlineStr">
        <is>
          <t>00058</t>
        </is>
      </c>
      <c r="C97" t="inlineStr">
        <is>
          <t>SUNWAY INT'L</t>
        </is>
      </c>
      <c r="D97" s="31" t="n">
        <v>46022</v>
      </c>
      <c r="E97" t="inlineStr">
        <is>
          <t>HKD</t>
        </is>
      </c>
      <c r="F97" t="inlineStr">
        <is>
          <t>HKD</t>
        </is>
      </c>
      <c r="G97" t="n">
        <v>185335324.68</v>
      </c>
      <c r="H97" t="n">
        <v>237422765.4</v>
      </c>
      <c r="I97" t="n">
        <v>402967496.05</v>
      </c>
      <c r="J97" t="n">
        <v>166406543.14</v>
      </c>
      <c r="K97" t="n">
        <v>196832580.12</v>
      </c>
      <c r="L97" t="n">
        <v>308640863.86</v>
      </c>
      <c r="M97" t="n">
        <v>-36316669.76</v>
      </c>
      <c r="N97" t="n">
        <v>-51971216.88</v>
      </c>
      <c r="O97" t="n">
        <v>-33394898.95</v>
      </c>
      <c r="P97" t="n">
        <v>3839588.22</v>
      </c>
      <c r="Q97" t="n">
        <v>-12103342.8</v>
      </c>
      <c r="R97" t="n">
        <v>23687733.86</v>
      </c>
      <c r="S97" t="n">
        <v>128364480</v>
      </c>
      <c r="T97" s="31" t="n">
        <v>36406</v>
      </c>
      <c r="U97" t="n">
        <v>1.26</v>
      </c>
      <c r="V97" t="n">
        <v>250000000</v>
      </c>
      <c r="W97" t="n">
        <v>315000000</v>
      </c>
      <c r="X97" t="n">
        <v>0.249</v>
      </c>
    </row>
    <row r="98">
      <c r="A98" t="inlineStr">
        <is>
          <t>A股</t>
        </is>
      </c>
      <c r="B98" t="inlineStr">
        <is>
          <t>000089</t>
        </is>
      </c>
      <c r="C98" t="inlineStr">
        <is>
          <t>深圳机场</t>
        </is>
      </c>
      <c r="D98" s="31" t="n">
        <v>46022</v>
      </c>
      <c r="E98" t="inlineStr">
        <is>
          <t>CNY</t>
        </is>
      </c>
      <c r="F98" t="inlineStr">
        <is>
          <t>CNY</t>
        </is>
      </c>
      <c r="G98" t="n">
        <v>5128350945.52</v>
      </c>
      <c r="H98" t="n">
        <v>4739308234.91</v>
      </c>
      <c r="I98" t="n">
        <v>2671177612.39</v>
      </c>
      <c r="J98" t="n">
        <v>4037350573.968898</v>
      </c>
      <c r="K98" t="n">
        <v>3730070715.159393</v>
      </c>
      <c r="L98" t="n">
        <v>3610862891.410149</v>
      </c>
      <c r="M98" t="n">
        <v>525205361.13</v>
      </c>
      <c r="N98" t="n">
        <v>443039612.74</v>
      </c>
      <c r="O98" t="n">
        <v>-1123951387.52</v>
      </c>
      <c r="P98" t="n">
        <v>1836036908.23</v>
      </c>
      <c r="Q98" t="n">
        <v>1905703787.08</v>
      </c>
      <c r="R98" t="n">
        <v>303319630.99</v>
      </c>
      <c r="S98" t="n">
        <v>13453047979</v>
      </c>
      <c r="T98" s="31" t="n">
        <v>35905</v>
      </c>
      <c r="U98" t="n">
        <v>6.38</v>
      </c>
      <c r="V98" t="n">
        <v>100000000</v>
      </c>
      <c r="W98" t="n">
        <v>638000000</v>
      </c>
      <c r="X98" t="n">
        <v>6.56</v>
      </c>
      <c r="Y98" t="n">
        <v>0</v>
      </c>
      <c r="Z98" t="n">
        <v>0</v>
      </c>
    </row>
    <row r="99">
      <c r="A99" t="inlineStr">
        <is>
          <t>港股</t>
        </is>
      </c>
      <c r="B99" t="inlineStr">
        <is>
          <t>00059</t>
        </is>
      </c>
      <c r="C99" t="inlineStr">
        <is>
          <t>SKYFAME REALTY</t>
        </is>
      </c>
      <c r="I99" t="n">
        <v>2069989000</v>
      </c>
      <c r="L99" t="n">
        <v>2275233000</v>
      </c>
      <c r="O99" t="n">
        <v>-3491272000</v>
      </c>
      <c r="R99" t="n">
        <v>-2469316000</v>
      </c>
      <c r="S99" t="n">
        <v>84463314</v>
      </c>
    </row>
    <row r="100">
      <c r="A100" t="inlineStr">
        <is>
          <t>A股</t>
        </is>
      </c>
      <c r="B100" t="inlineStr">
        <is>
          <t>000090</t>
        </is>
      </c>
      <c r="C100" t="inlineStr">
        <is>
          <t>天健集团</t>
        </is>
      </c>
      <c r="D100" s="31" t="n">
        <v>46022</v>
      </c>
      <c r="E100" t="inlineStr">
        <is>
          <t>CNY</t>
        </is>
      </c>
      <c r="F100" t="inlineStr">
        <is>
          <t>CNY</t>
        </is>
      </c>
      <c r="G100" t="n">
        <v>22501056669.43</v>
      </c>
      <c r="H100" t="n">
        <v>21357354258.66</v>
      </c>
      <c r="I100" t="n">
        <v>26463994191.01</v>
      </c>
      <c r="J100" t="n">
        <v>19626541983.15226</v>
      </c>
      <c r="K100" t="n">
        <v>17954869511.7243</v>
      </c>
      <c r="L100" t="n">
        <v>21078030233.07262</v>
      </c>
      <c r="M100" t="n">
        <v>223438935.79</v>
      </c>
      <c r="N100" t="n">
        <v>620571968.02</v>
      </c>
      <c r="O100" t="n">
        <v>1951844361.82</v>
      </c>
      <c r="P100" t="n">
        <v>166860303.27</v>
      </c>
      <c r="Q100" t="n">
        <v>1140237944.85</v>
      </c>
      <c r="R100" t="n">
        <v>-1454597306.94</v>
      </c>
      <c r="S100" t="n">
        <v>6689392654</v>
      </c>
      <c r="T100" s="31" t="n">
        <v>36362</v>
      </c>
      <c r="U100" t="n">
        <v>8</v>
      </c>
      <c r="V100" t="n">
        <v>58000000</v>
      </c>
      <c r="W100" t="n">
        <v>464000000</v>
      </c>
      <c r="X100" t="n">
        <v>3.58</v>
      </c>
      <c r="Y100" t="n">
        <v>0</v>
      </c>
      <c r="Z100" t="n">
        <v>0</v>
      </c>
    </row>
    <row r="101">
      <c r="A101" t="inlineStr">
        <is>
          <t>港股</t>
        </is>
      </c>
      <c r="B101" t="inlineStr">
        <is>
          <t>00060</t>
        </is>
      </c>
      <c r="C101" t="inlineStr">
        <is>
          <t>HK FOOD INV</t>
        </is>
      </c>
      <c r="D101" s="31" t="n">
        <v>45747</v>
      </c>
      <c r="E101" t="inlineStr">
        <is>
          <t>HKD</t>
        </is>
      </c>
      <c r="F101" t="inlineStr">
        <is>
          <t>HKD</t>
        </is>
      </c>
      <c r="G101" t="n">
        <v>172372647.21</v>
      </c>
      <c r="H101" t="n">
        <v>192048084.75</v>
      </c>
      <c r="I101" t="n">
        <v>148522694.33</v>
      </c>
      <c r="J101" t="n">
        <v>146455889.49</v>
      </c>
      <c r="K101" t="n">
        <v>150966864.95</v>
      </c>
      <c r="L101" t="n">
        <v>127890599.93</v>
      </c>
      <c r="M101" t="n">
        <v>-17368583.43</v>
      </c>
      <c r="N101" t="n">
        <v>-17543555.6</v>
      </c>
      <c r="O101" t="n">
        <v>-14060480.37</v>
      </c>
      <c r="P101" t="n">
        <v>6462578.49</v>
      </c>
      <c r="Q101" t="n">
        <v>-12051675.7</v>
      </c>
      <c r="R101" t="n">
        <v>-35678762.93</v>
      </c>
      <c r="S101" t="n">
        <v>145722780</v>
      </c>
      <c r="T101" s="31" t="n">
        <v>33954</v>
      </c>
      <c r="U101" t="n">
        <v>1.13</v>
      </c>
      <c r="V101" t="n">
        <v>62500000</v>
      </c>
      <c r="W101" t="n">
        <v>70625000</v>
      </c>
      <c r="X101" t="n">
        <v>0.57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9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42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  <col width="18" customWidth="1" style="3" min="14" max="14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</t>
        </is>
      </c>
      <c r="D1" s="30" t="inlineStr">
        <is>
          <t>字段组</t>
        </is>
      </c>
      <c r="E1" s="30" t="inlineStr">
        <is>
          <t>来源名</t>
        </is>
      </c>
      <c r="F1" s="30" t="inlineStr">
        <is>
          <t>来源地址或请求标识</t>
        </is>
      </c>
      <c r="G1" s="30" t="inlineStr">
        <is>
          <t>抓取时间</t>
        </is>
      </c>
      <c r="H1" s="30" t="inlineStr">
        <is>
          <t>原币种</t>
        </is>
      </c>
      <c r="I1" s="30" t="inlineStr">
        <is>
          <t>标准币种</t>
        </is>
      </c>
      <c r="J1" s="30" t="inlineStr">
        <is>
          <t>状态</t>
        </is>
      </c>
      <c r="K1" s="30" t="inlineStr">
        <is>
          <t>缺失原因</t>
        </is>
      </c>
      <c r="L1" s="30" t="inlineStr">
        <is>
          <t>是否近似</t>
        </is>
      </c>
      <c r="M1" s="30" t="inlineStr">
        <is>
          <t>主数据源</t>
        </is>
      </c>
      <c r="N1" s="30" t="inlineStr">
        <is>
          <t>缓存命中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t="inlineStr">
        <is>
          <t>最新行情</t>
        </is>
      </c>
      <c r="E2" t="inlineStr">
        <is>
          <t>东方财富</t>
        </is>
      </c>
      <c r="F2" t="inlineStr">
        <is>
          <t>push2 ulist.np/get f2,f20（按指定证券分批）</t>
        </is>
      </c>
      <c r="G2" s="32" t="n">
        <v>46263.25725223734</v>
      </c>
      <c r="H2" t="inlineStr">
        <is>
          <t>CNY</t>
        </is>
      </c>
      <c r="I2" t="inlineStr">
        <is>
          <t>CNY</t>
        </is>
      </c>
      <c r="J2" t="inlineStr">
        <is>
          <t>ok</t>
        </is>
      </c>
      <c r="L2" t="b">
        <v>0</v>
      </c>
      <c r="M2" t="inlineStr">
        <is>
          <t>东方财富</t>
        </is>
      </c>
      <c r="N2" t="b">
        <v>1</v>
      </c>
    </row>
    <row r="3">
      <c r="A3" t="inlineStr">
        <is>
          <t>A股</t>
        </is>
      </c>
      <c r="B3" t="inlineStr">
        <is>
          <t>000001</t>
        </is>
      </c>
      <c r="C3" t="inlineStr">
        <is>
          <t>平安银行</t>
        </is>
      </c>
      <c r="D3" t="inlineStr">
        <is>
          <t>大宗交易</t>
        </is>
      </c>
      <c r="E3" t="inlineStr">
        <is>
          <t>东方财富</t>
        </is>
      </c>
      <c r="F3" t="inlineStr">
        <is>
          <t>RPT_DATA_BLOCKTRADE 2026（全市场分页后本地聚合）</t>
        </is>
      </c>
      <c r="G3" s="32" t="n">
        <v>46263.25725717199</v>
      </c>
      <c r="H3" t="inlineStr">
        <is>
          <t>CNY</t>
        </is>
      </c>
      <c r="I3" t="inlineStr">
        <is>
          <t>CNY</t>
        </is>
      </c>
      <c r="J3" t="inlineStr">
        <is>
          <t>ok</t>
        </is>
      </c>
      <c r="L3" t="b">
        <v>0</v>
      </c>
      <c r="M3" t="inlineStr">
        <is>
          <t>东方财富</t>
        </is>
      </c>
      <c r="N3" t="b">
        <v>1</v>
      </c>
    </row>
    <row r="4">
      <c r="A4" t="inlineStr">
        <is>
          <t>A股</t>
        </is>
      </c>
      <c r="B4" t="inlineStr">
        <is>
          <t>000001</t>
        </is>
      </c>
      <c r="C4" t="inlineStr">
        <is>
          <t>平安银行</t>
        </is>
      </c>
      <c r="D4" t="inlineStr">
        <is>
          <t>年度财务</t>
        </is>
      </c>
      <c r="E4" t="inlineStr">
        <is>
          <t>东方财富</t>
        </is>
      </c>
      <c r="F4" t="inlineStr">
        <is>
          <t>RPT_LICO_FN_CPD + RPT_DMSK_FN_CASHFLOW；巨潮回退原因：未配置巨潮官方 API 凭证/端点（CNINFO_ACCESS_TOKEN、CNINFO_INCOME_API_URL、CNINFO_CASHFLOW_API_URL）</t>
        </is>
      </c>
      <c r="G4" s="32" t="n">
        <v>46263.25726511903</v>
      </c>
      <c r="H4" t="inlineStr">
        <is>
          <t>CNY</t>
        </is>
      </c>
      <c r="I4" t="inlineStr">
        <is>
          <t>CNY</t>
        </is>
      </c>
      <c r="J4" t="inlineStr">
        <is>
          <t>ok</t>
        </is>
      </c>
      <c r="L4" t="b">
        <v>0</v>
      </c>
      <c r="M4" t="inlineStr">
        <is>
          <t>巨潮资讯（CNINFO Data Service）</t>
        </is>
      </c>
      <c r="N4" t="b">
        <v>1</v>
      </c>
    </row>
    <row r="5">
      <c r="A5" t="inlineStr">
        <is>
          <t>A股</t>
        </is>
      </c>
      <c r="B5" t="inlineStr">
        <is>
          <t>000001</t>
        </is>
      </c>
      <c r="C5" t="inlineStr">
        <is>
          <t>平安银行</t>
        </is>
      </c>
      <c r="D5" t="inlineStr">
        <is>
          <t>上市与发行信息</t>
        </is>
      </c>
      <c r="E5" t="inlineStr">
        <is>
          <t>东方财富</t>
        </is>
      </c>
      <c r="F5" t="inlineStr">
        <is>
          <t>RPT_PCF10_ORG_ISSUEINFO</t>
        </is>
      </c>
      <c r="G5" s="32" t="n">
        <v>46263.25732211461</v>
      </c>
      <c r="H5" t="inlineStr">
        <is>
          <t>CNY</t>
        </is>
      </c>
      <c r="I5" t="inlineStr">
        <is>
          <t>CNY</t>
        </is>
      </c>
      <c r="J5" t="inlineStr">
        <is>
          <t>ok</t>
        </is>
      </c>
      <c r="L5" t="b">
        <v>0</v>
      </c>
      <c r="M5" t="inlineStr">
        <is>
          <t>东方财富</t>
        </is>
      </c>
      <c r="N5" t="b">
        <v>1</v>
      </c>
    </row>
    <row r="6">
      <c r="A6" t="inlineStr">
        <is>
          <t>A股</t>
        </is>
      </c>
      <c r="B6" t="inlineStr">
        <is>
          <t>000001</t>
        </is>
      </c>
      <c r="C6" t="inlineStr">
        <is>
          <t>平安银行</t>
        </is>
      </c>
      <c r="D6" t="inlineStr">
        <is>
          <t>资金流</t>
        </is>
      </c>
      <c r="E6" t="inlineStr">
        <is>
          <t>配置</t>
        </is>
      </c>
      <c r="F6" t="inlineStr">
        <is>
          <t>flow-mode-off</t>
        </is>
      </c>
      <c r="G6" s="32" t="n">
        <v>46263.25754607147</v>
      </c>
      <c r="I6" t="inlineStr">
        <is>
          <t>CNY</t>
        </is>
      </c>
      <c r="J6" t="inlineStr">
        <is>
          <t>optional_missing</t>
        </is>
      </c>
      <c r="K6" t="inlineStr">
        <is>
          <t>用户选择不抓取资金流</t>
        </is>
      </c>
      <c r="L6" t="b">
        <v>0</v>
      </c>
      <c r="M6" t="inlineStr">
        <is>
          <t>配置</t>
        </is>
      </c>
      <c r="N6" t="b">
        <v>0</v>
      </c>
    </row>
    <row r="7">
      <c r="A7" t="inlineStr">
        <is>
          <t>港股</t>
        </is>
      </c>
      <c r="B7" t="inlineStr">
        <is>
          <t>00001</t>
        </is>
      </c>
      <c r="C7" t="inlineStr">
        <is>
          <t>CKH HOLDINGS</t>
        </is>
      </c>
      <c r="D7" t="inlineStr">
        <is>
          <t>最新行情</t>
        </is>
      </c>
      <c r="E7" t="inlineStr">
        <is>
          <t>东方财富</t>
        </is>
      </c>
      <c r="F7" t="inlineStr">
        <is>
          <t>push2 ulist.np/get f2,f20（按指定证券分批）</t>
        </is>
      </c>
      <c r="G7" s="32" t="n">
        <v>46263.25725223734</v>
      </c>
      <c r="H7" t="inlineStr">
        <is>
          <t>HKD</t>
        </is>
      </c>
      <c r="I7" t="inlineStr">
        <is>
          <t>HKD</t>
        </is>
      </c>
      <c r="J7" t="inlineStr">
        <is>
          <t>ok</t>
        </is>
      </c>
      <c r="L7" t="b">
        <v>0</v>
      </c>
      <c r="M7" t="inlineStr">
        <is>
          <t>东方财富</t>
        </is>
      </c>
      <c r="N7" t="b">
        <v>1</v>
      </c>
    </row>
    <row r="8">
      <c r="A8" t="inlineStr">
        <is>
          <t>港股</t>
        </is>
      </c>
      <c r="B8" t="inlineStr">
        <is>
          <t>00001</t>
        </is>
      </c>
      <c r="C8" t="inlineStr">
        <is>
          <t>CKH HOLDINGS</t>
        </is>
      </c>
      <c r="D8" t="inlineStr">
        <is>
          <t>大宗交易</t>
        </is>
      </c>
      <c r="E8" t="inlineStr">
        <is>
          <t>东方财富</t>
        </is>
      </c>
      <c r="F8" t="inlineStr">
        <is>
          <t>not-applicable-hk</t>
        </is>
      </c>
      <c r="G8" s="32" t="n">
        <v>46263.25725432087</v>
      </c>
      <c r="I8" t="inlineStr">
        <is>
          <t>HKD</t>
        </is>
      </c>
      <c r="J8" t="inlineStr">
        <is>
          <t>optional_missing</t>
        </is>
      </c>
      <c r="K8" t="inlineStr">
        <is>
          <t>港股大宗交易按允许缺失规则留空</t>
        </is>
      </c>
      <c r="L8" t="b">
        <v>0</v>
      </c>
      <c r="M8" t="inlineStr">
        <is>
          <t>东方财富</t>
        </is>
      </c>
      <c r="N8" t="b">
        <v>1</v>
      </c>
    </row>
    <row r="9">
      <c r="A9" t="inlineStr">
        <is>
          <t>港股</t>
        </is>
      </c>
      <c r="B9" t="inlineStr">
        <is>
          <t>00001</t>
        </is>
      </c>
      <c r="C9" t="inlineStr">
        <is>
          <t>CKH HOLDINGS</t>
        </is>
      </c>
      <c r="D9" t="inlineStr">
        <is>
          <t>年度财务</t>
        </is>
      </c>
      <c r="E9" t="inlineStr">
        <is>
          <t>东方财富</t>
        </is>
      </c>
      <c r="F9" t="inlineStr">
        <is>
          <t>RPT_HKF10_FN_MAININDICATOR</t>
        </is>
      </c>
      <c r="G9" s="32" t="n">
        <v>46263.25726362781</v>
      </c>
      <c r="H9" t="inlineStr">
        <is>
          <t>HKD</t>
        </is>
      </c>
      <c r="I9" t="inlineStr">
        <is>
          <t>HKD</t>
        </is>
      </c>
      <c r="J9" t="inlineStr">
        <is>
          <t>ok</t>
        </is>
      </c>
      <c r="L9" t="b">
        <v>0</v>
      </c>
      <c r="M9" t="inlineStr">
        <is>
          <t>东方财富</t>
        </is>
      </c>
      <c r="N9" t="b">
        <v>1</v>
      </c>
    </row>
    <row r="10">
      <c r="A10" t="inlineStr">
        <is>
          <t>港股</t>
        </is>
      </c>
      <c r="B10" t="inlineStr">
        <is>
          <t>00001</t>
        </is>
      </c>
      <c r="C10" t="inlineStr">
        <is>
          <t>CKH HOLDINGS</t>
        </is>
      </c>
      <c r="D10" t="inlineStr">
        <is>
          <t>上市与发行信息</t>
        </is>
      </c>
      <c r="E10" t="inlineStr">
        <is>
          <t>东方财富</t>
        </is>
      </c>
      <c r="F10" t="inlineStr">
        <is>
          <t>RPT_HKF10_INFO_SECURITYINFO</t>
        </is>
      </c>
      <c r="G10" s="32" t="n">
        <v>46263.25732274115</v>
      </c>
      <c r="H10" t="inlineStr">
        <is>
          <t>HKD</t>
        </is>
      </c>
      <c r="I10" t="inlineStr">
        <is>
          <t>HKD</t>
        </is>
      </c>
      <c r="J10" t="inlineStr">
        <is>
          <t>ok</t>
        </is>
      </c>
      <c r="L10" t="b">
        <v>0</v>
      </c>
      <c r="M10" t="inlineStr">
        <is>
          <t>东方财富</t>
        </is>
      </c>
      <c r="N10" t="b">
        <v>1</v>
      </c>
    </row>
    <row r="11">
      <c r="A11" t="inlineStr">
        <is>
          <t>港股</t>
        </is>
      </c>
      <c r="B11" t="inlineStr">
        <is>
          <t>00001</t>
        </is>
      </c>
      <c r="C11" t="inlineStr">
        <is>
          <t>CKH HOLDINGS</t>
        </is>
      </c>
      <c r="D11" t="inlineStr">
        <is>
          <t>资金流</t>
        </is>
      </c>
      <c r="E11" t="inlineStr">
        <is>
          <t>配置</t>
        </is>
      </c>
      <c r="F11" t="inlineStr">
        <is>
          <t>flow-mode-off</t>
        </is>
      </c>
      <c r="G11" s="32" t="n">
        <v>46263.25754607147</v>
      </c>
      <c r="I11" t="inlineStr">
        <is>
          <t>HKD</t>
        </is>
      </c>
      <c r="J11" t="inlineStr">
        <is>
          <t>optional_missing</t>
        </is>
      </c>
      <c r="K11" t="inlineStr">
        <is>
          <t>用户选择不抓取资金流</t>
        </is>
      </c>
      <c r="L11" t="b">
        <v>0</v>
      </c>
      <c r="M11" t="inlineStr">
        <is>
          <t>配置</t>
        </is>
      </c>
      <c r="N11" t="b">
        <v>0</v>
      </c>
    </row>
    <row r="12">
      <c r="A12" t="inlineStr">
        <is>
          <t>A股</t>
        </is>
      </c>
      <c r="B12" t="inlineStr">
        <is>
          <t>000002</t>
        </is>
      </c>
      <c r="C12" t="inlineStr">
        <is>
          <t>万科Ａ</t>
        </is>
      </c>
      <c r="D12" t="inlineStr">
        <is>
          <t>最新行情</t>
        </is>
      </c>
      <c r="E12" t="inlineStr">
        <is>
          <t>东方财富</t>
        </is>
      </c>
      <c r="F12" t="inlineStr">
        <is>
          <t>push2 ulist.np/get f2,f20（按指定证券分批）</t>
        </is>
      </c>
      <c r="G12" s="32" t="n">
        <v>46263.25725223734</v>
      </c>
      <c r="H12" t="inlineStr">
        <is>
          <t>CNY</t>
        </is>
      </c>
      <c r="I12" t="inlineStr">
        <is>
          <t>CNY</t>
        </is>
      </c>
      <c r="J12" t="inlineStr">
        <is>
          <t>ok</t>
        </is>
      </c>
      <c r="L12" t="b">
        <v>0</v>
      </c>
      <c r="M12" t="inlineStr">
        <is>
          <t>东方财富</t>
        </is>
      </c>
      <c r="N12" t="b">
        <v>1</v>
      </c>
    </row>
    <row r="13">
      <c r="A13" t="inlineStr">
        <is>
          <t>A股</t>
        </is>
      </c>
      <c r="B13" t="inlineStr">
        <is>
          <t>000002</t>
        </is>
      </c>
      <c r="C13" t="inlineStr">
        <is>
          <t>万科Ａ</t>
        </is>
      </c>
      <c r="D13" t="inlineStr">
        <is>
          <t>大宗交易</t>
        </is>
      </c>
      <c r="E13" t="inlineStr">
        <is>
          <t>东方财富</t>
        </is>
      </c>
      <c r="F13" t="inlineStr">
        <is>
          <t>RPT_DATA_BLOCKTRADE 2026（全市场分页后本地聚合）</t>
        </is>
      </c>
      <c r="G13" s="32" t="n">
        <v>46263.25725717199</v>
      </c>
      <c r="H13" t="inlineStr">
        <is>
          <t>CNY</t>
        </is>
      </c>
      <c r="I13" t="inlineStr">
        <is>
          <t>CNY</t>
        </is>
      </c>
      <c r="J13" t="inlineStr">
        <is>
          <t>ok</t>
        </is>
      </c>
      <c r="L13" t="b">
        <v>0</v>
      </c>
      <c r="M13" t="inlineStr">
        <is>
          <t>东方财富</t>
        </is>
      </c>
      <c r="N13" t="b">
        <v>1</v>
      </c>
    </row>
    <row r="14">
      <c r="A14" t="inlineStr">
        <is>
          <t>A股</t>
        </is>
      </c>
      <c r="B14" t="inlineStr">
        <is>
          <t>000002</t>
        </is>
      </c>
      <c r="C14" t="inlineStr">
        <is>
          <t>万科Ａ</t>
        </is>
      </c>
      <c r="D14" t="inlineStr">
        <is>
          <t>年度财务</t>
        </is>
      </c>
      <c r="E14" t="inlineStr">
        <is>
          <t>东方财富</t>
        </is>
      </c>
      <c r="F14" t="inlineStr">
        <is>
          <t>RPT_LICO_FN_CPD + RPT_DMSK_FN_CASHFLOW；巨潮回退原因：未配置巨潮官方 API 凭证/端点（CNINFO_ACCESS_TOKEN、CNINFO_INCOME_API_URL、CNINFO_CASHFLOW_API_URL）</t>
        </is>
      </c>
      <c r="G14" s="32" t="n">
        <v>46263.25726664878</v>
      </c>
      <c r="H14" t="inlineStr">
        <is>
          <t>CNY</t>
        </is>
      </c>
      <c r="I14" t="inlineStr">
        <is>
          <t>CNY</t>
        </is>
      </c>
      <c r="J14" t="inlineStr">
        <is>
          <t>ok</t>
        </is>
      </c>
      <c r="L14" t="b">
        <v>1</v>
      </c>
      <c r="M14" t="inlineStr">
        <is>
          <t>巨潮资讯（CNINFO Data Service）</t>
        </is>
      </c>
      <c r="N14" t="b">
        <v>1</v>
      </c>
    </row>
    <row r="15">
      <c r="A15" t="inlineStr">
        <is>
          <t>A股</t>
        </is>
      </c>
      <c r="B15" t="inlineStr">
        <is>
          <t>000002</t>
        </is>
      </c>
      <c r="C15" t="inlineStr">
        <is>
          <t>万科Ａ</t>
        </is>
      </c>
      <c r="D15" t="inlineStr">
        <is>
          <t>上市与发行信息</t>
        </is>
      </c>
      <c r="E15" t="inlineStr">
        <is>
          <t>东方财富</t>
        </is>
      </c>
      <c r="F15" t="inlineStr">
        <is>
          <t>RPT_PCF10_ORG_ISSUEINFO</t>
        </is>
      </c>
      <c r="G15" s="32" t="n">
        <v>46263.25732326618</v>
      </c>
      <c r="H15" t="inlineStr">
        <is>
          <t>CNY</t>
        </is>
      </c>
      <c r="I15" t="inlineStr">
        <is>
          <t>CNY</t>
        </is>
      </c>
      <c r="J15" t="inlineStr">
        <is>
          <t>ok</t>
        </is>
      </c>
      <c r="L15" t="b">
        <v>0</v>
      </c>
      <c r="M15" t="inlineStr">
        <is>
          <t>东方财富</t>
        </is>
      </c>
      <c r="N15" t="b">
        <v>1</v>
      </c>
    </row>
    <row r="16">
      <c r="A16" t="inlineStr">
        <is>
          <t>A股</t>
        </is>
      </c>
      <c r="B16" t="inlineStr">
        <is>
          <t>000002</t>
        </is>
      </c>
      <c r="C16" t="inlineStr">
        <is>
          <t>万科Ａ</t>
        </is>
      </c>
      <c r="D16" t="inlineStr">
        <is>
          <t>资金流</t>
        </is>
      </c>
      <c r="E16" t="inlineStr">
        <is>
          <t>配置</t>
        </is>
      </c>
      <c r="F16" t="inlineStr">
        <is>
          <t>flow-mode-off</t>
        </is>
      </c>
      <c r="G16" s="32" t="n">
        <v>46263.25754607147</v>
      </c>
      <c r="I16" t="inlineStr">
        <is>
          <t>CNY</t>
        </is>
      </c>
      <c r="J16" t="inlineStr">
        <is>
          <t>optional_missing</t>
        </is>
      </c>
      <c r="K16" t="inlineStr">
        <is>
          <t>用户选择不抓取资金流</t>
        </is>
      </c>
      <c r="L16" t="b">
        <v>0</v>
      </c>
      <c r="M16" t="inlineStr">
        <is>
          <t>配置</t>
        </is>
      </c>
      <c r="N16" t="b">
        <v>0</v>
      </c>
    </row>
    <row r="17">
      <c r="A17" t="inlineStr">
        <is>
          <t>港股</t>
        </is>
      </c>
      <c r="B17" t="inlineStr">
        <is>
          <t>00002</t>
        </is>
      </c>
      <c r="C17" t="inlineStr">
        <is>
          <t>CLP HOLDINGS</t>
        </is>
      </c>
      <c r="D17" t="inlineStr">
        <is>
          <t>最新行情</t>
        </is>
      </c>
      <c r="E17" t="inlineStr">
        <is>
          <t>东方财富</t>
        </is>
      </c>
      <c r="F17" t="inlineStr">
        <is>
          <t>push2 ulist.np/get f2,f20（按指定证券分批）</t>
        </is>
      </c>
      <c r="G17" s="32" t="n">
        <v>46263.25725223734</v>
      </c>
      <c r="H17" t="inlineStr">
        <is>
          <t>HKD</t>
        </is>
      </c>
      <c r="I17" t="inlineStr">
        <is>
          <t>HKD</t>
        </is>
      </c>
      <c r="J17" t="inlineStr">
        <is>
          <t>ok</t>
        </is>
      </c>
      <c r="L17" t="b">
        <v>0</v>
      </c>
      <c r="M17" t="inlineStr">
        <is>
          <t>东方财富</t>
        </is>
      </c>
      <c r="N17" t="b">
        <v>1</v>
      </c>
    </row>
    <row r="18">
      <c r="A18" t="inlineStr">
        <is>
          <t>港股</t>
        </is>
      </c>
      <c r="B18" t="inlineStr">
        <is>
          <t>00002</t>
        </is>
      </c>
      <c r="C18" t="inlineStr">
        <is>
          <t>CLP HOLDINGS</t>
        </is>
      </c>
      <c r="D18" t="inlineStr">
        <is>
          <t>大宗交易</t>
        </is>
      </c>
      <c r="E18" t="inlineStr">
        <is>
          <t>东方财富</t>
        </is>
      </c>
      <c r="F18" t="inlineStr">
        <is>
          <t>not-applicable-hk</t>
        </is>
      </c>
      <c r="G18" s="32" t="n">
        <v>46263.25725432087</v>
      </c>
      <c r="I18" t="inlineStr">
        <is>
          <t>HKD</t>
        </is>
      </c>
      <c r="J18" t="inlineStr">
        <is>
          <t>optional_missing</t>
        </is>
      </c>
      <c r="K18" t="inlineStr">
        <is>
          <t>港股大宗交易按允许缺失规则留空</t>
        </is>
      </c>
      <c r="L18" t="b">
        <v>0</v>
      </c>
      <c r="M18" t="inlineStr">
        <is>
          <t>东方财富</t>
        </is>
      </c>
      <c r="N18" t="b">
        <v>1</v>
      </c>
    </row>
    <row r="19">
      <c r="A19" t="inlineStr">
        <is>
          <t>港股</t>
        </is>
      </c>
      <c r="B19" t="inlineStr">
        <is>
          <t>00002</t>
        </is>
      </c>
      <c r="C19" t="inlineStr">
        <is>
          <t>CLP HOLDINGS</t>
        </is>
      </c>
      <c r="D19" t="inlineStr">
        <is>
          <t>年度财务</t>
        </is>
      </c>
      <c r="E19" t="inlineStr">
        <is>
          <t>东方财富</t>
        </is>
      </c>
      <c r="F19" t="inlineStr">
        <is>
          <t>RPT_HKF10_FN_MAININDICATOR</t>
        </is>
      </c>
      <c r="G19" s="32" t="n">
        <v>46263.25726520541</v>
      </c>
      <c r="H19" t="inlineStr">
        <is>
          <t>HKD</t>
        </is>
      </c>
      <c r="I19" t="inlineStr">
        <is>
          <t>HKD</t>
        </is>
      </c>
      <c r="J19" t="inlineStr">
        <is>
          <t>ok</t>
        </is>
      </c>
      <c r="L19" t="b">
        <v>0</v>
      </c>
      <c r="M19" t="inlineStr">
        <is>
          <t>东方财富</t>
        </is>
      </c>
      <c r="N19" t="b">
        <v>1</v>
      </c>
    </row>
    <row r="20">
      <c r="A20" t="inlineStr">
        <is>
          <t>港股</t>
        </is>
      </c>
      <c r="B20" t="inlineStr">
        <is>
          <t>00002</t>
        </is>
      </c>
      <c r="C20" t="inlineStr">
        <is>
          <t>CLP HOLDINGS</t>
        </is>
      </c>
      <c r="D20" t="inlineStr">
        <is>
          <t>上市与发行信息</t>
        </is>
      </c>
      <c r="E20" t="inlineStr">
        <is>
          <t>东方财富</t>
        </is>
      </c>
      <c r="F20" t="inlineStr">
        <is>
          <t>RPT_HKF10_INFO_SECURITYINFO</t>
        </is>
      </c>
      <c r="G20" s="32" t="n">
        <v>46263.25732488614</v>
      </c>
      <c r="H20" t="inlineStr">
        <is>
          <t>HKD</t>
        </is>
      </c>
      <c r="I20" t="inlineStr">
        <is>
          <t>HKD</t>
        </is>
      </c>
      <c r="J20" t="inlineStr">
        <is>
          <t>ok</t>
        </is>
      </c>
      <c r="L20" t="b">
        <v>0</v>
      </c>
      <c r="M20" t="inlineStr">
        <is>
          <t>东方财富</t>
        </is>
      </c>
      <c r="N20" t="b">
        <v>1</v>
      </c>
    </row>
    <row r="21">
      <c r="A21" t="inlineStr">
        <is>
          <t>港股</t>
        </is>
      </c>
      <c r="B21" t="inlineStr">
        <is>
          <t>00002</t>
        </is>
      </c>
      <c r="C21" t="inlineStr">
        <is>
          <t>CLP HOLDINGS</t>
        </is>
      </c>
      <c r="D21" t="inlineStr">
        <is>
          <t>资金流</t>
        </is>
      </c>
      <c r="E21" t="inlineStr">
        <is>
          <t>配置</t>
        </is>
      </c>
      <c r="F21" t="inlineStr">
        <is>
          <t>flow-mode-off</t>
        </is>
      </c>
      <c r="G21" s="32" t="n">
        <v>46263.25754607147</v>
      </c>
      <c r="I21" t="inlineStr">
        <is>
          <t>HKD</t>
        </is>
      </c>
      <c r="J21" t="inlineStr">
        <is>
          <t>optional_missing</t>
        </is>
      </c>
      <c r="K21" t="inlineStr">
        <is>
          <t>用户选择不抓取资金流</t>
        </is>
      </c>
      <c r="L21" t="b">
        <v>0</v>
      </c>
      <c r="M21" t="inlineStr">
        <is>
          <t>配置</t>
        </is>
      </c>
      <c r="N21" t="b">
        <v>0</v>
      </c>
    </row>
    <row r="22">
      <c r="A22" t="inlineStr">
        <is>
          <t>A股</t>
        </is>
      </c>
      <c r="B22" t="inlineStr">
        <is>
          <t>000006</t>
        </is>
      </c>
      <c r="C22" t="inlineStr">
        <is>
          <t>深振业Ａ</t>
        </is>
      </c>
      <c r="D22" t="inlineStr">
        <is>
          <t>最新行情</t>
        </is>
      </c>
      <c r="E22" t="inlineStr">
        <is>
          <t>东方财富</t>
        </is>
      </c>
      <c r="F22" t="inlineStr">
        <is>
          <t>push2 ulist.np/get f2,f20（按指定证券分批）</t>
        </is>
      </c>
      <c r="G22" s="32" t="n">
        <v>46263.25725223734</v>
      </c>
      <c r="H22" t="inlineStr">
        <is>
          <t>CNY</t>
        </is>
      </c>
      <c r="I22" t="inlineStr">
        <is>
          <t>CNY</t>
        </is>
      </c>
      <c r="J22" t="inlineStr">
        <is>
          <t>ok</t>
        </is>
      </c>
      <c r="L22" t="b">
        <v>0</v>
      </c>
      <c r="M22" t="inlineStr">
        <is>
          <t>东方财富</t>
        </is>
      </c>
      <c r="N22" t="b">
        <v>1</v>
      </c>
    </row>
    <row r="23">
      <c r="A23" t="inlineStr">
        <is>
          <t>A股</t>
        </is>
      </c>
      <c r="B23" t="inlineStr">
        <is>
          <t>000006</t>
        </is>
      </c>
      <c r="C23" t="inlineStr">
        <is>
          <t>深振业Ａ</t>
        </is>
      </c>
      <c r="D23" t="inlineStr">
        <is>
          <t>大宗交易</t>
        </is>
      </c>
      <c r="E23" t="inlineStr">
        <is>
          <t>东方财富</t>
        </is>
      </c>
      <c r="F23" t="inlineStr">
        <is>
          <t>RPT_DATA_BLOCKTRADE 2026（全市场分页后本地聚合）</t>
        </is>
      </c>
      <c r="G23" s="32" t="n">
        <v>46263.25725717199</v>
      </c>
      <c r="H23" t="inlineStr">
        <is>
          <t>CNY</t>
        </is>
      </c>
      <c r="I23" t="inlineStr">
        <is>
          <t>CNY</t>
        </is>
      </c>
      <c r="J23" t="inlineStr">
        <is>
          <t>ok</t>
        </is>
      </c>
      <c r="L23" t="b">
        <v>0</v>
      </c>
      <c r="M23" t="inlineStr">
        <is>
          <t>东方财富</t>
        </is>
      </c>
      <c r="N23" t="b">
        <v>1</v>
      </c>
    </row>
    <row r="24">
      <c r="A24" t="inlineStr">
        <is>
          <t>A股</t>
        </is>
      </c>
      <c r="B24" t="inlineStr">
        <is>
          <t>000006</t>
        </is>
      </c>
      <c r="C24" t="inlineStr">
        <is>
          <t>深振业Ａ</t>
        </is>
      </c>
      <c r="D24" t="inlineStr">
        <is>
          <t>年度财务</t>
        </is>
      </c>
      <c r="E24" t="inlineStr">
        <is>
          <t>东方财富</t>
        </is>
      </c>
      <c r="F24" t="inlineStr">
        <is>
          <t>RPT_LICO_FN_CPD + RPT_DMSK_FN_CASHFLOW；巨潮回退原因：未配置巨潮官方 API 凭证/端点（CNINFO_ACCESS_TOKEN、CNINFO_INCOME_API_URL、CNINFO_CASHFLOW_API_URL）</t>
        </is>
      </c>
      <c r="G24" s="32" t="n">
        <v>46263.25726915221</v>
      </c>
      <c r="H24" t="inlineStr">
        <is>
          <t>CNY</t>
        </is>
      </c>
      <c r="I24" t="inlineStr">
        <is>
          <t>CNY</t>
        </is>
      </c>
      <c r="J24" t="inlineStr">
        <is>
          <t>ok</t>
        </is>
      </c>
      <c r="L24" t="b">
        <v>1</v>
      </c>
      <c r="M24" t="inlineStr">
        <is>
          <t>巨潮资讯（CNINFO Data Service）</t>
        </is>
      </c>
      <c r="N24" t="b">
        <v>1</v>
      </c>
    </row>
    <row r="25">
      <c r="A25" t="inlineStr">
        <is>
          <t>A股</t>
        </is>
      </c>
      <c r="B25" t="inlineStr">
        <is>
          <t>000006</t>
        </is>
      </c>
      <c r="C25" t="inlineStr">
        <is>
          <t>深振业Ａ</t>
        </is>
      </c>
      <c r="D25" t="inlineStr">
        <is>
          <t>上市与发行信息</t>
        </is>
      </c>
      <c r="E25" t="inlineStr">
        <is>
          <t>东方财富</t>
        </is>
      </c>
      <c r="F25" t="inlineStr">
        <is>
          <t>RPT_PCF10_ORG_ISSUEINFO</t>
        </is>
      </c>
      <c r="G25" s="32" t="n">
        <v>46263.25732439618</v>
      </c>
      <c r="H25" t="inlineStr">
        <is>
          <t>CNY</t>
        </is>
      </c>
      <c r="I25" t="inlineStr">
        <is>
          <t>CNY</t>
        </is>
      </c>
      <c r="J25" t="inlineStr">
        <is>
          <t>ok</t>
        </is>
      </c>
      <c r="L25" t="b">
        <v>0</v>
      </c>
      <c r="M25" t="inlineStr">
        <is>
          <t>东方财富</t>
        </is>
      </c>
      <c r="N25" t="b">
        <v>1</v>
      </c>
    </row>
    <row r="26">
      <c r="A26" t="inlineStr">
        <is>
          <t>A股</t>
        </is>
      </c>
      <c r="B26" t="inlineStr">
        <is>
          <t>000006</t>
        </is>
      </c>
      <c r="C26" t="inlineStr">
        <is>
          <t>深振业Ａ</t>
        </is>
      </c>
      <c r="D26" t="inlineStr">
        <is>
          <t>资金流</t>
        </is>
      </c>
      <c r="E26" t="inlineStr">
        <is>
          <t>配置</t>
        </is>
      </c>
      <c r="F26" t="inlineStr">
        <is>
          <t>flow-mode-off</t>
        </is>
      </c>
      <c r="G26" s="32" t="n">
        <v>46263.25754607147</v>
      </c>
      <c r="I26" t="inlineStr">
        <is>
          <t>CNY</t>
        </is>
      </c>
      <c r="J26" t="inlineStr">
        <is>
          <t>optional_missing</t>
        </is>
      </c>
      <c r="K26" t="inlineStr">
        <is>
          <t>用户选择不抓取资金流</t>
        </is>
      </c>
      <c r="L26" t="b">
        <v>0</v>
      </c>
      <c r="M26" t="inlineStr">
        <is>
          <t>配置</t>
        </is>
      </c>
      <c r="N26" t="b">
        <v>0</v>
      </c>
    </row>
    <row r="27">
      <c r="A27" t="inlineStr">
        <is>
          <t>港股</t>
        </is>
      </c>
      <c r="B27" t="inlineStr">
        <is>
          <t>00003</t>
        </is>
      </c>
      <c r="C27" t="inlineStr">
        <is>
          <t>HK &amp; CHINA GAS</t>
        </is>
      </c>
      <c r="D27" t="inlineStr">
        <is>
          <t>最新行情</t>
        </is>
      </c>
      <c r="E27" t="inlineStr">
        <is>
          <t>东方财富</t>
        </is>
      </c>
      <c r="F27" t="inlineStr">
        <is>
          <t>push2 ulist.np/get f2,f20（按指定证券分批）</t>
        </is>
      </c>
      <c r="G27" s="32" t="n">
        <v>46263.25725223734</v>
      </c>
      <c r="H27" t="inlineStr">
        <is>
          <t>HKD</t>
        </is>
      </c>
      <c r="I27" t="inlineStr">
        <is>
          <t>HKD</t>
        </is>
      </c>
      <c r="J27" t="inlineStr">
        <is>
          <t>ok</t>
        </is>
      </c>
      <c r="L27" t="b">
        <v>0</v>
      </c>
      <c r="M27" t="inlineStr">
        <is>
          <t>东方财富</t>
        </is>
      </c>
      <c r="N27" t="b">
        <v>1</v>
      </c>
    </row>
    <row r="28">
      <c r="A28" t="inlineStr">
        <is>
          <t>港股</t>
        </is>
      </c>
      <c r="B28" t="inlineStr">
        <is>
          <t>00003</t>
        </is>
      </c>
      <c r="C28" t="inlineStr">
        <is>
          <t>HK &amp; CHINA GAS</t>
        </is>
      </c>
      <c r="D28" t="inlineStr">
        <is>
          <t>大宗交易</t>
        </is>
      </c>
      <c r="E28" t="inlineStr">
        <is>
          <t>东方财富</t>
        </is>
      </c>
      <c r="F28" t="inlineStr">
        <is>
          <t>not-applicable-hk</t>
        </is>
      </c>
      <c r="G28" s="32" t="n">
        <v>46263.25725432087</v>
      </c>
      <c r="I28" t="inlineStr">
        <is>
          <t>HKD</t>
        </is>
      </c>
      <c r="J28" t="inlineStr">
        <is>
          <t>optional_missing</t>
        </is>
      </c>
      <c r="K28" t="inlineStr">
        <is>
          <t>港股大宗交易按允许缺失规则留空</t>
        </is>
      </c>
      <c r="L28" t="b">
        <v>0</v>
      </c>
      <c r="M28" t="inlineStr">
        <is>
          <t>东方财富</t>
        </is>
      </c>
      <c r="N28" t="b">
        <v>1</v>
      </c>
    </row>
    <row r="29">
      <c r="A29" t="inlineStr">
        <is>
          <t>港股</t>
        </is>
      </c>
      <c r="B29" t="inlineStr">
        <is>
          <t>00003</t>
        </is>
      </c>
      <c r="C29" t="inlineStr">
        <is>
          <t>HK &amp; CHINA GAS</t>
        </is>
      </c>
      <c r="D29" t="inlineStr">
        <is>
          <t>年度财务</t>
        </is>
      </c>
      <c r="E29" t="inlineStr">
        <is>
          <t>东方财富</t>
        </is>
      </c>
      <c r="F29" t="inlineStr">
        <is>
          <t>RPT_HKF10_FN_MAININDICATOR</t>
        </is>
      </c>
      <c r="G29" s="32" t="n">
        <v>46263.25726528627</v>
      </c>
      <c r="H29" t="inlineStr">
        <is>
          <t>HKD</t>
        </is>
      </c>
      <c r="I29" t="inlineStr">
        <is>
          <t>HKD</t>
        </is>
      </c>
      <c r="J29" t="inlineStr">
        <is>
          <t>ok</t>
        </is>
      </c>
      <c r="L29" t="b">
        <v>0</v>
      </c>
      <c r="M29" t="inlineStr">
        <is>
          <t>东方财富</t>
        </is>
      </c>
      <c r="N29" t="b">
        <v>1</v>
      </c>
    </row>
    <row r="30">
      <c r="A30" t="inlineStr">
        <is>
          <t>港股</t>
        </is>
      </c>
      <c r="B30" t="inlineStr">
        <is>
          <t>00003</t>
        </is>
      </c>
      <c r="C30" t="inlineStr">
        <is>
          <t>HK &amp; CHINA GAS</t>
        </is>
      </c>
      <c r="D30" t="inlineStr">
        <is>
          <t>上市与发行信息</t>
        </is>
      </c>
      <c r="E30" t="inlineStr">
        <is>
          <t>东方财富</t>
        </is>
      </c>
      <c r="F30" t="inlineStr">
        <is>
          <t>RPT_HKF10_INFO_SECURITYINFO</t>
        </is>
      </c>
      <c r="G30" s="32" t="n">
        <v>46263.25732505466</v>
      </c>
      <c r="H30" t="inlineStr">
        <is>
          <t>HKD</t>
        </is>
      </c>
      <c r="I30" t="inlineStr">
        <is>
          <t>HKD</t>
        </is>
      </c>
      <c r="J30" t="inlineStr">
        <is>
          <t>ok</t>
        </is>
      </c>
      <c r="L30" t="b">
        <v>0</v>
      </c>
      <c r="M30" t="inlineStr">
        <is>
          <t>东方财富</t>
        </is>
      </c>
      <c r="N30" t="b">
        <v>1</v>
      </c>
    </row>
    <row r="31">
      <c r="A31" t="inlineStr">
        <is>
          <t>港股</t>
        </is>
      </c>
      <c r="B31" t="inlineStr">
        <is>
          <t>00003</t>
        </is>
      </c>
      <c r="C31" t="inlineStr">
        <is>
          <t>HK &amp; CHINA GAS</t>
        </is>
      </c>
      <c r="D31" t="inlineStr">
        <is>
          <t>资金流</t>
        </is>
      </c>
      <c r="E31" t="inlineStr">
        <is>
          <t>配置</t>
        </is>
      </c>
      <c r="F31" t="inlineStr">
        <is>
          <t>flow-mode-off</t>
        </is>
      </c>
      <c r="G31" s="32" t="n">
        <v>46263.25754607147</v>
      </c>
      <c r="I31" t="inlineStr">
        <is>
          <t>HKD</t>
        </is>
      </c>
      <c r="J31" t="inlineStr">
        <is>
          <t>optional_missing</t>
        </is>
      </c>
      <c r="K31" t="inlineStr">
        <is>
          <t>用户选择不抓取资金流</t>
        </is>
      </c>
      <c r="L31" t="b">
        <v>0</v>
      </c>
      <c r="M31" t="inlineStr">
        <is>
          <t>配置</t>
        </is>
      </c>
      <c r="N31" t="b">
        <v>0</v>
      </c>
    </row>
    <row r="32">
      <c r="A32" t="inlineStr">
        <is>
          <t>A股</t>
        </is>
      </c>
      <c r="B32" t="inlineStr">
        <is>
          <t>000007</t>
        </is>
      </c>
      <c r="C32" t="inlineStr">
        <is>
          <t>全新好</t>
        </is>
      </c>
      <c r="D32" t="inlineStr">
        <is>
          <t>最新行情</t>
        </is>
      </c>
      <c r="E32" t="inlineStr">
        <is>
          <t>东方财富</t>
        </is>
      </c>
      <c r="F32" t="inlineStr">
        <is>
          <t>push2 ulist.np/get f2,f20（按指定证券分批）</t>
        </is>
      </c>
      <c r="G32" s="32" t="n">
        <v>46263.25725223734</v>
      </c>
      <c r="H32" t="inlineStr">
        <is>
          <t>CNY</t>
        </is>
      </c>
      <c r="I32" t="inlineStr">
        <is>
          <t>CNY</t>
        </is>
      </c>
      <c r="J32" t="inlineStr">
        <is>
          <t>ok</t>
        </is>
      </c>
      <c r="L32" t="b">
        <v>0</v>
      </c>
      <c r="M32" t="inlineStr">
        <is>
          <t>东方财富</t>
        </is>
      </c>
      <c r="N32" t="b">
        <v>1</v>
      </c>
    </row>
    <row r="33">
      <c r="A33" t="inlineStr">
        <is>
          <t>A股</t>
        </is>
      </c>
      <c r="B33" t="inlineStr">
        <is>
          <t>000007</t>
        </is>
      </c>
      <c r="C33" t="inlineStr">
        <is>
          <t>全新好</t>
        </is>
      </c>
      <c r="D33" t="inlineStr">
        <is>
          <t>大宗交易</t>
        </is>
      </c>
      <c r="E33" t="inlineStr">
        <is>
          <t>东方财富</t>
        </is>
      </c>
      <c r="F33" t="inlineStr">
        <is>
          <t>RPT_DATA_BLOCKTRADE 2026（全市场分页后本地聚合）</t>
        </is>
      </c>
      <c r="G33" s="32" t="n">
        <v>46263.25725717199</v>
      </c>
      <c r="H33" t="inlineStr">
        <is>
          <t>CNY</t>
        </is>
      </c>
      <c r="I33" t="inlineStr">
        <is>
          <t>CNY</t>
        </is>
      </c>
      <c r="J33" t="inlineStr">
        <is>
          <t>ok</t>
        </is>
      </c>
      <c r="L33" t="b">
        <v>0</v>
      </c>
      <c r="M33" t="inlineStr">
        <is>
          <t>东方财富</t>
        </is>
      </c>
      <c r="N33" t="b">
        <v>1</v>
      </c>
    </row>
    <row r="34">
      <c r="A34" t="inlineStr">
        <is>
          <t>A股</t>
        </is>
      </c>
      <c r="B34" t="inlineStr">
        <is>
          <t>000007</t>
        </is>
      </c>
      <c r="C34" t="inlineStr">
        <is>
          <t>全新好</t>
        </is>
      </c>
      <c r="D34" t="inlineStr">
        <is>
          <t>年度财务</t>
        </is>
      </c>
      <c r="E34" t="inlineStr">
        <is>
          <t>东方财富</t>
        </is>
      </c>
      <c r="F34" t="inlineStr">
        <is>
          <t>RPT_LICO_FN_CPD + RPT_DMSK_FN_CASHFLOW；巨潮回退原因：未配置巨潮官方 API 凭证/端点（CNINFO_ACCESS_TOKEN、CNINFO_INCOME_API_URL、CNINFO_CASHFLOW_API_URL）</t>
        </is>
      </c>
      <c r="G34" s="32" t="n">
        <v>46263.25726961567</v>
      </c>
      <c r="H34" t="inlineStr">
        <is>
          <t>CNY</t>
        </is>
      </c>
      <c r="I34" t="inlineStr">
        <is>
          <t>CNY</t>
        </is>
      </c>
      <c r="J34" t="inlineStr">
        <is>
          <t>ok</t>
        </is>
      </c>
      <c r="L34" t="b">
        <v>1</v>
      </c>
      <c r="M34" t="inlineStr">
        <is>
          <t>巨潮资讯（CNINFO Data Service）</t>
        </is>
      </c>
      <c r="N34" t="b">
        <v>1</v>
      </c>
    </row>
    <row r="35">
      <c r="A35" t="inlineStr">
        <is>
          <t>A股</t>
        </is>
      </c>
      <c r="B35" t="inlineStr">
        <is>
          <t>000007</t>
        </is>
      </c>
      <c r="C35" t="inlineStr">
        <is>
          <t>全新好</t>
        </is>
      </c>
      <c r="D35" t="inlineStr">
        <is>
          <t>上市与发行信息</t>
        </is>
      </c>
      <c r="E35" t="inlineStr">
        <is>
          <t>东方财富</t>
        </is>
      </c>
      <c r="F35" t="inlineStr">
        <is>
          <t>RPT_PCF10_ORG_ISSUEINFO</t>
        </is>
      </c>
      <c r="G35" s="32" t="n">
        <v>46263.25732558829</v>
      </c>
      <c r="H35" t="inlineStr">
        <is>
          <t>CNY</t>
        </is>
      </c>
      <c r="I35" t="inlineStr">
        <is>
          <t>CNY</t>
        </is>
      </c>
      <c r="J35" t="inlineStr">
        <is>
          <t>ok</t>
        </is>
      </c>
      <c r="L35" t="b">
        <v>0</v>
      </c>
      <c r="M35" t="inlineStr">
        <is>
          <t>东方财富</t>
        </is>
      </c>
      <c r="N35" t="b">
        <v>1</v>
      </c>
    </row>
    <row r="36">
      <c r="A36" t="inlineStr">
        <is>
          <t>A股</t>
        </is>
      </c>
      <c r="B36" t="inlineStr">
        <is>
          <t>000007</t>
        </is>
      </c>
      <c r="C36" t="inlineStr">
        <is>
          <t>全新好</t>
        </is>
      </c>
      <c r="D36" t="inlineStr">
        <is>
          <t>资金流</t>
        </is>
      </c>
      <c r="E36" t="inlineStr">
        <is>
          <t>配置</t>
        </is>
      </c>
      <c r="F36" t="inlineStr">
        <is>
          <t>flow-mode-off</t>
        </is>
      </c>
      <c r="G36" s="32" t="n">
        <v>46263.25754607147</v>
      </c>
      <c r="I36" t="inlineStr">
        <is>
          <t>CNY</t>
        </is>
      </c>
      <c r="J36" t="inlineStr">
        <is>
          <t>optional_missing</t>
        </is>
      </c>
      <c r="K36" t="inlineStr">
        <is>
          <t>用户选择不抓取资金流</t>
        </is>
      </c>
      <c r="L36" t="b">
        <v>0</v>
      </c>
      <c r="M36" t="inlineStr">
        <is>
          <t>配置</t>
        </is>
      </c>
      <c r="N36" t="b">
        <v>0</v>
      </c>
    </row>
    <row r="37">
      <c r="A37" t="inlineStr">
        <is>
          <t>港股</t>
        </is>
      </c>
      <c r="B37" t="inlineStr">
        <is>
          <t>00004</t>
        </is>
      </c>
      <c r="C37" t="inlineStr">
        <is>
          <t>WHARF HOLDINGS</t>
        </is>
      </c>
      <c r="D37" t="inlineStr">
        <is>
          <t>最新行情</t>
        </is>
      </c>
      <c r="E37" t="inlineStr">
        <is>
          <t>东方财富</t>
        </is>
      </c>
      <c r="F37" t="inlineStr">
        <is>
          <t>push2 ulist.np/get f2,f20（按指定证券分批）</t>
        </is>
      </c>
      <c r="G37" s="32" t="n">
        <v>46263.25725223734</v>
      </c>
      <c r="H37" t="inlineStr">
        <is>
          <t>HKD</t>
        </is>
      </c>
      <c r="I37" t="inlineStr">
        <is>
          <t>HKD</t>
        </is>
      </c>
      <c r="J37" t="inlineStr">
        <is>
          <t>ok</t>
        </is>
      </c>
      <c r="L37" t="b">
        <v>0</v>
      </c>
      <c r="M37" t="inlineStr">
        <is>
          <t>东方财富</t>
        </is>
      </c>
      <c r="N37" t="b">
        <v>1</v>
      </c>
    </row>
    <row r="38">
      <c r="A38" t="inlineStr">
        <is>
          <t>港股</t>
        </is>
      </c>
      <c r="B38" t="inlineStr">
        <is>
          <t>00004</t>
        </is>
      </c>
      <c r="C38" t="inlineStr">
        <is>
          <t>WHARF HOLDINGS</t>
        </is>
      </c>
      <c r="D38" t="inlineStr">
        <is>
          <t>大宗交易</t>
        </is>
      </c>
      <c r="E38" t="inlineStr">
        <is>
          <t>东方财富</t>
        </is>
      </c>
      <c r="F38" t="inlineStr">
        <is>
          <t>not-applicable-hk</t>
        </is>
      </c>
      <c r="G38" s="32" t="n">
        <v>46263.25725432087</v>
      </c>
      <c r="I38" t="inlineStr">
        <is>
          <t>HKD</t>
        </is>
      </c>
      <c r="J38" t="inlineStr">
        <is>
          <t>optional_missing</t>
        </is>
      </c>
      <c r="K38" t="inlineStr">
        <is>
          <t>港股大宗交易按允许缺失规则留空</t>
        </is>
      </c>
      <c r="L38" t="b">
        <v>0</v>
      </c>
      <c r="M38" t="inlineStr">
        <is>
          <t>东方财富</t>
        </is>
      </c>
      <c r="N38" t="b">
        <v>1</v>
      </c>
    </row>
    <row r="39">
      <c r="A39" t="inlineStr">
        <is>
          <t>港股</t>
        </is>
      </c>
      <c r="B39" t="inlineStr">
        <is>
          <t>00004</t>
        </is>
      </c>
      <c r="C39" t="inlineStr">
        <is>
          <t>WHARF HOLDINGS</t>
        </is>
      </c>
      <c r="D39" t="inlineStr">
        <is>
          <t>年度财务</t>
        </is>
      </c>
      <c r="E39" t="inlineStr">
        <is>
          <t>东方财富</t>
        </is>
      </c>
      <c r="F39" t="inlineStr">
        <is>
          <t>RPT_HKF10_FN_MAININDICATOR</t>
        </is>
      </c>
      <c r="G39" s="32" t="n">
        <v>46263.25726530941</v>
      </c>
      <c r="H39" t="inlineStr">
        <is>
          <t>HKD</t>
        </is>
      </c>
      <c r="I39" t="inlineStr">
        <is>
          <t>HKD</t>
        </is>
      </c>
      <c r="J39" t="inlineStr">
        <is>
          <t>ok</t>
        </is>
      </c>
      <c r="L39" t="b">
        <v>0</v>
      </c>
      <c r="M39" t="inlineStr">
        <is>
          <t>东方财富</t>
        </is>
      </c>
      <c r="N39" t="b">
        <v>1</v>
      </c>
    </row>
    <row r="40">
      <c r="A40" t="inlineStr">
        <is>
          <t>港股</t>
        </is>
      </c>
      <c r="B40" t="inlineStr">
        <is>
          <t>00004</t>
        </is>
      </c>
      <c r="C40" t="inlineStr">
        <is>
          <t>WHARF HOLDINGS</t>
        </is>
      </c>
      <c r="D40" t="inlineStr">
        <is>
          <t>上市与发行信息</t>
        </is>
      </c>
      <c r="E40" t="inlineStr">
        <is>
          <t>东方财富</t>
        </is>
      </c>
      <c r="F40" t="inlineStr">
        <is>
          <t>RPT_HKF10_INFO_SECURITYINFO</t>
        </is>
      </c>
      <c r="G40" s="32" t="n">
        <v>46263.25732903607</v>
      </c>
      <c r="H40" t="inlineStr">
        <is>
          <t>HKD</t>
        </is>
      </c>
      <c r="I40" t="inlineStr">
        <is>
          <t>HKD</t>
        </is>
      </c>
      <c r="J40" t="inlineStr">
        <is>
          <t>ok</t>
        </is>
      </c>
      <c r="L40" t="b">
        <v>0</v>
      </c>
      <c r="M40" t="inlineStr">
        <is>
          <t>东方财富</t>
        </is>
      </c>
      <c r="N40" t="b">
        <v>1</v>
      </c>
    </row>
    <row r="41">
      <c r="A41" t="inlineStr">
        <is>
          <t>港股</t>
        </is>
      </c>
      <c r="B41" t="inlineStr">
        <is>
          <t>00004</t>
        </is>
      </c>
      <c r="C41" t="inlineStr">
        <is>
          <t>WHARF HOLDINGS</t>
        </is>
      </c>
      <c r="D41" t="inlineStr">
        <is>
          <t>资金流</t>
        </is>
      </c>
      <c r="E41" t="inlineStr">
        <is>
          <t>配置</t>
        </is>
      </c>
      <c r="F41" t="inlineStr">
        <is>
          <t>flow-mode-off</t>
        </is>
      </c>
      <c r="G41" s="32" t="n">
        <v>46263.25754607147</v>
      </c>
      <c r="I41" t="inlineStr">
        <is>
          <t>HKD</t>
        </is>
      </c>
      <c r="J41" t="inlineStr">
        <is>
          <t>optional_missing</t>
        </is>
      </c>
      <c r="K41" t="inlineStr">
        <is>
          <t>用户选择不抓取资金流</t>
        </is>
      </c>
      <c r="L41" t="b">
        <v>0</v>
      </c>
      <c r="M41" t="inlineStr">
        <is>
          <t>配置</t>
        </is>
      </c>
      <c r="N41" t="b">
        <v>0</v>
      </c>
    </row>
    <row r="42">
      <c r="A42" t="inlineStr">
        <is>
          <t>A股</t>
        </is>
      </c>
      <c r="B42" t="inlineStr">
        <is>
          <t>000008</t>
        </is>
      </c>
      <c r="C42" t="inlineStr">
        <is>
          <t>神州高铁</t>
        </is>
      </c>
      <c r="D42" t="inlineStr">
        <is>
          <t>最新行情</t>
        </is>
      </c>
      <c r="E42" t="inlineStr">
        <is>
          <t>东方财富</t>
        </is>
      </c>
      <c r="F42" t="inlineStr">
        <is>
          <t>push2 ulist.np/get f2,f20（按指定证券分批）</t>
        </is>
      </c>
      <c r="G42" s="32" t="n">
        <v>46263.25725223734</v>
      </c>
      <c r="H42" t="inlineStr">
        <is>
          <t>CNY</t>
        </is>
      </c>
      <c r="I42" t="inlineStr">
        <is>
          <t>CNY</t>
        </is>
      </c>
      <c r="J42" t="inlineStr">
        <is>
          <t>ok</t>
        </is>
      </c>
      <c r="L42" t="b">
        <v>0</v>
      </c>
      <c r="M42" t="inlineStr">
        <is>
          <t>东方财富</t>
        </is>
      </c>
      <c r="N42" t="b">
        <v>1</v>
      </c>
    </row>
    <row r="43">
      <c r="A43" t="inlineStr">
        <is>
          <t>A股</t>
        </is>
      </c>
      <c r="B43" t="inlineStr">
        <is>
          <t>000008</t>
        </is>
      </c>
      <c r="C43" t="inlineStr">
        <is>
          <t>神州高铁</t>
        </is>
      </c>
      <c r="D43" t="inlineStr">
        <is>
          <t>大宗交易</t>
        </is>
      </c>
      <c r="E43" t="inlineStr">
        <is>
          <t>东方财富</t>
        </is>
      </c>
      <c r="F43" t="inlineStr">
        <is>
          <t>RPT_DATA_BLOCKTRADE 2026（全市场分页后本地聚合）</t>
        </is>
      </c>
      <c r="G43" s="32" t="n">
        <v>46263.25725717199</v>
      </c>
      <c r="H43" t="inlineStr">
        <is>
          <t>CNY</t>
        </is>
      </c>
      <c r="I43" t="inlineStr">
        <is>
          <t>CNY</t>
        </is>
      </c>
      <c r="J43" t="inlineStr">
        <is>
          <t>ok</t>
        </is>
      </c>
      <c r="L43" t="b">
        <v>0</v>
      </c>
      <c r="M43" t="inlineStr">
        <is>
          <t>东方财富</t>
        </is>
      </c>
      <c r="N43" t="b">
        <v>1</v>
      </c>
    </row>
    <row r="44">
      <c r="A44" t="inlineStr">
        <is>
          <t>A股</t>
        </is>
      </c>
      <c r="B44" t="inlineStr">
        <is>
          <t>000008</t>
        </is>
      </c>
      <c r="C44" t="inlineStr">
        <is>
          <t>神州高铁</t>
        </is>
      </c>
      <c r="D44" t="inlineStr">
        <is>
          <t>年度财务</t>
        </is>
      </c>
      <c r="E44" t="inlineStr">
        <is>
          <t>东方财富</t>
        </is>
      </c>
      <c r="F44" t="inlineStr">
        <is>
          <t>RPT_LICO_FN_CPD + RPT_DMSK_FN_CASHFLOW；巨潮回退原因：未配置巨潮官方 API 凭证/端点（CNINFO_ACCESS_TOKEN、CNINFO_INCOME_API_URL、CNINFO_CASHFLOW_API_URL）</t>
        </is>
      </c>
      <c r="G44" s="32" t="n">
        <v>46263.25726872239</v>
      </c>
      <c r="H44" t="inlineStr">
        <is>
          <t>CNY</t>
        </is>
      </c>
      <c r="I44" t="inlineStr">
        <is>
          <t>CNY</t>
        </is>
      </c>
      <c r="J44" t="inlineStr">
        <is>
          <t>ok</t>
        </is>
      </c>
      <c r="L44" t="b">
        <v>1</v>
      </c>
      <c r="M44" t="inlineStr">
        <is>
          <t>巨潮资讯（CNINFO Data Service）</t>
        </is>
      </c>
      <c r="N44" t="b">
        <v>1</v>
      </c>
    </row>
    <row r="45">
      <c r="A45" t="inlineStr">
        <is>
          <t>A股</t>
        </is>
      </c>
      <c r="B45" t="inlineStr">
        <is>
          <t>000008</t>
        </is>
      </c>
      <c r="C45" t="inlineStr">
        <is>
          <t>神州高铁</t>
        </is>
      </c>
      <c r="D45" t="inlineStr">
        <is>
          <t>上市与发行信息</t>
        </is>
      </c>
      <c r="E45" t="inlineStr">
        <is>
          <t>东方财富</t>
        </is>
      </c>
      <c r="F45" t="inlineStr">
        <is>
          <t>RPT_PCF10_ORG_ISSUEINFO</t>
        </is>
      </c>
      <c r="G45" s="32" t="n">
        <v>46263.25732691457</v>
      </c>
      <c r="H45" t="inlineStr">
        <is>
          <t>CNY</t>
        </is>
      </c>
      <c r="I45" t="inlineStr">
        <is>
          <t>CNY</t>
        </is>
      </c>
      <c r="J45" t="inlineStr">
        <is>
          <t>ok</t>
        </is>
      </c>
      <c r="L45" t="b">
        <v>0</v>
      </c>
      <c r="M45" t="inlineStr">
        <is>
          <t>东方财富</t>
        </is>
      </c>
      <c r="N45" t="b">
        <v>1</v>
      </c>
    </row>
    <row r="46">
      <c r="A46" t="inlineStr">
        <is>
          <t>A股</t>
        </is>
      </c>
      <c r="B46" t="inlineStr">
        <is>
          <t>000008</t>
        </is>
      </c>
      <c r="C46" t="inlineStr">
        <is>
          <t>神州高铁</t>
        </is>
      </c>
      <c r="D46" t="inlineStr">
        <is>
          <t>资金流</t>
        </is>
      </c>
      <c r="E46" t="inlineStr">
        <is>
          <t>配置</t>
        </is>
      </c>
      <c r="F46" t="inlineStr">
        <is>
          <t>flow-mode-off</t>
        </is>
      </c>
      <c r="G46" s="32" t="n">
        <v>46263.25754607147</v>
      </c>
      <c r="I46" t="inlineStr">
        <is>
          <t>CNY</t>
        </is>
      </c>
      <c r="J46" t="inlineStr">
        <is>
          <t>optional_missing</t>
        </is>
      </c>
      <c r="K46" t="inlineStr">
        <is>
          <t>用户选择不抓取资金流</t>
        </is>
      </c>
      <c r="L46" t="b">
        <v>0</v>
      </c>
      <c r="M46" t="inlineStr">
        <is>
          <t>配置</t>
        </is>
      </c>
      <c r="N46" t="b">
        <v>0</v>
      </c>
    </row>
    <row r="47">
      <c r="A47" t="inlineStr">
        <is>
          <t>港股</t>
        </is>
      </c>
      <c r="B47" t="inlineStr">
        <is>
          <t>00005</t>
        </is>
      </c>
      <c r="C47" t="inlineStr">
        <is>
          <t>HSBC HOLDINGS</t>
        </is>
      </c>
      <c r="D47" t="inlineStr">
        <is>
          <t>最新行情</t>
        </is>
      </c>
      <c r="E47" t="inlineStr">
        <is>
          <t>东方财富</t>
        </is>
      </c>
      <c r="F47" t="inlineStr">
        <is>
          <t>push2 ulist.np/get f2,f20（按指定证券分批）</t>
        </is>
      </c>
      <c r="G47" s="32" t="n">
        <v>46263.25725223734</v>
      </c>
      <c r="H47" t="inlineStr">
        <is>
          <t>HKD</t>
        </is>
      </c>
      <c r="I47" t="inlineStr">
        <is>
          <t>HKD</t>
        </is>
      </c>
      <c r="J47" t="inlineStr">
        <is>
          <t>ok</t>
        </is>
      </c>
      <c r="L47" t="b">
        <v>0</v>
      </c>
      <c r="M47" t="inlineStr">
        <is>
          <t>东方财富</t>
        </is>
      </c>
      <c r="N47" t="b">
        <v>1</v>
      </c>
    </row>
    <row r="48">
      <c r="A48" t="inlineStr">
        <is>
          <t>港股</t>
        </is>
      </c>
      <c r="B48" t="inlineStr">
        <is>
          <t>00005</t>
        </is>
      </c>
      <c r="C48" t="inlineStr">
        <is>
          <t>HSBC HOLDINGS</t>
        </is>
      </c>
      <c r="D48" t="inlineStr">
        <is>
          <t>大宗交易</t>
        </is>
      </c>
      <c r="E48" t="inlineStr">
        <is>
          <t>东方财富</t>
        </is>
      </c>
      <c r="F48" t="inlineStr">
        <is>
          <t>not-applicable-hk</t>
        </is>
      </c>
      <c r="G48" s="32" t="n">
        <v>46263.25725432087</v>
      </c>
      <c r="I48" t="inlineStr">
        <is>
          <t>HKD</t>
        </is>
      </c>
      <c r="J48" t="inlineStr">
        <is>
          <t>optional_missing</t>
        </is>
      </c>
      <c r="K48" t="inlineStr">
        <is>
          <t>港股大宗交易按允许缺失规则留空</t>
        </is>
      </c>
      <c r="L48" t="b">
        <v>0</v>
      </c>
      <c r="M48" t="inlineStr">
        <is>
          <t>东方财富</t>
        </is>
      </c>
      <c r="N48" t="b">
        <v>1</v>
      </c>
    </row>
    <row r="49">
      <c r="A49" t="inlineStr">
        <is>
          <t>港股</t>
        </is>
      </c>
      <c r="B49" t="inlineStr">
        <is>
          <t>00005</t>
        </is>
      </c>
      <c r="C49" t="inlineStr">
        <is>
          <t>HSBC HOLDINGS</t>
        </is>
      </c>
      <c r="D49" t="inlineStr">
        <is>
          <t>年度财务</t>
        </is>
      </c>
      <c r="E49" t="inlineStr">
        <is>
          <t>东方财富</t>
        </is>
      </c>
      <c r="F49" t="inlineStr">
        <is>
          <t>RPT_HKF10_FN_MAININDICATOR</t>
        </is>
      </c>
      <c r="G49" s="32" t="n">
        <v>46263.25726729358</v>
      </c>
      <c r="H49" t="inlineStr">
        <is>
          <t>HKD</t>
        </is>
      </c>
      <c r="I49" t="inlineStr">
        <is>
          <t>HKD</t>
        </is>
      </c>
      <c r="J49" t="inlineStr">
        <is>
          <t>ok</t>
        </is>
      </c>
      <c r="L49" t="b">
        <v>0</v>
      </c>
      <c r="M49" t="inlineStr">
        <is>
          <t>东方财富</t>
        </is>
      </c>
      <c r="N49" t="b">
        <v>1</v>
      </c>
    </row>
    <row r="50">
      <c r="A50" t="inlineStr">
        <is>
          <t>港股</t>
        </is>
      </c>
      <c r="B50" t="inlineStr">
        <is>
          <t>00005</t>
        </is>
      </c>
      <c r="C50" t="inlineStr">
        <is>
          <t>HSBC HOLDINGS</t>
        </is>
      </c>
      <c r="D50" t="inlineStr">
        <is>
          <t>上市与发行信息</t>
        </is>
      </c>
      <c r="E50" t="inlineStr">
        <is>
          <t>东方财富</t>
        </is>
      </c>
      <c r="F50" t="inlineStr">
        <is>
          <t>RPT_HKF10_INFO_SECURITYINFO</t>
        </is>
      </c>
      <c r="G50" s="32" t="n">
        <v>46263.25732742124</v>
      </c>
      <c r="H50" t="inlineStr">
        <is>
          <t>HKD</t>
        </is>
      </c>
      <c r="I50" t="inlineStr">
        <is>
          <t>HKD</t>
        </is>
      </c>
      <c r="J50" t="inlineStr">
        <is>
          <t>ok</t>
        </is>
      </c>
      <c r="L50" t="b">
        <v>0</v>
      </c>
      <c r="M50" t="inlineStr">
        <is>
          <t>东方财富</t>
        </is>
      </c>
      <c r="N50" t="b">
        <v>1</v>
      </c>
    </row>
    <row r="51">
      <c r="A51" t="inlineStr">
        <is>
          <t>港股</t>
        </is>
      </c>
      <c r="B51" t="inlineStr">
        <is>
          <t>00005</t>
        </is>
      </c>
      <c r="C51" t="inlineStr">
        <is>
          <t>HSBC HOLDINGS</t>
        </is>
      </c>
      <c r="D51" t="inlineStr">
        <is>
          <t>资金流</t>
        </is>
      </c>
      <c r="E51" t="inlineStr">
        <is>
          <t>配置</t>
        </is>
      </c>
      <c r="F51" t="inlineStr">
        <is>
          <t>flow-mode-off</t>
        </is>
      </c>
      <c r="G51" s="32" t="n">
        <v>46263.25754607147</v>
      </c>
      <c r="I51" t="inlineStr">
        <is>
          <t>HKD</t>
        </is>
      </c>
      <c r="J51" t="inlineStr">
        <is>
          <t>optional_missing</t>
        </is>
      </c>
      <c r="K51" t="inlineStr">
        <is>
          <t>用户选择不抓取资金流</t>
        </is>
      </c>
      <c r="L51" t="b">
        <v>0</v>
      </c>
      <c r="M51" t="inlineStr">
        <is>
          <t>配置</t>
        </is>
      </c>
      <c r="N51" t="b">
        <v>0</v>
      </c>
    </row>
    <row r="52">
      <c r="A52" t="inlineStr">
        <is>
          <t>A股</t>
        </is>
      </c>
      <c r="B52" t="inlineStr">
        <is>
          <t>000009</t>
        </is>
      </c>
      <c r="C52" t="inlineStr">
        <is>
          <t>中国宝安</t>
        </is>
      </c>
      <c r="D52" t="inlineStr">
        <is>
          <t>最新行情</t>
        </is>
      </c>
      <c r="E52" t="inlineStr">
        <is>
          <t>东方财富</t>
        </is>
      </c>
      <c r="F52" t="inlineStr">
        <is>
          <t>push2 ulist.np/get f2,f20（按指定证券分批）</t>
        </is>
      </c>
      <c r="G52" s="32" t="n">
        <v>46263.25725223734</v>
      </c>
      <c r="H52" t="inlineStr">
        <is>
          <t>CNY</t>
        </is>
      </c>
      <c r="I52" t="inlineStr">
        <is>
          <t>CNY</t>
        </is>
      </c>
      <c r="J52" t="inlineStr">
        <is>
          <t>ok</t>
        </is>
      </c>
      <c r="L52" t="b">
        <v>0</v>
      </c>
      <c r="M52" t="inlineStr">
        <is>
          <t>东方财富</t>
        </is>
      </c>
      <c r="N52" t="b">
        <v>1</v>
      </c>
    </row>
    <row r="53">
      <c r="A53" t="inlineStr">
        <is>
          <t>A股</t>
        </is>
      </c>
      <c r="B53" t="inlineStr">
        <is>
          <t>000009</t>
        </is>
      </c>
      <c r="C53" t="inlineStr">
        <is>
          <t>中国宝安</t>
        </is>
      </c>
      <c r="D53" t="inlineStr">
        <is>
          <t>大宗交易</t>
        </is>
      </c>
      <c r="E53" t="inlineStr">
        <is>
          <t>东方财富</t>
        </is>
      </c>
      <c r="F53" t="inlineStr">
        <is>
          <t>RPT_DATA_BLOCKTRADE 2026（全市场分页后本地聚合）</t>
        </is>
      </c>
      <c r="G53" s="32" t="n">
        <v>46263.25725717199</v>
      </c>
      <c r="H53" t="inlineStr">
        <is>
          <t>CNY</t>
        </is>
      </c>
      <c r="I53" t="inlineStr">
        <is>
          <t>CNY</t>
        </is>
      </c>
      <c r="J53" t="inlineStr">
        <is>
          <t>ok</t>
        </is>
      </c>
      <c r="L53" t="b">
        <v>0</v>
      </c>
      <c r="M53" t="inlineStr">
        <is>
          <t>东方财富</t>
        </is>
      </c>
      <c r="N53" t="b">
        <v>1</v>
      </c>
    </row>
    <row r="54">
      <c r="A54" t="inlineStr">
        <is>
          <t>A股</t>
        </is>
      </c>
      <c r="B54" t="inlineStr">
        <is>
          <t>000009</t>
        </is>
      </c>
      <c r="C54" t="inlineStr">
        <is>
          <t>中国宝安</t>
        </is>
      </c>
      <c r="D54" t="inlineStr">
        <is>
          <t>年度财务</t>
        </is>
      </c>
      <c r="E54" t="inlineStr">
        <is>
          <t>东方财富</t>
        </is>
      </c>
      <c r="F54" t="inlineStr">
        <is>
          <t>RPT_LICO_FN_CPD + RPT_DMSK_FN_CASHFLOW；巨潮回退原因：未配置巨潮官方 API 凭证/端点（CNINFO_ACCESS_TOKEN、CNINFO_INCOME_API_URL、CNINFO_CASHFLOW_API_URL）</t>
        </is>
      </c>
      <c r="G54" s="32" t="n">
        <v>46263.25727059447</v>
      </c>
      <c r="H54" t="inlineStr">
        <is>
          <t>CNY</t>
        </is>
      </c>
      <c r="I54" t="inlineStr">
        <is>
          <t>CNY</t>
        </is>
      </c>
      <c r="J54" t="inlineStr">
        <is>
          <t>ok</t>
        </is>
      </c>
      <c r="L54" t="b">
        <v>1</v>
      </c>
      <c r="M54" t="inlineStr">
        <is>
          <t>巨潮资讯（CNINFO Data Service）</t>
        </is>
      </c>
      <c r="N54" t="b">
        <v>1</v>
      </c>
    </row>
    <row r="55">
      <c r="A55" t="inlineStr">
        <is>
          <t>A股</t>
        </is>
      </c>
      <c r="B55" t="inlineStr">
        <is>
          <t>000009</t>
        </is>
      </c>
      <c r="C55" t="inlineStr">
        <is>
          <t>中国宝安</t>
        </is>
      </c>
      <c r="D55" t="inlineStr">
        <is>
          <t>上市与发行信息</t>
        </is>
      </c>
      <c r="E55" t="inlineStr">
        <is>
          <t>东方财富</t>
        </is>
      </c>
      <c r="F55" t="inlineStr">
        <is>
          <t>RPT_PCF10_ORG_ISSUEINFO</t>
        </is>
      </c>
      <c r="G55" s="32" t="n">
        <v>46263.25732796985</v>
      </c>
      <c r="H55" t="inlineStr">
        <is>
          <t>CNY</t>
        </is>
      </c>
      <c r="I55" t="inlineStr">
        <is>
          <t>CNY</t>
        </is>
      </c>
      <c r="J55" t="inlineStr">
        <is>
          <t>ok</t>
        </is>
      </c>
      <c r="L55" t="b">
        <v>0</v>
      </c>
      <c r="M55" t="inlineStr">
        <is>
          <t>东方财富</t>
        </is>
      </c>
      <c r="N55" t="b">
        <v>1</v>
      </c>
    </row>
    <row r="56">
      <c r="A56" t="inlineStr">
        <is>
          <t>A股</t>
        </is>
      </c>
      <c r="B56" t="inlineStr">
        <is>
          <t>000009</t>
        </is>
      </c>
      <c r="C56" t="inlineStr">
        <is>
          <t>中国宝安</t>
        </is>
      </c>
      <c r="D56" t="inlineStr">
        <is>
          <t>资金流</t>
        </is>
      </c>
      <c r="E56" t="inlineStr">
        <is>
          <t>配置</t>
        </is>
      </c>
      <c r="F56" t="inlineStr">
        <is>
          <t>flow-mode-off</t>
        </is>
      </c>
      <c r="G56" s="32" t="n">
        <v>46263.25754607147</v>
      </c>
      <c r="I56" t="inlineStr">
        <is>
          <t>CNY</t>
        </is>
      </c>
      <c r="J56" t="inlineStr">
        <is>
          <t>optional_missing</t>
        </is>
      </c>
      <c r="K56" t="inlineStr">
        <is>
          <t>用户选择不抓取资金流</t>
        </is>
      </c>
      <c r="L56" t="b">
        <v>0</v>
      </c>
      <c r="M56" t="inlineStr">
        <is>
          <t>配置</t>
        </is>
      </c>
      <c r="N56" t="b">
        <v>0</v>
      </c>
    </row>
    <row r="57">
      <c r="A57" t="inlineStr">
        <is>
          <t>港股</t>
        </is>
      </c>
      <c r="B57" t="inlineStr">
        <is>
          <t>00006</t>
        </is>
      </c>
      <c r="C57" t="inlineStr">
        <is>
          <t>POWER ASSETS</t>
        </is>
      </c>
      <c r="D57" t="inlineStr">
        <is>
          <t>最新行情</t>
        </is>
      </c>
      <c r="E57" t="inlineStr">
        <is>
          <t>东方财富</t>
        </is>
      </c>
      <c r="F57" t="inlineStr">
        <is>
          <t>push2 ulist.np/get f2,f20（按指定证券分批）</t>
        </is>
      </c>
      <c r="G57" s="32" t="n">
        <v>46263.25725223734</v>
      </c>
      <c r="H57" t="inlineStr">
        <is>
          <t>HKD</t>
        </is>
      </c>
      <c r="I57" t="inlineStr">
        <is>
          <t>HKD</t>
        </is>
      </c>
      <c r="J57" t="inlineStr">
        <is>
          <t>ok</t>
        </is>
      </c>
      <c r="L57" t="b">
        <v>0</v>
      </c>
      <c r="M57" t="inlineStr">
        <is>
          <t>东方财富</t>
        </is>
      </c>
      <c r="N57" t="b">
        <v>1</v>
      </c>
    </row>
    <row r="58">
      <c r="A58" t="inlineStr">
        <is>
          <t>港股</t>
        </is>
      </c>
      <c r="B58" t="inlineStr">
        <is>
          <t>00006</t>
        </is>
      </c>
      <c r="C58" t="inlineStr">
        <is>
          <t>POWER ASSETS</t>
        </is>
      </c>
      <c r="D58" t="inlineStr">
        <is>
          <t>大宗交易</t>
        </is>
      </c>
      <c r="E58" t="inlineStr">
        <is>
          <t>东方财富</t>
        </is>
      </c>
      <c r="F58" t="inlineStr">
        <is>
          <t>not-applicable-hk</t>
        </is>
      </c>
      <c r="G58" s="32" t="n">
        <v>46263.25725433244</v>
      </c>
      <c r="I58" t="inlineStr">
        <is>
          <t>HKD</t>
        </is>
      </c>
      <c r="J58" t="inlineStr">
        <is>
          <t>optional_missing</t>
        </is>
      </c>
      <c r="K58" t="inlineStr">
        <is>
          <t>港股大宗交易按允许缺失规则留空</t>
        </is>
      </c>
      <c r="L58" t="b">
        <v>0</v>
      </c>
      <c r="M58" t="inlineStr">
        <is>
          <t>东方财富</t>
        </is>
      </c>
      <c r="N58" t="b">
        <v>1</v>
      </c>
    </row>
    <row r="59">
      <c r="A59" t="inlineStr">
        <is>
          <t>港股</t>
        </is>
      </c>
      <c r="B59" t="inlineStr">
        <is>
          <t>00006</t>
        </is>
      </c>
      <c r="C59" t="inlineStr">
        <is>
          <t>POWER ASSETS</t>
        </is>
      </c>
      <c r="D59" t="inlineStr">
        <is>
          <t>年度财务</t>
        </is>
      </c>
      <c r="E59" t="inlineStr">
        <is>
          <t>东方财富</t>
        </is>
      </c>
      <c r="F59" t="inlineStr">
        <is>
          <t>RPT_HKF10_FN_MAININDICATOR</t>
        </is>
      </c>
      <c r="G59" s="32" t="n">
        <v>46263.25726809246</v>
      </c>
      <c r="H59" t="inlineStr">
        <is>
          <t>HKD</t>
        </is>
      </c>
      <c r="I59" t="inlineStr">
        <is>
          <t>HKD</t>
        </is>
      </c>
      <c r="J59" t="inlineStr">
        <is>
          <t>ok</t>
        </is>
      </c>
      <c r="L59" t="b">
        <v>0</v>
      </c>
      <c r="M59" t="inlineStr">
        <is>
          <t>东方财富</t>
        </is>
      </c>
      <c r="N59" t="b">
        <v>1</v>
      </c>
    </row>
    <row r="60">
      <c r="A60" t="inlineStr">
        <is>
          <t>港股</t>
        </is>
      </c>
      <c r="B60" t="inlineStr">
        <is>
          <t>00006</t>
        </is>
      </c>
      <c r="C60" t="inlineStr">
        <is>
          <t>POWER ASSETS</t>
        </is>
      </c>
      <c r="D60" t="inlineStr">
        <is>
          <t>上市与发行信息</t>
        </is>
      </c>
      <c r="E60" t="inlineStr">
        <is>
          <t>东方财富</t>
        </is>
      </c>
      <c r="F60" t="inlineStr">
        <is>
          <t>RPT_HKF10_INFO_SECURITYINFO</t>
        </is>
      </c>
      <c r="G60" s="32" t="n">
        <v>46263.25732972613</v>
      </c>
      <c r="H60" t="inlineStr">
        <is>
          <t>HKD</t>
        </is>
      </c>
      <c r="I60" t="inlineStr">
        <is>
          <t>HKD</t>
        </is>
      </c>
      <c r="J60" t="inlineStr">
        <is>
          <t>ok</t>
        </is>
      </c>
      <c r="L60" t="b">
        <v>0</v>
      </c>
      <c r="M60" t="inlineStr">
        <is>
          <t>东方财富</t>
        </is>
      </c>
      <c r="N60" t="b">
        <v>1</v>
      </c>
    </row>
    <row r="61">
      <c r="A61" t="inlineStr">
        <is>
          <t>港股</t>
        </is>
      </c>
      <c r="B61" t="inlineStr">
        <is>
          <t>00006</t>
        </is>
      </c>
      <c r="C61" t="inlineStr">
        <is>
          <t>POWER ASSETS</t>
        </is>
      </c>
      <c r="D61" t="inlineStr">
        <is>
          <t>资金流</t>
        </is>
      </c>
      <c r="E61" t="inlineStr">
        <is>
          <t>配置</t>
        </is>
      </c>
      <c r="F61" t="inlineStr">
        <is>
          <t>flow-mode-off</t>
        </is>
      </c>
      <c r="G61" s="32" t="n">
        <v>46263.25754607147</v>
      </c>
      <c r="I61" t="inlineStr">
        <is>
          <t>HKD</t>
        </is>
      </c>
      <c r="J61" t="inlineStr">
        <is>
          <t>optional_missing</t>
        </is>
      </c>
      <c r="K61" t="inlineStr">
        <is>
          <t>用户选择不抓取资金流</t>
        </is>
      </c>
      <c r="L61" t="b">
        <v>0</v>
      </c>
      <c r="M61" t="inlineStr">
        <is>
          <t>配置</t>
        </is>
      </c>
      <c r="N61" t="b">
        <v>0</v>
      </c>
    </row>
    <row r="62">
      <c r="A62" t="inlineStr">
        <is>
          <t>A股</t>
        </is>
      </c>
      <c r="B62" t="inlineStr">
        <is>
          <t>000010</t>
        </is>
      </c>
      <c r="C62" t="inlineStr">
        <is>
          <t>*ST美丽</t>
        </is>
      </c>
      <c r="D62" t="inlineStr">
        <is>
          <t>最新行情</t>
        </is>
      </c>
      <c r="E62" t="inlineStr">
        <is>
          <t>东方财富</t>
        </is>
      </c>
      <c r="F62" t="inlineStr">
        <is>
          <t>push2 ulist.np/get f2,f20（按指定证券分批）</t>
        </is>
      </c>
      <c r="G62" s="32" t="n">
        <v>46263.25725223734</v>
      </c>
      <c r="H62" t="inlineStr">
        <is>
          <t>CNY</t>
        </is>
      </c>
      <c r="I62" t="inlineStr">
        <is>
          <t>CNY</t>
        </is>
      </c>
      <c r="J62" t="inlineStr">
        <is>
          <t>ok</t>
        </is>
      </c>
      <c r="L62" t="b">
        <v>0</v>
      </c>
      <c r="M62" t="inlineStr">
        <is>
          <t>东方财富</t>
        </is>
      </c>
      <c r="N62" t="b">
        <v>1</v>
      </c>
    </row>
    <row r="63">
      <c r="A63" t="inlineStr">
        <is>
          <t>A股</t>
        </is>
      </c>
      <c r="B63" t="inlineStr">
        <is>
          <t>000010</t>
        </is>
      </c>
      <c r="C63" t="inlineStr">
        <is>
          <t>*ST美丽</t>
        </is>
      </c>
      <c r="D63" t="inlineStr">
        <is>
          <t>大宗交易</t>
        </is>
      </c>
      <c r="E63" t="inlineStr">
        <is>
          <t>东方财富</t>
        </is>
      </c>
      <c r="F63" t="inlineStr">
        <is>
          <t>RPT_DATA_BLOCKTRADE 2026（全市场分页后本地聚合）</t>
        </is>
      </c>
      <c r="G63" s="32" t="n">
        <v>46263.25725717199</v>
      </c>
      <c r="H63" t="inlineStr">
        <is>
          <t>CNY</t>
        </is>
      </c>
      <c r="I63" t="inlineStr">
        <is>
          <t>CNY</t>
        </is>
      </c>
      <c r="J63" t="inlineStr">
        <is>
          <t>ok</t>
        </is>
      </c>
      <c r="L63" t="b">
        <v>0</v>
      </c>
      <c r="M63" t="inlineStr">
        <is>
          <t>东方财富</t>
        </is>
      </c>
      <c r="N63" t="b">
        <v>1</v>
      </c>
    </row>
    <row r="64">
      <c r="A64" t="inlineStr">
        <is>
          <t>A股</t>
        </is>
      </c>
      <c r="B64" t="inlineStr">
        <is>
          <t>000010</t>
        </is>
      </c>
      <c r="C64" t="inlineStr">
        <is>
          <t>*ST美丽</t>
        </is>
      </c>
      <c r="D64" t="inlineStr">
        <is>
          <t>年度财务</t>
        </is>
      </c>
      <c r="E64" t="inlineStr">
        <is>
          <t>东方财富</t>
        </is>
      </c>
      <c r="F64" t="inlineStr">
        <is>
          <t>RPT_LICO_FN_CPD + RPT_DMSK_FN_CASHFLOW；巨潮回退原因：未配置巨潮官方 API 凭证/端点（CNINFO_ACCESS_TOKEN、CNINFO_INCOME_API_URL、CNINFO_CASHFLOW_API_URL）</t>
        </is>
      </c>
      <c r="G64" s="32" t="n">
        <v>46263.25727302732</v>
      </c>
      <c r="H64" t="inlineStr">
        <is>
          <t>CNY</t>
        </is>
      </c>
      <c r="I64" t="inlineStr">
        <is>
          <t>CNY</t>
        </is>
      </c>
      <c r="J64" t="inlineStr">
        <is>
          <t>ok</t>
        </is>
      </c>
      <c r="L64" t="b">
        <v>1</v>
      </c>
      <c r="M64" t="inlineStr">
        <is>
          <t>巨潮资讯（CNINFO Data Service）</t>
        </is>
      </c>
      <c r="N64" t="b">
        <v>1</v>
      </c>
    </row>
    <row r="65">
      <c r="A65" t="inlineStr">
        <is>
          <t>A股</t>
        </is>
      </c>
      <c r="B65" t="inlineStr">
        <is>
          <t>000010</t>
        </is>
      </c>
      <c r="C65" t="inlineStr">
        <is>
          <t>*ST美丽</t>
        </is>
      </c>
      <c r="D65" t="inlineStr">
        <is>
          <t>上市与发行信息</t>
        </is>
      </c>
      <c r="E65" t="inlineStr">
        <is>
          <t>东方财富</t>
        </is>
      </c>
      <c r="F65" t="inlineStr">
        <is>
          <t>RPT_PCF10_ORG_ISSUEINFO</t>
        </is>
      </c>
      <c r="G65" s="32" t="n">
        <v>46263.25732909916</v>
      </c>
      <c r="H65" t="inlineStr">
        <is>
          <t>CNY</t>
        </is>
      </c>
      <c r="I65" t="inlineStr">
        <is>
          <t>CNY</t>
        </is>
      </c>
      <c r="J65" t="inlineStr">
        <is>
          <t>ok</t>
        </is>
      </c>
      <c r="L65" t="b">
        <v>0</v>
      </c>
      <c r="M65" t="inlineStr">
        <is>
          <t>东方财富</t>
        </is>
      </c>
      <c r="N65" t="b">
        <v>1</v>
      </c>
    </row>
    <row r="66">
      <c r="A66" t="inlineStr">
        <is>
          <t>A股</t>
        </is>
      </c>
      <c r="B66" t="inlineStr">
        <is>
          <t>000010</t>
        </is>
      </c>
      <c r="C66" t="inlineStr">
        <is>
          <t>*ST美丽</t>
        </is>
      </c>
      <c r="D66" t="inlineStr">
        <is>
          <t>资金流</t>
        </is>
      </c>
      <c r="E66" t="inlineStr">
        <is>
          <t>配置</t>
        </is>
      </c>
      <c r="F66" t="inlineStr">
        <is>
          <t>flow-mode-off</t>
        </is>
      </c>
      <c r="G66" s="32" t="n">
        <v>46263.25754607147</v>
      </c>
      <c r="I66" t="inlineStr">
        <is>
          <t>CNY</t>
        </is>
      </c>
      <c r="J66" t="inlineStr">
        <is>
          <t>optional_missing</t>
        </is>
      </c>
      <c r="K66" t="inlineStr">
        <is>
          <t>用户选择不抓取资金流</t>
        </is>
      </c>
      <c r="L66" t="b">
        <v>0</v>
      </c>
      <c r="M66" t="inlineStr">
        <is>
          <t>配置</t>
        </is>
      </c>
      <c r="N66" t="b">
        <v>0</v>
      </c>
    </row>
    <row r="67">
      <c r="A67" t="inlineStr">
        <is>
          <t>港股</t>
        </is>
      </c>
      <c r="B67" t="inlineStr">
        <is>
          <t>00007</t>
        </is>
      </c>
      <c r="C67" t="inlineStr">
        <is>
          <t>WISDOM WEALTH</t>
        </is>
      </c>
      <c r="D67" t="inlineStr">
        <is>
          <t>最新行情</t>
        </is>
      </c>
      <c r="E67" t="inlineStr">
        <is>
          <t>东方财富</t>
        </is>
      </c>
      <c r="F67" t="inlineStr">
        <is>
          <t>push2 ulist.np/get f2,f20（按指定证券分批）</t>
        </is>
      </c>
      <c r="G67" s="32" t="n">
        <v>46263.25725223734</v>
      </c>
      <c r="H67" t="inlineStr">
        <is>
          <t>HKD</t>
        </is>
      </c>
      <c r="I67" t="inlineStr">
        <is>
          <t>HKD</t>
        </is>
      </c>
      <c r="J67" t="inlineStr">
        <is>
          <t>ok</t>
        </is>
      </c>
      <c r="L67" t="b">
        <v>0</v>
      </c>
      <c r="M67" t="inlineStr">
        <is>
          <t>东方财富</t>
        </is>
      </c>
      <c r="N67" t="b">
        <v>1</v>
      </c>
    </row>
    <row r="68">
      <c r="A68" t="inlineStr">
        <is>
          <t>港股</t>
        </is>
      </c>
      <c r="B68" t="inlineStr">
        <is>
          <t>00007</t>
        </is>
      </c>
      <c r="C68" t="inlineStr">
        <is>
          <t>WISDOM WEALTH</t>
        </is>
      </c>
      <c r="D68" t="inlineStr">
        <is>
          <t>大宗交易</t>
        </is>
      </c>
      <c r="E68" t="inlineStr">
        <is>
          <t>东方财富</t>
        </is>
      </c>
      <c r="F68" t="inlineStr">
        <is>
          <t>not-applicable-hk</t>
        </is>
      </c>
      <c r="G68" s="32" t="n">
        <v>46263.25725433244</v>
      </c>
      <c r="I68" t="inlineStr">
        <is>
          <t>HKD</t>
        </is>
      </c>
      <c r="J68" t="inlineStr">
        <is>
          <t>optional_missing</t>
        </is>
      </c>
      <c r="K68" t="inlineStr">
        <is>
          <t>港股大宗交易按允许缺失规则留空</t>
        </is>
      </c>
      <c r="L68" t="b">
        <v>0</v>
      </c>
      <c r="M68" t="inlineStr">
        <is>
          <t>东方财富</t>
        </is>
      </c>
      <c r="N68" t="b">
        <v>1</v>
      </c>
    </row>
    <row r="69">
      <c r="A69" t="inlineStr">
        <is>
          <t>港股</t>
        </is>
      </c>
      <c r="B69" t="inlineStr">
        <is>
          <t>00007</t>
        </is>
      </c>
      <c r="C69" t="inlineStr">
        <is>
          <t>WISDOM WEALTH</t>
        </is>
      </c>
      <c r="D69" t="inlineStr">
        <is>
          <t>年度财务</t>
        </is>
      </c>
      <c r="E69" t="inlineStr">
        <is>
          <t>东方财富</t>
        </is>
      </c>
      <c r="F69" t="inlineStr">
        <is>
          <t>RPT_HKF10_FN_MAININDICATOR</t>
        </is>
      </c>
      <c r="G69" s="32" t="n">
        <v>46263.25726920838</v>
      </c>
      <c r="H69" t="inlineStr">
        <is>
          <t>HKD</t>
        </is>
      </c>
      <c r="I69" t="inlineStr">
        <is>
          <t>HKD</t>
        </is>
      </c>
      <c r="J69" t="inlineStr">
        <is>
          <t>ok</t>
        </is>
      </c>
      <c r="L69" t="b">
        <v>0</v>
      </c>
      <c r="M69" t="inlineStr">
        <is>
          <t>东方财富</t>
        </is>
      </c>
      <c r="N69" t="b">
        <v>1</v>
      </c>
    </row>
    <row r="70">
      <c r="A70" t="inlineStr">
        <is>
          <t>A股</t>
        </is>
      </c>
      <c r="B70" t="inlineStr">
        <is>
          <t>000011</t>
        </is>
      </c>
      <c r="C70" t="inlineStr">
        <is>
          <t>深物业A</t>
        </is>
      </c>
      <c r="D70" t="inlineStr">
        <is>
          <t>最新行情</t>
        </is>
      </c>
      <c r="E70" t="inlineStr">
        <is>
          <t>东方财富</t>
        </is>
      </c>
      <c r="F70" t="inlineStr">
        <is>
          <t>push2 ulist.np/get f2,f20（按指定证券分批）</t>
        </is>
      </c>
      <c r="G70" s="32" t="n">
        <v>46263.25725223734</v>
      </c>
      <c r="H70" t="inlineStr">
        <is>
          <t>CNY</t>
        </is>
      </c>
      <c r="I70" t="inlineStr">
        <is>
          <t>CNY</t>
        </is>
      </c>
      <c r="J70" t="inlineStr">
        <is>
          <t>ok</t>
        </is>
      </c>
      <c r="L70" t="b">
        <v>0</v>
      </c>
      <c r="M70" t="inlineStr">
        <is>
          <t>东方财富</t>
        </is>
      </c>
      <c r="N70" t="b">
        <v>1</v>
      </c>
    </row>
    <row r="71">
      <c r="A71" t="inlineStr">
        <is>
          <t>A股</t>
        </is>
      </c>
      <c r="B71" t="inlineStr">
        <is>
          <t>000011</t>
        </is>
      </c>
      <c r="C71" t="inlineStr">
        <is>
          <t>深物业A</t>
        </is>
      </c>
      <c r="D71" t="inlineStr">
        <is>
          <t>大宗交易</t>
        </is>
      </c>
      <c r="E71" t="inlineStr">
        <is>
          <t>东方财富</t>
        </is>
      </c>
      <c r="F71" t="inlineStr">
        <is>
          <t>RPT_DATA_BLOCKTRADE 2026（全市场分页后本地聚合）</t>
        </is>
      </c>
      <c r="G71" s="32" t="n">
        <v>46263.25725717199</v>
      </c>
      <c r="H71" t="inlineStr">
        <is>
          <t>CNY</t>
        </is>
      </c>
      <c r="I71" t="inlineStr">
        <is>
          <t>CNY</t>
        </is>
      </c>
      <c r="J71" t="inlineStr">
        <is>
          <t>ok</t>
        </is>
      </c>
      <c r="L71" t="b">
        <v>0</v>
      </c>
      <c r="M71" t="inlineStr">
        <is>
          <t>东方财富</t>
        </is>
      </c>
      <c r="N71" t="b">
        <v>1</v>
      </c>
    </row>
    <row r="72">
      <c r="A72" t="inlineStr">
        <is>
          <t>A股</t>
        </is>
      </c>
      <c r="B72" t="inlineStr">
        <is>
          <t>000011</t>
        </is>
      </c>
      <c r="C72" t="inlineStr">
        <is>
          <t>深物业A</t>
        </is>
      </c>
      <c r="D72" t="inlineStr">
        <is>
          <t>年度财务</t>
        </is>
      </c>
      <c r="E72" t="inlineStr">
        <is>
          <t>东方财富</t>
        </is>
      </c>
      <c r="F72" t="inlineStr">
        <is>
          <t>RPT_LICO_FN_CPD + RPT_DMSK_FN_CASHFLOW；巨潮回退原因：未配置巨潮官方 API 凭证/端点（CNINFO_ACCESS_TOKEN、CNINFO_INCOME_API_URL、CNINFO_CASHFLOW_API_URL）</t>
        </is>
      </c>
      <c r="G72" s="32" t="n">
        <v>46263.25727834732</v>
      </c>
      <c r="H72" t="inlineStr">
        <is>
          <t>CNY</t>
        </is>
      </c>
      <c r="I72" t="inlineStr">
        <is>
          <t>CNY</t>
        </is>
      </c>
      <c r="J72" t="inlineStr">
        <is>
          <t>ok</t>
        </is>
      </c>
      <c r="L72" t="b">
        <v>1</v>
      </c>
      <c r="M72" t="inlineStr">
        <is>
          <t>巨潮资讯（CNINFO Data Service）</t>
        </is>
      </c>
      <c r="N72" t="b">
        <v>1</v>
      </c>
    </row>
    <row r="73">
      <c r="A73" t="inlineStr">
        <is>
          <t>A股</t>
        </is>
      </c>
      <c r="B73" t="inlineStr">
        <is>
          <t>000011</t>
        </is>
      </c>
      <c r="C73" t="inlineStr">
        <is>
          <t>深物业A</t>
        </is>
      </c>
      <c r="D73" t="inlineStr">
        <is>
          <t>上市与发行信息</t>
        </is>
      </c>
      <c r="E73" t="inlineStr">
        <is>
          <t>东方财富</t>
        </is>
      </c>
      <c r="F73" t="inlineStr">
        <is>
          <t>RPT_PCF10_ORG_ISSUEINFO</t>
        </is>
      </c>
      <c r="G73" s="32" t="n">
        <v>46263.25732964894</v>
      </c>
      <c r="H73" t="inlineStr">
        <is>
          <t>CNY</t>
        </is>
      </c>
      <c r="I73" t="inlineStr">
        <is>
          <t>CNY</t>
        </is>
      </c>
      <c r="J73" t="inlineStr">
        <is>
          <t>ok</t>
        </is>
      </c>
      <c r="L73" t="b">
        <v>0</v>
      </c>
      <c r="M73" t="inlineStr">
        <is>
          <t>东方财富</t>
        </is>
      </c>
      <c r="N73" t="b">
        <v>1</v>
      </c>
    </row>
    <row r="74">
      <c r="A74" t="inlineStr">
        <is>
          <t>A股</t>
        </is>
      </c>
      <c r="B74" t="inlineStr">
        <is>
          <t>000011</t>
        </is>
      </c>
      <c r="C74" t="inlineStr">
        <is>
          <t>深物业A</t>
        </is>
      </c>
      <c r="D74" t="inlineStr">
        <is>
          <t>资金流</t>
        </is>
      </c>
      <c r="E74" t="inlineStr">
        <is>
          <t>配置</t>
        </is>
      </c>
      <c r="F74" t="inlineStr">
        <is>
          <t>flow-mode-off</t>
        </is>
      </c>
      <c r="G74" s="32" t="n">
        <v>46263.25754607147</v>
      </c>
      <c r="I74" t="inlineStr">
        <is>
          <t>CNY</t>
        </is>
      </c>
      <c r="J74" t="inlineStr">
        <is>
          <t>optional_missing</t>
        </is>
      </c>
      <c r="K74" t="inlineStr">
        <is>
          <t>用户选择不抓取资金流</t>
        </is>
      </c>
      <c r="L74" t="b">
        <v>0</v>
      </c>
      <c r="M74" t="inlineStr">
        <is>
          <t>配置</t>
        </is>
      </c>
      <c r="N74" t="b">
        <v>0</v>
      </c>
    </row>
    <row r="75">
      <c r="A75" t="inlineStr">
        <is>
          <t>港股</t>
        </is>
      </c>
      <c r="B75" t="inlineStr">
        <is>
          <t>00008</t>
        </is>
      </c>
      <c r="C75" t="inlineStr">
        <is>
          <t>PCCW</t>
        </is>
      </c>
      <c r="D75" t="inlineStr">
        <is>
          <t>最新行情</t>
        </is>
      </c>
      <c r="E75" t="inlineStr">
        <is>
          <t>东方财富</t>
        </is>
      </c>
      <c r="F75" t="inlineStr">
        <is>
          <t>push2 ulist.np/get f2,f20（按指定证券分批）</t>
        </is>
      </c>
      <c r="G75" s="32" t="n">
        <v>46263.25725223734</v>
      </c>
      <c r="H75" t="inlineStr">
        <is>
          <t>HKD</t>
        </is>
      </c>
      <c r="I75" t="inlineStr">
        <is>
          <t>HKD</t>
        </is>
      </c>
      <c r="J75" t="inlineStr">
        <is>
          <t>ok</t>
        </is>
      </c>
      <c r="L75" t="b">
        <v>0</v>
      </c>
      <c r="M75" t="inlineStr">
        <is>
          <t>东方财富</t>
        </is>
      </c>
      <c r="N75" t="b">
        <v>1</v>
      </c>
    </row>
    <row r="76">
      <c r="A76" t="inlineStr">
        <is>
          <t>港股</t>
        </is>
      </c>
      <c r="B76" t="inlineStr">
        <is>
          <t>00008</t>
        </is>
      </c>
      <c r="C76" t="inlineStr">
        <is>
          <t>PCCW</t>
        </is>
      </c>
      <c r="D76" t="inlineStr">
        <is>
          <t>大宗交易</t>
        </is>
      </c>
      <c r="E76" t="inlineStr">
        <is>
          <t>东方财富</t>
        </is>
      </c>
      <c r="F76" t="inlineStr">
        <is>
          <t>not-applicable-hk</t>
        </is>
      </c>
      <c r="G76" s="32" t="n">
        <v>46263.25725433244</v>
      </c>
      <c r="I76" t="inlineStr">
        <is>
          <t>HKD</t>
        </is>
      </c>
      <c r="J76" t="inlineStr">
        <is>
          <t>optional_missing</t>
        </is>
      </c>
      <c r="K76" t="inlineStr">
        <is>
          <t>港股大宗交易按允许缺失规则留空</t>
        </is>
      </c>
      <c r="L76" t="b">
        <v>0</v>
      </c>
      <c r="M76" t="inlineStr">
        <is>
          <t>东方财富</t>
        </is>
      </c>
      <c r="N76" t="b">
        <v>1</v>
      </c>
    </row>
    <row r="77">
      <c r="A77" t="inlineStr">
        <is>
          <t>港股</t>
        </is>
      </c>
      <c r="B77" t="inlineStr">
        <is>
          <t>00008</t>
        </is>
      </c>
      <c r="C77" t="inlineStr">
        <is>
          <t>PCCW</t>
        </is>
      </c>
      <c r="D77" t="inlineStr">
        <is>
          <t>年度财务</t>
        </is>
      </c>
      <c r="E77" t="inlineStr">
        <is>
          <t>东方财富</t>
        </is>
      </c>
      <c r="F77" t="inlineStr">
        <is>
          <t>RPT_HKF10_FN_MAININDICATOR</t>
        </is>
      </c>
      <c r="G77" s="32" t="n">
        <v>46263.257269457</v>
      </c>
      <c r="H77" t="inlineStr">
        <is>
          <t>HKD</t>
        </is>
      </c>
      <c r="I77" t="inlineStr">
        <is>
          <t>HKD</t>
        </is>
      </c>
      <c r="J77" t="inlineStr">
        <is>
          <t>ok</t>
        </is>
      </c>
      <c r="L77" t="b">
        <v>0</v>
      </c>
      <c r="M77" t="inlineStr">
        <is>
          <t>东方财富</t>
        </is>
      </c>
      <c r="N77" t="b">
        <v>1</v>
      </c>
    </row>
    <row r="78">
      <c r="A78" t="inlineStr">
        <is>
          <t>港股</t>
        </is>
      </c>
      <c r="B78" t="inlineStr">
        <is>
          <t>00008</t>
        </is>
      </c>
      <c r="C78" t="inlineStr">
        <is>
          <t>PCCW</t>
        </is>
      </c>
      <c r="D78" t="inlineStr">
        <is>
          <t>上市与发行信息</t>
        </is>
      </c>
      <c r="E78" t="inlineStr">
        <is>
          <t>东方财富</t>
        </is>
      </c>
      <c r="F78" t="inlineStr">
        <is>
          <t>RPT_HKF10_INFO_SECURITYINFO</t>
        </is>
      </c>
      <c r="G78" s="32" t="n">
        <v>46263.25733027428</v>
      </c>
      <c r="H78" t="inlineStr">
        <is>
          <t>HKD</t>
        </is>
      </c>
      <c r="I78" t="inlineStr">
        <is>
          <t>HKD</t>
        </is>
      </c>
      <c r="J78" t="inlineStr">
        <is>
          <t>ok</t>
        </is>
      </c>
      <c r="L78" t="b">
        <v>1</v>
      </c>
      <c r="M78" t="inlineStr">
        <is>
          <t>东方财富</t>
        </is>
      </c>
      <c r="N78" t="b">
        <v>1</v>
      </c>
    </row>
    <row r="79">
      <c r="A79" t="inlineStr">
        <is>
          <t>港股</t>
        </is>
      </c>
      <c r="B79" t="inlineStr">
        <is>
          <t>00008</t>
        </is>
      </c>
      <c r="C79" t="inlineStr">
        <is>
          <t>PCCW</t>
        </is>
      </c>
      <c r="D79" t="inlineStr">
        <is>
          <t>资金流</t>
        </is>
      </c>
      <c r="E79" t="inlineStr">
        <is>
          <t>配置</t>
        </is>
      </c>
      <c r="F79" t="inlineStr">
        <is>
          <t>flow-mode-off</t>
        </is>
      </c>
      <c r="G79" s="32" t="n">
        <v>46263.25754607147</v>
      </c>
      <c r="I79" t="inlineStr">
        <is>
          <t>HKD</t>
        </is>
      </c>
      <c r="J79" t="inlineStr">
        <is>
          <t>optional_missing</t>
        </is>
      </c>
      <c r="K79" t="inlineStr">
        <is>
          <t>用户选择不抓取资金流</t>
        </is>
      </c>
      <c r="L79" t="b">
        <v>0</v>
      </c>
      <c r="M79" t="inlineStr">
        <is>
          <t>配置</t>
        </is>
      </c>
      <c r="N79" t="b">
        <v>0</v>
      </c>
    </row>
    <row r="80">
      <c r="A80" t="inlineStr">
        <is>
          <t>A股</t>
        </is>
      </c>
      <c r="B80" t="inlineStr">
        <is>
          <t>000012</t>
        </is>
      </c>
      <c r="C80" t="inlineStr">
        <is>
          <t>南玻Ａ</t>
        </is>
      </c>
      <c r="D80" t="inlineStr">
        <is>
          <t>最新行情</t>
        </is>
      </c>
      <c r="E80" t="inlineStr">
        <is>
          <t>东方财富</t>
        </is>
      </c>
      <c r="F80" t="inlineStr">
        <is>
          <t>push2 ulist.np/get f2,f20（按指定证券分批）</t>
        </is>
      </c>
      <c r="G80" s="32" t="n">
        <v>46263.25725223734</v>
      </c>
      <c r="H80" t="inlineStr">
        <is>
          <t>CNY</t>
        </is>
      </c>
      <c r="I80" t="inlineStr">
        <is>
          <t>CNY</t>
        </is>
      </c>
      <c r="J80" t="inlineStr">
        <is>
          <t>ok</t>
        </is>
      </c>
      <c r="L80" t="b">
        <v>0</v>
      </c>
      <c r="M80" t="inlineStr">
        <is>
          <t>东方财富</t>
        </is>
      </c>
      <c r="N80" t="b">
        <v>1</v>
      </c>
    </row>
    <row r="81">
      <c r="A81" t="inlineStr">
        <is>
          <t>A股</t>
        </is>
      </c>
      <c r="B81" t="inlineStr">
        <is>
          <t>000012</t>
        </is>
      </c>
      <c r="C81" t="inlineStr">
        <is>
          <t>南玻Ａ</t>
        </is>
      </c>
      <c r="D81" t="inlineStr">
        <is>
          <t>大宗交易</t>
        </is>
      </c>
      <c r="E81" t="inlineStr">
        <is>
          <t>东方财富</t>
        </is>
      </c>
      <c r="F81" t="inlineStr">
        <is>
          <t>RPT_DATA_BLOCKTRADE 2026（全市场分页后本地聚合）</t>
        </is>
      </c>
      <c r="G81" s="32" t="n">
        <v>46263.25725717199</v>
      </c>
      <c r="H81" t="inlineStr">
        <is>
          <t>CNY</t>
        </is>
      </c>
      <c r="I81" t="inlineStr">
        <is>
          <t>CNY</t>
        </is>
      </c>
      <c r="J81" t="inlineStr">
        <is>
          <t>ok</t>
        </is>
      </c>
      <c r="L81" t="b">
        <v>0</v>
      </c>
      <c r="M81" t="inlineStr">
        <is>
          <t>东方财富</t>
        </is>
      </c>
      <c r="N81" t="b">
        <v>1</v>
      </c>
    </row>
    <row r="82">
      <c r="A82" t="inlineStr">
        <is>
          <t>A股</t>
        </is>
      </c>
      <c r="B82" t="inlineStr">
        <is>
          <t>000012</t>
        </is>
      </c>
      <c r="C82" t="inlineStr">
        <is>
          <t>南玻Ａ</t>
        </is>
      </c>
      <c r="D82" t="inlineStr">
        <is>
          <t>年度财务</t>
        </is>
      </c>
      <c r="E82" t="inlineStr">
        <is>
          <t>东方财富</t>
        </is>
      </c>
      <c r="F82" t="inlineStr">
        <is>
          <t>RPT_LICO_FN_CPD + RPT_DMSK_FN_CASHFLOW；巨潮回退原因：未配置巨潮官方 API 凭证/端点（CNINFO_ACCESS_TOKEN、CNINFO_INCOME_API_URL、CNINFO_CASHFLOW_API_URL）</t>
        </is>
      </c>
      <c r="G82" s="32" t="n">
        <v>46263.25727551388</v>
      </c>
      <c r="H82" t="inlineStr">
        <is>
          <t>CNY</t>
        </is>
      </c>
      <c r="I82" t="inlineStr">
        <is>
          <t>CNY</t>
        </is>
      </c>
      <c r="J82" t="inlineStr">
        <is>
          <t>ok</t>
        </is>
      </c>
      <c r="L82" t="b">
        <v>1</v>
      </c>
      <c r="M82" t="inlineStr">
        <is>
          <t>巨潮资讯（CNINFO Data Service）</t>
        </is>
      </c>
      <c r="N82" t="b">
        <v>1</v>
      </c>
    </row>
    <row r="83">
      <c r="A83" t="inlineStr">
        <is>
          <t>A股</t>
        </is>
      </c>
      <c r="B83" t="inlineStr">
        <is>
          <t>000012</t>
        </is>
      </c>
      <c r="C83" t="inlineStr">
        <is>
          <t>南玻Ａ</t>
        </is>
      </c>
      <c r="D83" t="inlineStr">
        <is>
          <t>上市与发行信息</t>
        </is>
      </c>
      <c r="E83" t="inlineStr">
        <is>
          <t>东方财富</t>
        </is>
      </c>
      <c r="F83" t="inlineStr">
        <is>
          <t>RPT_PCF10_ORG_ISSUEINFO</t>
        </is>
      </c>
      <c r="G83" s="32" t="n">
        <v>46263.25733087565</v>
      </c>
      <c r="H83" t="inlineStr">
        <is>
          <t>CNY</t>
        </is>
      </c>
      <c r="I83" t="inlineStr">
        <is>
          <t>CNY</t>
        </is>
      </c>
      <c r="J83" t="inlineStr">
        <is>
          <t>ok</t>
        </is>
      </c>
      <c r="L83" t="b">
        <v>0</v>
      </c>
      <c r="M83" t="inlineStr">
        <is>
          <t>东方财富</t>
        </is>
      </c>
      <c r="N83" t="b">
        <v>1</v>
      </c>
    </row>
    <row r="84">
      <c r="A84" t="inlineStr">
        <is>
          <t>A股</t>
        </is>
      </c>
      <c r="B84" t="inlineStr">
        <is>
          <t>000012</t>
        </is>
      </c>
      <c r="C84" t="inlineStr">
        <is>
          <t>南玻Ａ</t>
        </is>
      </c>
      <c r="D84" t="inlineStr">
        <is>
          <t>资金流</t>
        </is>
      </c>
      <c r="E84" t="inlineStr">
        <is>
          <t>配置</t>
        </is>
      </c>
      <c r="F84" t="inlineStr">
        <is>
          <t>flow-mode-off</t>
        </is>
      </c>
      <c r="G84" s="32" t="n">
        <v>46263.25754607147</v>
      </c>
      <c r="I84" t="inlineStr">
        <is>
          <t>CNY</t>
        </is>
      </c>
      <c r="J84" t="inlineStr">
        <is>
          <t>optional_missing</t>
        </is>
      </c>
      <c r="K84" t="inlineStr">
        <is>
          <t>用户选择不抓取资金流</t>
        </is>
      </c>
      <c r="L84" t="b">
        <v>0</v>
      </c>
      <c r="M84" t="inlineStr">
        <is>
          <t>配置</t>
        </is>
      </c>
      <c r="N84" t="b">
        <v>0</v>
      </c>
    </row>
    <row r="85">
      <c r="A85" t="inlineStr">
        <is>
          <t>港股</t>
        </is>
      </c>
      <c r="B85" t="inlineStr">
        <is>
          <t>00010</t>
        </is>
      </c>
      <c r="C85" t="inlineStr">
        <is>
          <t>HANG LUNG GROUP</t>
        </is>
      </c>
      <c r="D85" t="inlineStr">
        <is>
          <t>最新行情</t>
        </is>
      </c>
      <c r="E85" t="inlineStr">
        <is>
          <t>东方财富</t>
        </is>
      </c>
      <c r="F85" t="inlineStr">
        <is>
          <t>push2 ulist.np/get f2,f20（按指定证券分批）</t>
        </is>
      </c>
      <c r="G85" s="32" t="n">
        <v>46263.25725223734</v>
      </c>
      <c r="H85" t="inlineStr">
        <is>
          <t>HKD</t>
        </is>
      </c>
      <c r="I85" t="inlineStr">
        <is>
          <t>HKD</t>
        </is>
      </c>
      <c r="J85" t="inlineStr">
        <is>
          <t>ok</t>
        </is>
      </c>
      <c r="L85" t="b">
        <v>0</v>
      </c>
      <c r="M85" t="inlineStr">
        <is>
          <t>东方财富</t>
        </is>
      </c>
      <c r="N85" t="b">
        <v>1</v>
      </c>
    </row>
    <row r="86">
      <c r="A86" t="inlineStr">
        <is>
          <t>港股</t>
        </is>
      </c>
      <c r="B86" t="inlineStr">
        <is>
          <t>00010</t>
        </is>
      </c>
      <c r="C86" t="inlineStr">
        <is>
          <t>HANG LUNG GROUP</t>
        </is>
      </c>
      <c r="D86" t="inlineStr">
        <is>
          <t>大宗交易</t>
        </is>
      </c>
      <c r="E86" t="inlineStr">
        <is>
          <t>东方财富</t>
        </is>
      </c>
      <c r="F86" t="inlineStr">
        <is>
          <t>not-applicable-hk</t>
        </is>
      </c>
      <c r="G86" s="32" t="n">
        <v>46263.25725433244</v>
      </c>
      <c r="I86" t="inlineStr">
        <is>
          <t>HKD</t>
        </is>
      </c>
      <c r="J86" t="inlineStr">
        <is>
          <t>optional_missing</t>
        </is>
      </c>
      <c r="K86" t="inlineStr">
        <is>
          <t>港股大宗交易按允许缺失规则留空</t>
        </is>
      </c>
      <c r="L86" t="b">
        <v>0</v>
      </c>
      <c r="M86" t="inlineStr">
        <is>
          <t>东方财富</t>
        </is>
      </c>
      <c r="N86" t="b">
        <v>1</v>
      </c>
    </row>
    <row r="87">
      <c r="A87" t="inlineStr">
        <is>
          <t>港股</t>
        </is>
      </c>
      <c r="B87" t="inlineStr">
        <is>
          <t>00010</t>
        </is>
      </c>
      <c r="C87" t="inlineStr">
        <is>
          <t>HANG LUNG GROUP</t>
        </is>
      </c>
      <c r="D87" t="inlineStr">
        <is>
          <t>年度财务</t>
        </is>
      </c>
      <c r="E87" t="inlineStr">
        <is>
          <t>东方财富</t>
        </is>
      </c>
      <c r="F87" t="inlineStr">
        <is>
          <t>RPT_HKF10_FN_MAININDICATOR</t>
        </is>
      </c>
      <c r="G87" s="32" t="n">
        <v>46263.25727040571</v>
      </c>
      <c r="H87" t="inlineStr">
        <is>
          <t>HKD</t>
        </is>
      </c>
      <c r="I87" t="inlineStr">
        <is>
          <t>HKD</t>
        </is>
      </c>
      <c r="J87" t="inlineStr">
        <is>
          <t>ok</t>
        </is>
      </c>
      <c r="L87" t="b">
        <v>0</v>
      </c>
      <c r="M87" t="inlineStr">
        <is>
          <t>东方财富</t>
        </is>
      </c>
      <c r="N87" t="b">
        <v>1</v>
      </c>
    </row>
    <row r="88">
      <c r="A88" t="inlineStr">
        <is>
          <t>港股</t>
        </is>
      </c>
      <c r="B88" t="inlineStr">
        <is>
          <t>00010</t>
        </is>
      </c>
      <c r="C88" t="inlineStr">
        <is>
          <t>HANG LUNG GROUP</t>
        </is>
      </c>
      <c r="D88" t="inlineStr">
        <is>
          <t>上市与发行信息</t>
        </is>
      </c>
      <c r="E88" t="inlineStr">
        <is>
          <t>东方财富</t>
        </is>
      </c>
      <c r="F88" t="inlineStr">
        <is>
          <t>RPT_HKF10_INFO_SECURITYINFO</t>
        </is>
      </c>
      <c r="G88" s="32" t="n">
        <v>46263.25733154584</v>
      </c>
      <c r="H88" t="inlineStr">
        <is>
          <t>HKD</t>
        </is>
      </c>
      <c r="I88" t="inlineStr">
        <is>
          <t>HKD</t>
        </is>
      </c>
      <c r="J88" t="inlineStr">
        <is>
          <t>ok</t>
        </is>
      </c>
      <c r="L88" t="b">
        <v>0</v>
      </c>
      <c r="M88" t="inlineStr">
        <is>
          <t>东方财富</t>
        </is>
      </c>
      <c r="N88" t="b">
        <v>1</v>
      </c>
    </row>
    <row r="89">
      <c r="A89" t="inlineStr">
        <is>
          <t>港股</t>
        </is>
      </c>
      <c r="B89" t="inlineStr">
        <is>
          <t>00010</t>
        </is>
      </c>
      <c r="C89" t="inlineStr">
        <is>
          <t>HANG LUNG GROUP</t>
        </is>
      </c>
      <c r="D89" t="inlineStr">
        <is>
          <t>资金流</t>
        </is>
      </c>
      <c r="E89" t="inlineStr">
        <is>
          <t>配置</t>
        </is>
      </c>
      <c r="F89" t="inlineStr">
        <is>
          <t>flow-mode-off</t>
        </is>
      </c>
      <c r="G89" s="32" t="n">
        <v>46263.25754607147</v>
      </c>
      <c r="I89" t="inlineStr">
        <is>
          <t>HKD</t>
        </is>
      </c>
      <c r="J89" t="inlineStr">
        <is>
          <t>optional_missing</t>
        </is>
      </c>
      <c r="K89" t="inlineStr">
        <is>
          <t>用户选择不抓取资金流</t>
        </is>
      </c>
      <c r="L89" t="b">
        <v>0</v>
      </c>
      <c r="M89" t="inlineStr">
        <is>
          <t>配置</t>
        </is>
      </c>
      <c r="N89" t="b">
        <v>0</v>
      </c>
    </row>
    <row r="90">
      <c r="A90" t="inlineStr">
        <is>
          <t>A股</t>
        </is>
      </c>
      <c r="B90" t="inlineStr">
        <is>
          <t>000014</t>
        </is>
      </c>
      <c r="C90" t="inlineStr">
        <is>
          <t>沙河股份</t>
        </is>
      </c>
      <c r="D90" t="inlineStr">
        <is>
          <t>最新行情</t>
        </is>
      </c>
      <c r="E90" t="inlineStr">
        <is>
          <t>东方财富</t>
        </is>
      </c>
      <c r="F90" t="inlineStr">
        <is>
          <t>push2 ulist.np/get f2,f20（按指定证券分批）</t>
        </is>
      </c>
      <c r="G90" s="32" t="n">
        <v>46263.25725223734</v>
      </c>
      <c r="H90" t="inlineStr">
        <is>
          <t>CNY</t>
        </is>
      </c>
      <c r="I90" t="inlineStr">
        <is>
          <t>CNY</t>
        </is>
      </c>
      <c r="J90" t="inlineStr">
        <is>
          <t>ok</t>
        </is>
      </c>
      <c r="L90" t="b">
        <v>0</v>
      </c>
      <c r="M90" t="inlineStr">
        <is>
          <t>东方财富</t>
        </is>
      </c>
      <c r="N90" t="b">
        <v>1</v>
      </c>
    </row>
    <row r="91">
      <c r="A91" t="inlineStr">
        <is>
          <t>A股</t>
        </is>
      </c>
      <c r="B91" t="inlineStr">
        <is>
          <t>000014</t>
        </is>
      </c>
      <c r="C91" t="inlineStr">
        <is>
          <t>沙河股份</t>
        </is>
      </c>
      <c r="D91" t="inlineStr">
        <is>
          <t>大宗交易</t>
        </is>
      </c>
      <c r="E91" t="inlineStr">
        <is>
          <t>东方财富</t>
        </is>
      </c>
      <c r="F91" t="inlineStr">
        <is>
          <t>RPT_DATA_BLOCKTRADE 2026（全市场分页后本地聚合）</t>
        </is>
      </c>
      <c r="G91" s="32" t="n">
        <v>46263.25725717199</v>
      </c>
      <c r="H91" t="inlineStr">
        <is>
          <t>CNY</t>
        </is>
      </c>
      <c r="I91" t="inlineStr">
        <is>
          <t>CNY</t>
        </is>
      </c>
      <c r="J91" t="inlineStr">
        <is>
          <t>ok</t>
        </is>
      </c>
      <c r="L91" t="b">
        <v>0</v>
      </c>
      <c r="M91" t="inlineStr">
        <is>
          <t>东方财富</t>
        </is>
      </c>
      <c r="N91" t="b">
        <v>1</v>
      </c>
    </row>
    <row r="92">
      <c r="A92" t="inlineStr">
        <is>
          <t>A股</t>
        </is>
      </c>
      <c r="B92" t="inlineStr">
        <is>
          <t>000014</t>
        </is>
      </c>
      <c r="C92" t="inlineStr">
        <is>
          <t>沙河股份</t>
        </is>
      </c>
      <c r="D92" t="inlineStr">
        <is>
          <t>年度财务</t>
        </is>
      </c>
      <c r="E92" t="inlineStr">
        <is>
          <t>东方财富</t>
        </is>
      </c>
      <c r="F92" t="inlineStr">
        <is>
          <t>RPT_LICO_FN_CPD + RPT_DMSK_FN_CASHFLOW；巨潮回退原因：未配置巨潮官方 API 凭证/端点（CNINFO_ACCESS_TOKEN、CNINFO_INCOME_API_URL、CNINFO_CASHFLOW_API_URL）</t>
        </is>
      </c>
      <c r="G92" s="32" t="n">
        <v>46263.25727664283</v>
      </c>
      <c r="H92" t="inlineStr">
        <is>
          <t>CNY</t>
        </is>
      </c>
      <c r="I92" t="inlineStr">
        <is>
          <t>CNY</t>
        </is>
      </c>
      <c r="J92" t="inlineStr">
        <is>
          <t>ok</t>
        </is>
      </c>
      <c r="L92" t="b">
        <v>1</v>
      </c>
      <c r="M92" t="inlineStr">
        <is>
          <t>巨潮资讯（CNINFO Data Service）</t>
        </is>
      </c>
      <c r="N92" t="b">
        <v>1</v>
      </c>
    </row>
    <row r="93">
      <c r="A93" t="inlineStr">
        <is>
          <t>A股</t>
        </is>
      </c>
      <c r="B93" t="inlineStr">
        <is>
          <t>000014</t>
        </is>
      </c>
      <c r="C93" t="inlineStr">
        <is>
          <t>沙河股份</t>
        </is>
      </c>
      <c r="D93" t="inlineStr">
        <is>
          <t>上市与发行信息</t>
        </is>
      </c>
      <c r="E93" t="inlineStr">
        <is>
          <t>东方财富</t>
        </is>
      </c>
      <c r="F93" t="inlineStr">
        <is>
          <t>RPT_PCF10_ORG_ISSUEINFO</t>
        </is>
      </c>
      <c r="G93" s="32" t="n">
        <v>46263.25733316683</v>
      </c>
      <c r="H93" t="inlineStr">
        <is>
          <t>CNY</t>
        </is>
      </c>
      <c r="I93" t="inlineStr">
        <is>
          <t>CNY</t>
        </is>
      </c>
      <c r="J93" t="inlineStr">
        <is>
          <t>ok</t>
        </is>
      </c>
      <c r="L93" t="b">
        <v>0</v>
      </c>
      <c r="M93" t="inlineStr">
        <is>
          <t>东方财富</t>
        </is>
      </c>
      <c r="N93" t="b">
        <v>1</v>
      </c>
    </row>
    <row r="94">
      <c r="A94" t="inlineStr">
        <is>
          <t>A股</t>
        </is>
      </c>
      <c r="B94" t="inlineStr">
        <is>
          <t>000014</t>
        </is>
      </c>
      <c r="C94" t="inlineStr">
        <is>
          <t>沙河股份</t>
        </is>
      </c>
      <c r="D94" t="inlineStr">
        <is>
          <t>资金流</t>
        </is>
      </c>
      <c r="E94" t="inlineStr">
        <is>
          <t>配置</t>
        </is>
      </c>
      <c r="F94" t="inlineStr">
        <is>
          <t>flow-mode-off</t>
        </is>
      </c>
      <c r="G94" s="32" t="n">
        <v>46263.25754607147</v>
      </c>
      <c r="I94" t="inlineStr">
        <is>
          <t>CNY</t>
        </is>
      </c>
      <c r="J94" t="inlineStr">
        <is>
          <t>optional_missing</t>
        </is>
      </c>
      <c r="K94" t="inlineStr">
        <is>
          <t>用户选择不抓取资金流</t>
        </is>
      </c>
      <c r="L94" t="b">
        <v>0</v>
      </c>
      <c r="M94" t="inlineStr">
        <is>
          <t>配置</t>
        </is>
      </c>
      <c r="N94" t="b">
        <v>0</v>
      </c>
    </row>
    <row r="95">
      <c r="A95" t="inlineStr">
        <is>
          <t>港股</t>
        </is>
      </c>
      <c r="B95" t="inlineStr">
        <is>
          <t>00012</t>
        </is>
      </c>
      <c r="C95" t="inlineStr">
        <is>
          <t>HENDERSON LAND</t>
        </is>
      </c>
      <c r="D95" t="inlineStr">
        <is>
          <t>最新行情</t>
        </is>
      </c>
      <c r="E95" t="inlineStr">
        <is>
          <t>东方财富</t>
        </is>
      </c>
      <c r="F95" t="inlineStr">
        <is>
          <t>push2 ulist.np/get f2,f20（按指定证券分批）</t>
        </is>
      </c>
      <c r="G95" s="32" t="n">
        <v>46263.25725223734</v>
      </c>
      <c r="H95" t="inlineStr">
        <is>
          <t>HKD</t>
        </is>
      </c>
      <c r="I95" t="inlineStr">
        <is>
          <t>HKD</t>
        </is>
      </c>
      <c r="J95" t="inlineStr">
        <is>
          <t>ok</t>
        </is>
      </c>
      <c r="L95" t="b">
        <v>0</v>
      </c>
      <c r="M95" t="inlineStr">
        <is>
          <t>东方财富</t>
        </is>
      </c>
      <c r="N95" t="b">
        <v>1</v>
      </c>
    </row>
    <row r="96">
      <c r="A96" t="inlineStr">
        <is>
          <t>港股</t>
        </is>
      </c>
      <c r="B96" t="inlineStr">
        <is>
          <t>00012</t>
        </is>
      </c>
      <c r="C96" t="inlineStr">
        <is>
          <t>HENDERSON LAND</t>
        </is>
      </c>
      <c r="D96" t="inlineStr">
        <is>
          <t>大宗交易</t>
        </is>
      </c>
      <c r="E96" t="inlineStr">
        <is>
          <t>东方财富</t>
        </is>
      </c>
      <c r="F96" t="inlineStr">
        <is>
          <t>not-applicable-hk</t>
        </is>
      </c>
      <c r="G96" s="32" t="n">
        <v>46263.25725433244</v>
      </c>
      <c r="I96" t="inlineStr">
        <is>
          <t>HKD</t>
        </is>
      </c>
      <c r="J96" t="inlineStr">
        <is>
          <t>optional_missing</t>
        </is>
      </c>
      <c r="K96" t="inlineStr">
        <is>
          <t>港股大宗交易按允许缺失规则留空</t>
        </is>
      </c>
      <c r="L96" t="b">
        <v>0</v>
      </c>
      <c r="M96" t="inlineStr">
        <is>
          <t>东方财富</t>
        </is>
      </c>
      <c r="N96" t="b">
        <v>1</v>
      </c>
    </row>
    <row r="97">
      <c r="A97" t="inlineStr">
        <is>
          <t>港股</t>
        </is>
      </c>
      <c r="B97" t="inlineStr">
        <is>
          <t>00012</t>
        </is>
      </c>
      <c r="C97" t="inlineStr">
        <is>
          <t>HENDERSON LAND</t>
        </is>
      </c>
      <c r="D97" t="inlineStr">
        <is>
          <t>年度财务</t>
        </is>
      </c>
      <c r="E97" t="inlineStr">
        <is>
          <t>东方财富</t>
        </is>
      </c>
      <c r="F97" t="inlineStr">
        <is>
          <t>RPT_HKF10_FN_MAININDICATOR</t>
        </is>
      </c>
      <c r="G97" s="32" t="n">
        <v>46263.25727134763</v>
      </c>
      <c r="H97" t="inlineStr">
        <is>
          <t>HKD</t>
        </is>
      </c>
      <c r="I97" t="inlineStr">
        <is>
          <t>HKD</t>
        </is>
      </c>
      <c r="J97" t="inlineStr">
        <is>
          <t>ok</t>
        </is>
      </c>
      <c r="L97" t="b">
        <v>0</v>
      </c>
      <c r="M97" t="inlineStr">
        <is>
          <t>东方财富</t>
        </is>
      </c>
      <c r="N97" t="b">
        <v>1</v>
      </c>
    </row>
    <row r="98">
      <c r="A98" t="inlineStr">
        <is>
          <t>港股</t>
        </is>
      </c>
      <c r="B98" t="inlineStr">
        <is>
          <t>00012</t>
        </is>
      </c>
      <c r="C98" t="inlineStr">
        <is>
          <t>HENDERSON LAND</t>
        </is>
      </c>
      <c r="D98" t="inlineStr">
        <is>
          <t>上市与发行信息</t>
        </is>
      </c>
      <c r="E98" t="inlineStr">
        <is>
          <t>东方财富</t>
        </is>
      </c>
      <c r="F98" t="inlineStr">
        <is>
          <t>RPT_HKF10_INFO_SECURITYINFO</t>
        </is>
      </c>
      <c r="G98" s="32" t="n">
        <v>46263.2573325998</v>
      </c>
      <c r="H98" t="inlineStr">
        <is>
          <t>HKD</t>
        </is>
      </c>
      <c r="I98" t="inlineStr">
        <is>
          <t>HKD</t>
        </is>
      </c>
      <c r="J98" t="inlineStr">
        <is>
          <t>ok</t>
        </is>
      </c>
      <c r="L98" t="b">
        <v>0</v>
      </c>
      <c r="M98" t="inlineStr">
        <is>
          <t>东方财富</t>
        </is>
      </c>
      <c r="N98" t="b">
        <v>1</v>
      </c>
    </row>
    <row r="99">
      <c r="A99" t="inlineStr">
        <is>
          <t>港股</t>
        </is>
      </c>
      <c r="B99" t="inlineStr">
        <is>
          <t>00012</t>
        </is>
      </c>
      <c r="C99" t="inlineStr">
        <is>
          <t>HENDERSON LAND</t>
        </is>
      </c>
      <c r="D99" t="inlineStr">
        <is>
          <t>资金流</t>
        </is>
      </c>
      <c r="E99" t="inlineStr">
        <is>
          <t>配置</t>
        </is>
      </c>
      <c r="F99" t="inlineStr">
        <is>
          <t>flow-mode-off</t>
        </is>
      </c>
      <c r="G99" s="32" t="n">
        <v>46263.25754607147</v>
      </c>
      <c r="I99" t="inlineStr">
        <is>
          <t>HKD</t>
        </is>
      </c>
      <c r="J99" t="inlineStr">
        <is>
          <t>optional_missing</t>
        </is>
      </c>
      <c r="K99" t="inlineStr">
        <is>
          <t>用户选择不抓取资金流</t>
        </is>
      </c>
      <c r="L99" t="b">
        <v>0</v>
      </c>
      <c r="M99" t="inlineStr">
        <is>
          <t>配置</t>
        </is>
      </c>
      <c r="N99" t="b">
        <v>0</v>
      </c>
    </row>
    <row r="100">
      <c r="A100" t="inlineStr">
        <is>
          <t>A股</t>
        </is>
      </c>
      <c r="B100" t="inlineStr">
        <is>
          <t>000016</t>
        </is>
      </c>
      <c r="C100" t="inlineStr">
        <is>
          <t>*ST康佳A</t>
        </is>
      </c>
      <c r="D100" t="inlineStr">
        <is>
          <t>最新行情</t>
        </is>
      </c>
      <c r="E100" t="inlineStr">
        <is>
          <t>东方财富</t>
        </is>
      </c>
      <c r="F100" t="inlineStr">
        <is>
          <t>push2 ulist.np/get f2,f20（按指定证券分批）</t>
        </is>
      </c>
      <c r="G100" s="32" t="n">
        <v>46263.25725223734</v>
      </c>
      <c r="H100" t="inlineStr">
        <is>
          <t>CNY</t>
        </is>
      </c>
      <c r="I100" t="inlineStr">
        <is>
          <t>CNY</t>
        </is>
      </c>
      <c r="J100" t="inlineStr">
        <is>
          <t>ok</t>
        </is>
      </c>
      <c r="L100" t="b">
        <v>0</v>
      </c>
      <c r="M100" t="inlineStr">
        <is>
          <t>东方财富</t>
        </is>
      </c>
      <c r="N100" t="b">
        <v>1</v>
      </c>
    </row>
    <row r="101">
      <c r="A101" t="inlineStr">
        <is>
          <t>A股</t>
        </is>
      </c>
      <c r="B101" t="inlineStr">
        <is>
          <t>000016</t>
        </is>
      </c>
      <c r="C101" t="inlineStr">
        <is>
          <t>*ST康佳A</t>
        </is>
      </c>
      <c r="D101" t="inlineStr">
        <is>
          <t>大宗交易</t>
        </is>
      </c>
      <c r="E101" t="inlineStr">
        <is>
          <t>东方财富</t>
        </is>
      </c>
      <c r="F101" t="inlineStr">
        <is>
          <t>RPT_DATA_BLOCKTRADE 2026（全市场分页后本地聚合）</t>
        </is>
      </c>
      <c r="G101" s="32" t="n">
        <v>46263.25725717199</v>
      </c>
      <c r="H101" t="inlineStr">
        <is>
          <t>CNY</t>
        </is>
      </c>
      <c r="I101" t="inlineStr">
        <is>
          <t>CNY</t>
        </is>
      </c>
      <c r="J101" t="inlineStr">
        <is>
          <t>ok</t>
        </is>
      </c>
      <c r="L101" t="b">
        <v>0</v>
      </c>
      <c r="M101" t="inlineStr">
        <is>
          <t>东方财富</t>
        </is>
      </c>
      <c r="N101" t="b">
        <v>1</v>
      </c>
    </row>
    <row r="102">
      <c r="A102" t="inlineStr">
        <is>
          <t>A股</t>
        </is>
      </c>
      <c r="B102" t="inlineStr">
        <is>
          <t>000016</t>
        </is>
      </c>
      <c r="C102" t="inlineStr">
        <is>
          <t>*ST康佳A</t>
        </is>
      </c>
      <c r="D102" t="inlineStr">
        <is>
          <t>年度财务</t>
        </is>
      </c>
      <c r="E102" t="inlineStr">
        <is>
          <t>东方财富</t>
        </is>
      </c>
      <c r="F102" t="inlineStr">
        <is>
          <t>RPT_LICO_FN_CPD + RPT_DMSK_FN_CASHFLOW；巨潮回退原因：未配置巨潮官方 API 凭证/端点（CNINFO_ACCESS_TOKEN、CNINFO_INCOME_API_URL、CNINFO_CASHFLOW_API_URL）</t>
        </is>
      </c>
      <c r="G102" s="32" t="n">
        <v>46263.25727687917</v>
      </c>
      <c r="H102" t="inlineStr">
        <is>
          <t>CNY</t>
        </is>
      </c>
      <c r="I102" t="inlineStr">
        <is>
          <t>CNY</t>
        </is>
      </c>
      <c r="J102" t="inlineStr">
        <is>
          <t>ok</t>
        </is>
      </c>
      <c r="L102" t="b">
        <v>1</v>
      </c>
      <c r="M102" t="inlineStr">
        <is>
          <t>巨潮资讯（CNINFO Data Service）</t>
        </is>
      </c>
      <c r="N102" t="b">
        <v>1</v>
      </c>
    </row>
    <row r="103">
      <c r="A103" t="inlineStr">
        <is>
          <t>A股</t>
        </is>
      </c>
      <c r="B103" t="inlineStr">
        <is>
          <t>000016</t>
        </is>
      </c>
      <c r="C103" t="inlineStr">
        <is>
          <t>*ST康佳A</t>
        </is>
      </c>
      <c r="D103" t="inlineStr">
        <is>
          <t>上市与发行信息</t>
        </is>
      </c>
      <c r="E103" t="inlineStr">
        <is>
          <t>东方财富</t>
        </is>
      </c>
      <c r="F103" t="inlineStr">
        <is>
          <t>RPT_PCF10_ORG_ISSUEINFO</t>
        </is>
      </c>
      <c r="G103" s="32" t="n">
        <v>46263.25733521057</v>
      </c>
      <c r="H103" t="inlineStr">
        <is>
          <t>CNY</t>
        </is>
      </c>
      <c r="I103" t="inlineStr">
        <is>
          <t>CNY</t>
        </is>
      </c>
      <c r="J103" t="inlineStr">
        <is>
          <t>ok</t>
        </is>
      </c>
      <c r="L103" t="b">
        <v>0</v>
      </c>
      <c r="M103" t="inlineStr">
        <is>
          <t>东方财富</t>
        </is>
      </c>
      <c r="N103" t="b">
        <v>1</v>
      </c>
    </row>
    <row r="104">
      <c r="A104" t="inlineStr">
        <is>
          <t>A股</t>
        </is>
      </c>
      <c r="B104" t="inlineStr">
        <is>
          <t>000016</t>
        </is>
      </c>
      <c r="C104" t="inlineStr">
        <is>
          <t>*ST康佳A</t>
        </is>
      </c>
      <c r="D104" t="inlineStr">
        <is>
          <t>资金流</t>
        </is>
      </c>
      <c r="E104" t="inlineStr">
        <is>
          <t>配置</t>
        </is>
      </c>
      <c r="F104" t="inlineStr">
        <is>
          <t>flow-mode-off</t>
        </is>
      </c>
      <c r="G104" s="32" t="n">
        <v>46263.25754607147</v>
      </c>
      <c r="I104" t="inlineStr">
        <is>
          <t>CNY</t>
        </is>
      </c>
      <c r="J104" t="inlineStr">
        <is>
          <t>optional_missing</t>
        </is>
      </c>
      <c r="K104" t="inlineStr">
        <is>
          <t>用户选择不抓取资金流</t>
        </is>
      </c>
      <c r="L104" t="b">
        <v>0</v>
      </c>
      <c r="M104" t="inlineStr">
        <is>
          <t>配置</t>
        </is>
      </c>
      <c r="N104" t="b">
        <v>0</v>
      </c>
    </row>
    <row r="105">
      <c r="A105" t="inlineStr">
        <is>
          <t>港股</t>
        </is>
      </c>
      <c r="B105" t="inlineStr">
        <is>
          <t>00013</t>
        </is>
      </c>
      <c r="C105" t="inlineStr">
        <is>
          <t>HUTCHMED</t>
        </is>
      </c>
      <c r="D105" t="inlineStr">
        <is>
          <t>最新行情</t>
        </is>
      </c>
      <c r="E105" t="inlineStr">
        <is>
          <t>东方财富</t>
        </is>
      </c>
      <c r="F105" t="inlineStr">
        <is>
          <t>push2 ulist.np/get f2,f20（按指定证券分批）</t>
        </is>
      </c>
      <c r="G105" s="32" t="n">
        <v>46263.25725223734</v>
      </c>
      <c r="H105" t="inlineStr">
        <is>
          <t>HKD</t>
        </is>
      </c>
      <c r="I105" t="inlineStr">
        <is>
          <t>HKD</t>
        </is>
      </c>
      <c r="J105" t="inlineStr">
        <is>
          <t>ok</t>
        </is>
      </c>
      <c r="L105" t="b">
        <v>0</v>
      </c>
      <c r="M105" t="inlineStr">
        <is>
          <t>东方财富</t>
        </is>
      </c>
      <c r="N105" t="b">
        <v>1</v>
      </c>
    </row>
    <row r="106">
      <c r="A106" t="inlineStr">
        <is>
          <t>港股</t>
        </is>
      </c>
      <c r="B106" t="inlineStr">
        <is>
          <t>00013</t>
        </is>
      </c>
      <c r="C106" t="inlineStr">
        <is>
          <t>HUTCHMED</t>
        </is>
      </c>
      <c r="D106" t="inlineStr">
        <is>
          <t>大宗交易</t>
        </is>
      </c>
      <c r="E106" t="inlineStr">
        <is>
          <t>东方财富</t>
        </is>
      </c>
      <c r="F106" t="inlineStr">
        <is>
          <t>not-applicable-hk</t>
        </is>
      </c>
      <c r="G106" s="32" t="n">
        <v>46263.25725433244</v>
      </c>
      <c r="I106" t="inlineStr">
        <is>
          <t>HKD</t>
        </is>
      </c>
      <c r="J106" t="inlineStr">
        <is>
          <t>optional_missing</t>
        </is>
      </c>
      <c r="K106" t="inlineStr">
        <is>
          <t>港股大宗交易按允许缺失规则留空</t>
        </is>
      </c>
      <c r="L106" t="b">
        <v>0</v>
      </c>
      <c r="M106" t="inlineStr">
        <is>
          <t>东方财富</t>
        </is>
      </c>
      <c r="N106" t="b">
        <v>1</v>
      </c>
    </row>
    <row r="107">
      <c r="A107" t="inlineStr">
        <is>
          <t>港股</t>
        </is>
      </c>
      <c r="B107" t="inlineStr">
        <is>
          <t>00013</t>
        </is>
      </c>
      <c r="C107" t="inlineStr">
        <is>
          <t>HUTCHMED</t>
        </is>
      </c>
      <c r="D107" t="inlineStr">
        <is>
          <t>年度财务</t>
        </is>
      </c>
      <c r="E107" t="inlineStr">
        <is>
          <t>东方财富</t>
        </is>
      </c>
      <c r="F107" t="inlineStr">
        <is>
          <t>RPT_HKF10_FN_MAININDICATOR</t>
        </is>
      </c>
      <c r="G107" s="32" t="n">
        <v>46263.25727141573</v>
      </c>
      <c r="H107" t="inlineStr">
        <is>
          <t>HKD</t>
        </is>
      </c>
      <c r="I107" t="inlineStr">
        <is>
          <t>HKD</t>
        </is>
      </c>
      <c r="J107" t="inlineStr">
        <is>
          <t>ok</t>
        </is>
      </c>
      <c r="L107" t="b">
        <v>0</v>
      </c>
      <c r="M107" t="inlineStr">
        <is>
          <t>东方财富</t>
        </is>
      </c>
      <c r="N107" t="b">
        <v>1</v>
      </c>
    </row>
    <row r="108">
      <c r="A108" t="inlineStr">
        <is>
          <t>港股</t>
        </is>
      </c>
      <c r="B108" t="inlineStr">
        <is>
          <t>00013</t>
        </is>
      </c>
      <c r="C108" t="inlineStr">
        <is>
          <t>HUTCHMED</t>
        </is>
      </c>
      <c r="D108" t="inlineStr">
        <is>
          <t>上市与发行信息</t>
        </is>
      </c>
      <c r="E108" t="inlineStr">
        <is>
          <t>东方财富</t>
        </is>
      </c>
      <c r="F108" t="inlineStr">
        <is>
          <t>RPT_HKF10_INFO_SECURITYINFO</t>
        </is>
      </c>
      <c r="G108" s="32" t="n">
        <v>46263.25733387659</v>
      </c>
      <c r="H108" t="inlineStr">
        <is>
          <t>HKD</t>
        </is>
      </c>
      <c r="I108" t="inlineStr">
        <is>
          <t>HKD</t>
        </is>
      </c>
      <c r="J108" t="inlineStr">
        <is>
          <t>ok</t>
        </is>
      </c>
      <c r="L108" t="b">
        <v>1</v>
      </c>
      <c r="M108" t="inlineStr">
        <is>
          <t>东方财富</t>
        </is>
      </c>
      <c r="N108" t="b">
        <v>1</v>
      </c>
    </row>
    <row r="109">
      <c r="A109" t="inlineStr">
        <is>
          <t>港股</t>
        </is>
      </c>
      <c r="B109" t="inlineStr">
        <is>
          <t>00013</t>
        </is>
      </c>
      <c r="C109" t="inlineStr">
        <is>
          <t>HUTCHMED</t>
        </is>
      </c>
      <c r="D109" t="inlineStr">
        <is>
          <t>资金流</t>
        </is>
      </c>
      <c r="E109" t="inlineStr">
        <is>
          <t>配置</t>
        </is>
      </c>
      <c r="F109" t="inlineStr">
        <is>
          <t>flow-mode-off</t>
        </is>
      </c>
      <c r="G109" s="32" t="n">
        <v>46263.25754607147</v>
      </c>
      <c r="I109" t="inlineStr">
        <is>
          <t>HKD</t>
        </is>
      </c>
      <c r="J109" t="inlineStr">
        <is>
          <t>optional_missing</t>
        </is>
      </c>
      <c r="K109" t="inlineStr">
        <is>
          <t>用户选择不抓取资金流</t>
        </is>
      </c>
      <c r="L109" t="b">
        <v>0</v>
      </c>
      <c r="M109" t="inlineStr">
        <is>
          <t>配置</t>
        </is>
      </c>
      <c r="N109" t="b">
        <v>0</v>
      </c>
    </row>
    <row r="110">
      <c r="A110" t="inlineStr">
        <is>
          <t>A股</t>
        </is>
      </c>
      <c r="B110" t="inlineStr">
        <is>
          <t>000017</t>
        </is>
      </c>
      <c r="C110" t="inlineStr">
        <is>
          <t>深中华A</t>
        </is>
      </c>
      <c r="D110" t="inlineStr">
        <is>
          <t>最新行情</t>
        </is>
      </c>
      <c r="E110" t="inlineStr">
        <is>
          <t>东方财富</t>
        </is>
      </c>
      <c r="F110" t="inlineStr">
        <is>
          <t>push2 ulist.np/get f2,f20（按指定证券分批）</t>
        </is>
      </c>
      <c r="G110" s="32" t="n">
        <v>46263.25725223734</v>
      </c>
      <c r="H110" t="inlineStr">
        <is>
          <t>CNY</t>
        </is>
      </c>
      <c r="I110" t="inlineStr">
        <is>
          <t>CNY</t>
        </is>
      </c>
      <c r="J110" t="inlineStr">
        <is>
          <t>ok</t>
        </is>
      </c>
      <c r="L110" t="b">
        <v>0</v>
      </c>
      <c r="M110" t="inlineStr">
        <is>
          <t>东方财富</t>
        </is>
      </c>
      <c r="N110" t="b">
        <v>1</v>
      </c>
    </row>
    <row r="111">
      <c r="A111" t="inlineStr">
        <is>
          <t>A股</t>
        </is>
      </c>
      <c r="B111" t="inlineStr">
        <is>
          <t>000017</t>
        </is>
      </c>
      <c r="C111" t="inlineStr">
        <is>
          <t>深中华A</t>
        </is>
      </c>
      <c r="D111" t="inlineStr">
        <is>
          <t>大宗交易</t>
        </is>
      </c>
      <c r="E111" t="inlineStr">
        <is>
          <t>东方财富</t>
        </is>
      </c>
      <c r="F111" t="inlineStr">
        <is>
          <t>RPT_DATA_BLOCKTRADE 2026（全市场分页后本地聚合）</t>
        </is>
      </c>
      <c r="G111" s="32" t="n">
        <v>46263.25725717999</v>
      </c>
      <c r="H111" t="inlineStr">
        <is>
          <t>CNY</t>
        </is>
      </c>
      <c r="I111" t="inlineStr">
        <is>
          <t>CNY</t>
        </is>
      </c>
      <c r="J111" t="inlineStr">
        <is>
          <t>ok</t>
        </is>
      </c>
      <c r="L111" t="b">
        <v>0</v>
      </c>
      <c r="M111" t="inlineStr">
        <is>
          <t>东方财富</t>
        </is>
      </c>
      <c r="N111" t="b">
        <v>1</v>
      </c>
    </row>
    <row r="112">
      <c r="A112" t="inlineStr">
        <is>
          <t>A股</t>
        </is>
      </c>
      <c r="B112" t="inlineStr">
        <is>
          <t>000017</t>
        </is>
      </c>
      <c r="C112" t="inlineStr">
        <is>
          <t>深中华A</t>
        </is>
      </c>
      <c r="D112" t="inlineStr">
        <is>
          <t>年度财务</t>
        </is>
      </c>
      <c r="E112" t="inlineStr">
        <is>
          <t>东方财富</t>
        </is>
      </c>
      <c r="F112" t="inlineStr">
        <is>
          <t>RPT_LICO_FN_CPD + RPT_DMSK_FN_CASHFLOW；巨潮回退原因：未配置巨潮官方 API 凭证/端点（CNINFO_ACCESS_TOKEN、CNINFO_INCOME_API_URL、CNINFO_CASHFLOW_API_URL）</t>
        </is>
      </c>
      <c r="G112" s="32" t="n">
        <v>46263.25727732096</v>
      </c>
      <c r="H112" t="inlineStr">
        <is>
          <t>CNY</t>
        </is>
      </c>
      <c r="I112" t="inlineStr">
        <is>
          <t>CNY</t>
        </is>
      </c>
      <c r="J112" t="inlineStr">
        <is>
          <t>ok</t>
        </is>
      </c>
      <c r="L112" t="b">
        <v>1</v>
      </c>
      <c r="M112" t="inlineStr">
        <is>
          <t>巨潮资讯（CNINFO Data Service）</t>
        </is>
      </c>
      <c r="N112" t="b">
        <v>1</v>
      </c>
    </row>
    <row r="113">
      <c r="A113" t="inlineStr">
        <is>
          <t>A股</t>
        </is>
      </c>
      <c r="B113" t="inlineStr">
        <is>
          <t>000017</t>
        </is>
      </c>
      <c r="C113" t="inlineStr">
        <is>
          <t>深中华A</t>
        </is>
      </c>
      <c r="D113" t="inlineStr">
        <is>
          <t>上市与发行信息</t>
        </is>
      </c>
      <c r="E113" t="inlineStr">
        <is>
          <t>东方财富</t>
        </is>
      </c>
      <c r="F113" t="inlineStr">
        <is>
          <t>RPT_PCF10_ORG_ISSUEINFO</t>
        </is>
      </c>
      <c r="G113" s="32" t="n">
        <v>46263.25733431544</v>
      </c>
      <c r="H113" t="inlineStr">
        <is>
          <t>CNY</t>
        </is>
      </c>
      <c r="I113" t="inlineStr">
        <is>
          <t>CNY</t>
        </is>
      </c>
      <c r="J113" t="inlineStr">
        <is>
          <t>ok</t>
        </is>
      </c>
      <c r="L113" t="b">
        <v>0</v>
      </c>
      <c r="M113" t="inlineStr">
        <is>
          <t>东方财富</t>
        </is>
      </c>
      <c r="N113" t="b">
        <v>1</v>
      </c>
    </row>
    <row r="114">
      <c r="A114" t="inlineStr">
        <is>
          <t>A股</t>
        </is>
      </c>
      <c r="B114" t="inlineStr">
        <is>
          <t>000017</t>
        </is>
      </c>
      <c r="C114" t="inlineStr">
        <is>
          <t>深中华A</t>
        </is>
      </c>
      <c r="D114" t="inlineStr">
        <is>
          <t>资金流</t>
        </is>
      </c>
      <c r="E114" t="inlineStr">
        <is>
          <t>配置</t>
        </is>
      </c>
      <c r="F114" t="inlineStr">
        <is>
          <t>flow-mode-off</t>
        </is>
      </c>
      <c r="G114" s="32" t="n">
        <v>46263.25754607147</v>
      </c>
      <c r="I114" t="inlineStr">
        <is>
          <t>CNY</t>
        </is>
      </c>
      <c r="J114" t="inlineStr">
        <is>
          <t>optional_missing</t>
        </is>
      </c>
      <c r="K114" t="inlineStr">
        <is>
          <t>用户选择不抓取资金流</t>
        </is>
      </c>
      <c r="L114" t="b">
        <v>0</v>
      </c>
      <c r="M114" t="inlineStr">
        <is>
          <t>配置</t>
        </is>
      </c>
      <c r="N114" t="b">
        <v>0</v>
      </c>
    </row>
    <row r="115">
      <c r="A115" t="inlineStr">
        <is>
          <t>港股</t>
        </is>
      </c>
      <c r="B115" t="inlineStr">
        <is>
          <t>00014</t>
        </is>
      </c>
      <c r="C115" t="inlineStr">
        <is>
          <t>HYSAN DEV</t>
        </is>
      </c>
      <c r="D115" t="inlineStr">
        <is>
          <t>最新行情</t>
        </is>
      </c>
      <c r="E115" t="inlineStr">
        <is>
          <t>东方财富</t>
        </is>
      </c>
      <c r="F115" t="inlineStr">
        <is>
          <t>push2 ulist.np/get f2,f20（按指定证券分批）</t>
        </is>
      </c>
      <c r="G115" s="32" t="n">
        <v>46263.25725224894</v>
      </c>
      <c r="H115" t="inlineStr">
        <is>
          <t>HKD</t>
        </is>
      </c>
      <c r="I115" t="inlineStr">
        <is>
          <t>HKD</t>
        </is>
      </c>
      <c r="J115" t="inlineStr">
        <is>
          <t>ok</t>
        </is>
      </c>
      <c r="L115" t="b">
        <v>0</v>
      </c>
      <c r="M115" t="inlineStr">
        <is>
          <t>东方财富</t>
        </is>
      </c>
      <c r="N115" t="b">
        <v>1</v>
      </c>
    </row>
    <row r="116">
      <c r="A116" t="inlineStr">
        <is>
          <t>港股</t>
        </is>
      </c>
      <c r="B116" t="inlineStr">
        <is>
          <t>00014</t>
        </is>
      </c>
      <c r="C116" t="inlineStr">
        <is>
          <t>HYSAN DEV</t>
        </is>
      </c>
      <c r="D116" t="inlineStr">
        <is>
          <t>大宗交易</t>
        </is>
      </c>
      <c r="E116" t="inlineStr">
        <is>
          <t>东方财富</t>
        </is>
      </c>
      <c r="F116" t="inlineStr">
        <is>
          <t>not-applicable-hk</t>
        </is>
      </c>
      <c r="G116" s="32" t="n">
        <v>46263.25725433244</v>
      </c>
      <c r="I116" t="inlineStr">
        <is>
          <t>HKD</t>
        </is>
      </c>
      <c r="J116" t="inlineStr">
        <is>
          <t>optional_missing</t>
        </is>
      </c>
      <c r="K116" t="inlineStr">
        <is>
          <t>港股大宗交易按允许缺失规则留空</t>
        </is>
      </c>
      <c r="L116" t="b">
        <v>0</v>
      </c>
      <c r="M116" t="inlineStr">
        <is>
          <t>东方财富</t>
        </is>
      </c>
      <c r="N116" t="b">
        <v>1</v>
      </c>
    </row>
    <row r="117">
      <c r="A117" t="inlineStr">
        <is>
          <t>港股</t>
        </is>
      </c>
      <c r="B117" t="inlineStr">
        <is>
          <t>00014</t>
        </is>
      </c>
      <c r="C117" t="inlineStr">
        <is>
          <t>HYSAN DEV</t>
        </is>
      </c>
      <c r="D117" t="inlineStr">
        <is>
          <t>年度财务</t>
        </is>
      </c>
      <c r="E117" t="inlineStr">
        <is>
          <t>东方财富</t>
        </is>
      </c>
      <c r="F117" t="inlineStr">
        <is>
          <t>RPT_HKF10_FN_MAININDICATOR</t>
        </is>
      </c>
      <c r="G117" s="32" t="n">
        <v>46263.25727479095</v>
      </c>
      <c r="H117" t="inlineStr">
        <is>
          <t>HKD</t>
        </is>
      </c>
      <c r="I117" t="inlineStr">
        <is>
          <t>HKD</t>
        </is>
      </c>
      <c r="J117" t="inlineStr">
        <is>
          <t>ok</t>
        </is>
      </c>
      <c r="L117" t="b">
        <v>0</v>
      </c>
      <c r="M117" t="inlineStr">
        <is>
          <t>东方财富</t>
        </is>
      </c>
      <c r="N117" t="b">
        <v>1</v>
      </c>
    </row>
    <row r="118">
      <c r="A118" t="inlineStr">
        <is>
          <t>港股</t>
        </is>
      </c>
      <c r="B118" t="inlineStr">
        <is>
          <t>00014</t>
        </is>
      </c>
      <c r="C118" t="inlineStr">
        <is>
          <t>HYSAN DEV</t>
        </is>
      </c>
      <c r="D118" t="inlineStr">
        <is>
          <t>上市与发行信息</t>
        </is>
      </c>
      <c r="E118" t="inlineStr">
        <is>
          <t>东方财富</t>
        </is>
      </c>
      <c r="F118" t="inlineStr">
        <is>
          <t>RPT_HKF10_INFO_SECURITYINFO</t>
        </is>
      </c>
      <c r="G118" s="32" t="n">
        <v>46263.25733500183</v>
      </c>
      <c r="H118" t="inlineStr">
        <is>
          <t>HKD</t>
        </is>
      </c>
      <c r="I118" t="inlineStr">
        <is>
          <t>HKD</t>
        </is>
      </c>
      <c r="J118" t="inlineStr">
        <is>
          <t>ok</t>
        </is>
      </c>
      <c r="L118" t="b">
        <v>0</v>
      </c>
      <c r="M118" t="inlineStr">
        <is>
          <t>东方财富</t>
        </is>
      </c>
      <c r="N118" t="b">
        <v>1</v>
      </c>
    </row>
    <row r="119">
      <c r="A119" t="inlineStr">
        <is>
          <t>港股</t>
        </is>
      </c>
      <c r="B119" t="inlineStr">
        <is>
          <t>00014</t>
        </is>
      </c>
      <c r="C119" t="inlineStr">
        <is>
          <t>HYSAN DEV</t>
        </is>
      </c>
      <c r="D119" t="inlineStr">
        <is>
          <t>资金流</t>
        </is>
      </c>
      <c r="E119" t="inlineStr">
        <is>
          <t>配置</t>
        </is>
      </c>
      <c r="F119" t="inlineStr">
        <is>
          <t>flow-mode-off</t>
        </is>
      </c>
      <c r="G119" s="32" t="n">
        <v>46263.25754607147</v>
      </c>
      <c r="I119" t="inlineStr">
        <is>
          <t>HKD</t>
        </is>
      </c>
      <c r="J119" t="inlineStr">
        <is>
          <t>optional_missing</t>
        </is>
      </c>
      <c r="K119" t="inlineStr">
        <is>
          <t>用户选择不抓取资金流</t>
        </is>
      </c>
      <c r="L119" t="b">
        <v>0</v>
      </c>
      <c r="M119" t="inlineStr">
        <is>
          <t>配置</t>
        </is>
      </c>
      <c r="N119" t="b">
        <v>0</v>
      </c>
    </row>
    <row r="120">
      <c r="A120" t="inlineStr">
        <is>
          <t>A股</t>
        </is>
      </c>
      <c r="B120" t="inlineStr">
        <is>
          <t>000019</t>
        </is>
      </c>
      <c r="C120" t="inlineStr">
        <is>
          <t>深粮控股</t>
        </is>
      </c>
      <c r="D120" t="inlineStr">
        <is>
          <t>最新行情</t>
        </is>
      </c>
      <c r="E120" t="inlineStr">
        <is>
          <t>东方财富</t>
        </is>
      </c>
      <c r="F120" t="inlineStr">
        <is>
          <t>push2 ulist.np/get f2,f20（按指定证券分批）</t>
        </is>
      </c>
      <c r="G120" s="32" t="n">
        <v>46263.25725224894</v>
      </c>
      <c r="H120" t="inlineStr">
        <is>
          <t>CNY</t>
        </is>
      </c>
      <c r="I120" t="inlineStr">
        <is>
          <t>CNY</t>
        </is>
      </c>
      <c r="J120" t="inlineStr">
        <is>
          <t>ok</t>
        </is>
      </c>
      <c r="L120" t="b">
        <v>0</v>
      </c>
      <c r="M120" t="inlineStr">
        <is>
          <t>东方财富</t>
        </is>
      </c>
      <c r="N120" t="b">
        <v>1</v>
      </c>
    </row>
    <row r="121">
      <c r="A121" t="inlineStr">
        <is>
          <t>A股</t>
        </is>
      </c>
      <c r="B121" t="inlineStr">
        <is>
          <t>000019</t>
        </is>
      </c>
      <c r="C121" t="inlineStr">
        <is>
          <t>深粮控股</t>
        </is>
      </c>
      <c r="D121" t="inlineStr">
        <is>
          <t>大宗交易</t>
        </is>
      </c>
      <c r="E121" t="inlineStr">
        <is>
          <t>东方财富</t>
        </is>
      </c>
      <c r="F121" t="inlineStr">
        <is>
          <t>RPT_DATA_BLOCKTRADE 2026（全市场分页后本地聚合）</t>
        </is>
      </c>
      <c r="G121" s="32" t="n">
        <v>46263.25725717999</v>
      </c>
      <c r="H121" t="inlineStr">
        <is>
          <t>CNY</t>
        </is>
      </c>
      <c r="I121" t="inlineStr">
        <is>
          <t>CNY</t>
        </is>
      </c>
      <c r="J121" t="inlineStr">
        <is>
          <t>ok</t>
        </is>
      </c>
      <c r="L121" t="b">
        <v>0</v>
      </c>
      <c r="M121" t="inlineStr">
        <is>
          <t>东方财富</t>
        </is>
      </c>
      <c r="N121" t="b">
        <v>1</v>
      </c>
    </row>
    <row r="122">
      <c r="A122" t="inlineStr">
        <is>
          <t>A股</t>
        </is>
      </c>
      <c r="B122" t="inlineStr">
        <is>
          <t>000019</t>
        </is>
      </c>
      <c r="C122" t="inlineStr">
        <is>
          <t>深粮控股</t>
        </is>
      </c>
      <c r="D122" t="inlineStr">
        <is>
          <t>年度财务</t>
        </is>
      </c>
      <c r="E122" t="inlineStr">
        <is>
          <t>东方财富</t>
        </is>
      </c>
      <c r="F122" t="inlineStr">
        <is>
          <t>RPT_LICO_FN_CPD + RPT_DMSK_FN_CASHFLOW；巨潮回退原因：未配置巨潮官方 API 凭证/端点（CNINFO_ACCESS_TOKEN、CNINFO_INCOME_API_URL、CNINFO_CASHFLOW_API_URL）</t>
        </is>
      </c>
      <c r="G122" s="32" t="n">
        <v>46263.25727988699</v>
      </c>
      <c r="H122" t="inlineStr">
        <is>
          <t>CNY</t>
        </is>
      </c>
      <c r="I122" t="inlineStr">
        <is>
          <t>CNY</t>
        </is>
      </c>
      <c r="J122" t="inlineStr">
        <is>
          <t>ok</t>
        </is>
      </c>
      <c r="L122" t="b">
        <v>1</v>
      </c>
      <c r="M122" t="inlineStr">
        <is>
          <t>巨潮资讯（CNINFO Data Service）</t>
        </is>
      </c>
      <c r="N122" t="b">
        <v>1</v>
      </c>
    </row>
    <row r="123">
      <c r="A123" t="inlineStr">
        <is>
          <t>A股</t>
        </is>
      </c>
      <c r="B123" t="inlineStr">
        <is>
          <t>000019</t>
        </is>
      </c>
      <c r="C123" t="inlineStr">
        <is>
          <t>深粮控股</t>
        </is>
      </c>
      <c r="D123" t="inlineStr">
        <is>
          <t>上市与发行信息</t>
        </is>
      </c>
      <c r="E123" t="inlineStr">
        <is>
          <t>东方财富</t>
        </is>
      </c>
      <c r="F123" t="inlineStr">
        <is>
          <t>RPT_PCF10_ORG_ISSUEINFO</t>
        </is>
      </c>
      <c r="G123" s="32" t="n">
        <v>46263.25733560355</v>
      </c>
      <c r="H123" t="inlineStr">
        <is>
          <t>CNY</t>
        </is>
      </c>
      <c r="I123" t="inlineStr">
        <is>
          <t>CNY</t>
        </is>
      </c>
      <c r="J123" t="inlineStr">
        <is>
          <t>ok</t>
        </is>
      </c>
      <c r="L123" t="b">
        <v>0</v>
      </c>
      <c r="M123" t="inlineStr">
        <is>
          <t>东方财富</t>
        </is>
      </c>
      <c r="N123" t="b">
        <v>1</v>
      </c>
    </row>
    <row r="124">
      <c r="A124" t="inlineStr">
        <is>
          <t>A股</t>
        </is>
      </c>
      <c r="B124" t="inlineStr">
        <is>
          <t>000019</t>
        </is>
      </c>
      <c r="C124" t="inlineStr">
        <is>
          <t>深粮控股</t>
        </is>
      </c>
      <c r="D124" t="inlineStr">
        <is>
          <t>资金流</t>
        </is>
      </c>
      <c r="E124" t="inlineStr">
        <is>
          <t>配置</t>
        </is>
      </c>
      <c r="F124" t="inlineStr">
        <is>
          <t>flow-mode-off</t>
        </is>
      </c>
      <c r="G124" s="32" t="n">
        <v>46263.25754607147</v>
      </c>
      <c r="I124" t="inlineStr">
        <is>
          <t>CNY</t>
        </is>
      </c>
      <c r="J124" t="inlineStr">
        <is>
          <t>optional_missing</t>
        </is>
      </c>
      <c r="K124" t="inlineStr">
        <is>
          <t>用户选择不抓取资金流</t>
        </is>
      </c>
      <c r="L124" t="b">
        <v>0</v>
      </c>
      <c r="M124" t="inlineStr">
        <is>
          <t>配置</t>
        </is>
      </c>
      <c r="N124" t="b">
        <v>0</v>
      </c>
    </row>
    <row r="125">
      <c r="A125" t="inlineStr">
        <is>
          <t>港股</t>
        </is>
      </c>
      <c r="B125" t="inlineStr">
        <is>
          <t>00016</t>
        </is>
      </c>
      <c r="C125" t="inlineStr">
        <is>
          <t>SHK PPT</t>
        </is>
      </c>
      <c r="D125" t="inlineStr">
        <is>
          <t>最新行情</t>
        </is>
      </c>
      <c r="E125" t="inlineStr">
        <is>
          <t>东方财富</t>
        </is>
      </c>
      <c r="F125" t="inlineStr">
        <is>
          <t>push2 ulist.np/get f2,f20（按指定证券分批）</t>
        </is>
      </c>
      <c r="G125" s="32" t="n">
        <v>46263.25725224894</v>
      </c>
      <c r="H125" t="inlineStr">
        <is>
          <t>HKD</t>
        </is>
      </c>
      <c r="I125" t="inlineStr">
        <is>
          <t>HKD</t>
        </is>
      </c>
      <c r="J125" t="inlineStr">
        <is>
          <t>ok</t>
        </is>
      </c>
      <c r="L125" t="b">
        <v>0</v>
      </c>
      <c r="M125" t="inlineStr">
        <is>
          <t>东方财富</t>
        </is>
      </c>
      <c r="N125" t="b">
        <v>1</v>
      </c>
    </row>
    <row r="126">
      <c r="A126" t="inlineStr">
        <is>
          <t>港股</t>
        </is>
      </c>
      <c r="B126" t="inlineStr">
        <is>
          <t>00016</t>
        </is>
      </c>
      <c r="C126" t="inlineStr">
        <is>
          <t>SHK PPT</t>
        </is>
      </c>
      <c r="D126" t="inlineStr">
        <is>
          <t>大宗交易</t>
        </is>
      </c>
      <c r="E126" t="inlineStr">
        <is>
          <t>东方财富</t>
        </is>
      </c>
      <c r="F126" t="inlineStr">
        <is>
          <t>not-applicable-hk</t>
        </is>
      </c>
      <c r="G126" s="32" t="n">
        <v>46263.25725433244</v>
      </c>
      <c r="I126" t="inlineStr">
        <is>
          <t>HKD</t>
        </is>
      </c>
      <c r="J126" t="inlineStr">
        <is>
          <t>optional_missing</t>
        </is>
      </c>
      <c r="K126" t="inlineStr">
        <is>
          <t>港股大宗交易按允许缺失规则留空</t>
        </is>
      </c>
      <c r="L126" t="b">
        <v>0</v>
      </c>
      <c r="M126" t="inlineStr">
        <is>
          <t>东方财富</t>
        </is>
      </c>
      <c r="N126" t="b">
        <v>1</v>
      </c>
    </row>
    <row r="127">
      <c r="A127" t="inlineStr">
        <is>
          <t>港股</t>
        </is>
      </c>
      <c r="B127" t="inlineStr">
        <is>
          <t>00016</t>
        </is>
      </c>
      <c r="C127" t="inlineStr">
        <is>
          <t>SHK PPT</t>
        </is>
      </c>
      <c r="D127" t="inlineStr">
        <is>
          <t>年度财务</t>
        </is>
      </c>
      <c r="E127" t="inlineStr">
        <is>
          <t>东方财富</t>
        </is>
      </c>
      <c r="F127" t="inlineStr">
        <is>
          <t>RPT_HKF10_FN_MAININDICATOR</t>
        </is>
      </c>
      <c r="G127" s="32" t="n">
        <v>46263.25727420961</v>
      </c>
      <c r="H127" t="inlineStr">
        <is>
          <t>HKD</t>
        </is>
      </c>
      <c r="I127" t="inlineStr">
        <is>
          <t>HKD</t>
        </is>
      </c>
      <c r="J127" t="inlineStr">
        <is>
          <t>ok</t>
        </is>
      </c>
      <c r="L127" t="b">
        <v>0</v>
      </c>
      <c r="M127" t="inlineStr">
        <is>
          <t>东方财富</t>
        </is>
      </c>
      <c r="N127" t="b">
        <v>1</v>
      </c>
    </row>
    <row r="128">
      <c r="A128" t="inlineStr">
        <is>
          <t>港股</t>
        </is>
      </c>
      <c r="B128" t="inlineStr">
        <is>
          <t>00016</t>
        </is>
      </c>
      <c r="C128" t="inlineStr">
        <is>
          <t>SHK PPT</t>
        </is>
      </c>
      <c r="D128" t="inlineStr">
        <is>
          <t>上市与发行信息</t>
        </is>
      </c>
      <c r="E128" t="inlineStr">
        <is>
          <t>东方财富</t>
        </is>
      </c>
      <c r="F128" t="inlineStr">
        <is>
          <t>RPT_HKF10_INFO_SECURITYINFO</t>
        </is>
      </c>
      <c r="G128" s="32" t="n">
        <v>46263.25733608377</v>
      </c>
      <c r="H128" t="inlineStr">
        <is>
          <t>HKD</t>
        </is>
      </c>
      <c r="I128" t="inlineStr">
        <is>
          <t>HKD</t>
        </is>
      </c>
      <c r="J128" t="inlineStr">
        <is>
          <t>ok</t>
        </is>
      </c>
      <c r="L128" t="b">
        <v>0</v>
      </c>
      <c r="M128" t="inlineStr">
        <is>
          <t>东方财富</t>
        </is>
      </c>
      <c r="N128" t="b">
        <v>1</v>
      </c>
    </row>
    <row r="129">
      <c r="A129" t="inlineStr">
        <is>
          <t>港股</t>
        </is>
      </c>
      <c r="B129" t="inlineStr">
        <is>
          <t>00016</t>
        </is>
      </c>
      <c r="C129" t="inlineStr">
        <is>
          <t>SHK PPT</t>
        </is>
      </c>
      <c r="D129" t="inlineStr">
        <is>
          <t>资金流</t>
        </is>
      </c>
      <c r="E129" t="inlineStr">
        <is>
          <t>配置</t>
        </is>
      </c>
      <c r="F129" t="inlineStr">
        <is>
          <t>flow-mode-off</t>
        </is>
      </c>
      <c r="G129" s="32" t="n">
        <v>46263.25754607147</v>
      </c>
      <c r="I129" t="inlineStr">
        <is>
          <t>HKD</t>
        </is>
      </c>
      <c r="J129" t="inlineStr">
        <is>
          <t>optional_missing</t>
        </is>
      </c>
      <c r="K129" t="inlineStr">
        <is>
          <t>用户选择不抓取资金流</t>
        </is>
      </c>
      <c r="L129" t="b">
        <v>0</v>
      </c>
      <c r="M129" t="inlineStr">
        <is>
          <t>配置</t>
        </is>
      </c>
      <c r="N129" t="b">
        <v>0</v>
      </c>
    </row>
    <row r="130">
      <c r="A130" t="inlineStr">
        <is>
          <t>A股</t>
        </is>
      </c>
      <c r="B130" t="inlineStr">
        <is>
          <t>000020</t>
        </is>
      </c>
      <c r="C130" t="inlineStr">
        <is>
          <t>深华发Ａ</t>
        </is>
      </c>
      <c r="D130" t="inlineStr">
        <is>
          <t>最新行情</t>
        </is>
      </c>
      <c r="E130" t="inlineStr">
        <is>
          <t>东方财富</t>
        </is>
      </c>
      <c r="F130" t="inlineStr">
        <is>
          <t>push2 ulist.np/get f2,f20（按指定证券分批）</t>
        </is>
      </c>
      <c r="G130" s="32" t="n">
        <v>46263.25725224894</v>
      </c>
      <c r="H130" t="inlineStr">
        <is>
          <t>CNY</t>
        </is>
      </c>
      <c r="I130" t="inlineStr">
        <is>
          <t>CNY</t>
        </is>
      </c>
      <c r="J130" t="inlineStr">
        <is>
          <t>ok</t>
        </is>
      </c>
      <c r="L130" t="b">
        <v>0</v>
      </c>
      <c r="M130" t="inlineStr">
        <is>
          <t>东方财富</t>
        </is>
      </c>
      <c r="N130" t="b">
        <v>1</v>
      </c>
    </row>
    <row r="131">
      <c r="A131" t="inlineStr">
        <is>
          <t>A股</t>
        </is>
      </c>
      <c r="B131" t="inlineStr">
        <is>
          <t>000020</t>
        </is>
      </c>
      <c r="C131" t="inlineStr">
        <is>
          <t>深华发Ａ</t>
        </is>
      </c>
      <c r="D131" t="inlineStr">
        <is>
          <t>大宗交易</t>
        </is>
      </c>
      <c r="E131" t="inlineStr">
        <is>
          <t>东方财富</t>
        </is>
      </c>
      <c r="F131" t="inlineStr">
        <is>
          <t>RPT_DATA_BLOCKTRADE 2026（全市场分页后本地聚合）</t>
        </is>
      </c>
      <c r="G131" s="32" t="n">
        <v>46263.25725717999</v>
      </c>
      <c r="H131" t="inlineStr">
        <is>
          <t>CNY</t>
        </is>
      </c>
      <c r="I131" t="inlineStr">
        <is>
          <t>CNY</t>
        </is>
      </c>
      <c r="J131" t="inlineStr">
        <is>
          <t>ok</t>
        </is>
      </c>
      <c r="L131" t="b">
        <v>0</v>
      </c>
      <c r="M131" t="inlineStr">
        <is>
          <t>东方财富</t>
        </is>
      </c>
      <c r="N131" t="b">
        <v>1</v>
      </c>
    </row>
    <row r="132">
      <c r="A132" t="inlineStr">
        <is>
          <t>A股</t>
        </is>
      </c>
      <c r="B132" t="inlineStr">
        <is>
          <t>000020</t>
        </is>
      </c>
      <c r="C132" t="inlineStr">
        <is>
          <t>深华发Ａ</t>
        </is>
      </c>
      <c r="D132" t="inlineStr">
        <is>
          <t>年度财务</t>
        </is>
      </c>
      <c r="E132" t="inlineStr">
        <is>
          <t>东方财富</t>
        </is>
      </c>
      <c r="F132" t="inlineStr">
        <is>
          <t>RPT_LICO_FN_CPD + RPT_DMSK_FN_CASHFLOW；巨潮回退原因：未配置巨潮官方 API 凭证/端点（CNINFO_ACCESS_TOKEN、CNINFO_INCOME_API_URL、CNINFO_CASHFLOW_API_URL）</t>
        </is>
      </c>
      <c r="G132" s="32" t="n">
        <v>46263.25728077049</v>
      </c>
      <c r="H132" t="inlineStr">
        <is>
          <t>CNY</t>
        </is>
      </c>
      <c r="I132" t="inlineStr">
        <is>
          <t>CNY</t>
        </is>
      </c>
      <c r="J132" t="inlineStr">
        <is>
          <t>ok</t>
        </is>
      </c>
      <c r="L132" t="b">
        <v>1</v>
      </c>
      <c r="M132" t="inlineStr">
        <is>
          <t>巨潮资讯（CNINFO Data Service）</t>
        </is>
      </c>
      <c r="N132" t="b">
        <v>1</v>
      </c>
    </row>
    <row r="133">
      <c r="A133" t="inlineStr">
        <is>
          <t>A股</t>
        </is>
      </c>
      <c r="B133" t="inlineStr">
        <is>
          <t>000020</t>
        </is>
      </c>
      <c r="C133" t="inlineStr">
        <is>
          <t>深华发Ａ</t>
        </is>
      </c>
      <c r="D133" t="inlineStr">
        <is>
          <t>上市与发行信息</t>
        </is>
      </c>
      <c r="E133" t="inlineStr">
        <is>
          <t>东方财富</t>
        </is>
      </c>
      <c r="F133" t="inlineStr">
        <is>
          <t>RPT_PCF10_ORG_ISSUEINFO</t>
        </is>
      </c>
      <c r="G133" s="32" t="n">
        <v>46263.25733675146</v>
      </c>
      <c r="H133" t="inlineStr">
        <is>
          <t>CNY</t>
        </is>
      </c>
      <c r="I133" t="inlineStr">
        <is>
          <t>CNY</t>
        </is>
      </c>
      <c r="J133" t="inlineStr">
        <is>
          <t>ok</t>
        </is>
      </c>
      <c r="L133" t="b">
        <v>0</v>
      </c>
      <c r="M133" t="inlineStr">
        <is>
          <t>东方财富</t>
        </is>
      </c>
      <c r="N133" t="b">
        <v>1</v>
      </c>
    </row>
    <row r="134">
      <c r="A134" t="inlineStr">
        <is>
          <t>A股</t>
        </is>
      </c>
      <c r="B134" t="inlineStr">
        <is>
          <t>000020</t>
        </is>
      </c>
      <c r="C134" t="inlineStr">
        <is>
          <t>深华发Ａ</t>
        </is>
      </c>
      <c r="D134" t="inlineStr">
        <is>
          <t>资金流</t>
        </is>
      </c>
      <c r="E134" t="inlineStr">
        <is>
          <t>配置</t>
        </is>
      </c>
      <c r="F134" t="inlineStr">
        <is>
          <t>flow-mode-off</t>
        </is>
      </c>
      <c r="G134" s="32" t="n">
        <v>46263.25754607147</v>
      </c>
      <c r="I134" t="inlineStr">
        <is>
          <t>CNY</t>
        </is>
      </c>
      <c r="J134" t="inlineStr">
        <is>
          <t>optional_missing</t>
        </is>
      </c>
      <c r="K134" t="inlineStr">
        <is>
          <t>用户选择不抓取资金流</t>
        </is>
      </c>
      <c r="L134" t="b">
        <v>0</v>
      </c>
      <c r="M134" t="inlineStr">
        <is>
          <t>配置</t>
        </is>
      </c>
      <c r="N134" t="b">
        <v>0</v>
      </c>
    </row>
    <row r="135">
      <c r="A135" t="inlineStr">
        <is>
          <t>港股</t>
        </is>
      </c>
      <c r="B135" t="inlineStr">
        <is>
          <t>00017</t>
        </is>
      </c>
      <c r="C135" t="inlineStr">
        <is>
          <t>NEW WORLD DEV</t>
        </is>
      </c>
      <c r="D135" t="inlineStr">
        <is>
          <t>最新行情</t>
        </is>
      </c>
      <c r="E135" t="inlineStr">
        <is>
          <t>东方财富</t>
        </is>
      </c>
      <c r="F135" t="inlineStr">
        <is>
          <t>push2 ulist.np/get f2,f20（按指定证券分批）</t>
        </is>
      </c>
      <c r="G135" s="32" t="n">
        <v>46263.25725224894</v>
      </c>
      <c r="H135" t="inlineStr">
        <is>
          <t>HKD</t>
        </is>
      </c>
      <c r="I135" t="inlineStr">
        <is>
          <t>HKD</t>
        </is>
      </c>
      <c r="J135" t="inlineStr">
        <is>
          <t>ok</t>
        </is>
      </c>
      <c r="L135" t="b">
        <v>0</v>
      </c>
      <c r="M135" t="inlineStr">
        <is>
          <t>东方财富</t>
        </is>
      </c>
      <c r="N135" t="b">
        <v>1</v>
      </c>
    </row>
    <row r="136">
      <c r="A136" t="inlineStr">
        <is>
          <t>港股</t>
        </is>
      </c>
      <c r="B136" t="inlineStr">
        <is>
          <t>00017</t>
        </is>
      </c>
      <c r="C136" t="inlineStr">
        <is>
          <t>NEW WORLD DEV</t>
        </is>
      </c>
      <c r="D136" t="inlineStr">
        <is>
          <t>大宗交易</t>
        </is>
      </c>
      <c r="E136" t="inlineStr">
        <is>
          <t>东方财富</t>
        </is>
      </c>
      <c r="F136" t="inlineStr">
        <is>
          <t>not-applicable-hk</t>
        </is>
      </c>
      <c r="G136" s="32" t="n">
        <v>46263.25725433244</v>
      </c>
      <c r="I136" t="inlineStr">
        <is>
          <t>HKD</t>
        </is>
      </c>
      <c r="J136" t="inlineStr">
        <is>
          <t>optional_missing</t>
        </is>
      </c>
      <c r="K136" t="inlineStr">
        <is>
          <t>港股大宗交易按允许缺失规则留空</t>
        </is>
      </c>
      <c r="L136" t="b">
        <v>0</v>
      </c>
      <c r="M136" t="inlineStr">
        <is>
          <t>东方财富</t>
        </is>
      </c>
      <c r="N136" t="b">
        <v>1</v>
      </c>
    </row>
    <row r="137">
      <c r="A137" t="inlineStr">
        <is>
          <t>港股</t>
        </is>
      </c>
      <c r="B137" t="inlineStr">
        <is>
          <t>00017</t>
        </is>
      </c>
      <c r="C137" t="inlineStr">
        <is>
          <t>NEW WORLD DEV</t>
        </is>
      </c>
      <c r="D137" t="inlineStr">
        <is>
          <t>年度财务</t>
        </is>
      </c>
      <c r="E137" t="inlineStr">
        <is>
          <t>东方财富</t>
        </is>
      </c>
      <c r="F137" t="inlineStr">
        <is>
          <t>RPT_HKF10_FN_MAININDICATOR</t>
        </is>
      </c>
      <c r="G137" s="32" t="n">
        <v>46263.25727602671</v>
      </c>
      <c r="H137" t="inlineStr">
        <is>
          <t>HKD</t>
        </is>
      </c>
      <c r="I137" t="inlineStr">
        <is>
          <t>HKD</t>
        </is>
      </c>
      <c r="J137" t="inlineStr">
        <is>
          <t>ok</t>
        </is>
      </c>
      <c r="L137" t="b">
        <v>0</v>
      </c>
      <c r="M137" t="inlineStr">
        <is>
          <t>东方财富</t>
        </is>
      </c>
      <c r="N137" t="b">
        <v>1</v>
      </c>
    </row>
    <row r="138">
      <c r="A138" t="inlineStr">
        <is>
          <t>港股</t>
        </is>
      </c>
      <c r="B138" t="inlineStr">
        <is>
          <t>00017</t>
        </is>
      </c>
      <c r="C138" t="inlineStr">
        <is>
          <t>NEW WORLD DEV</t>
        </is>
      </c>
      <c r="D138" t="inlineStr">
        <is>
          <t>上市与发行信息</t>
        </is>
      </c>
      <c r="E138" t="inlineStr">
        <is>
          <t>东方财富</t>
        </is>
      </c>
      <c r="F138" t="inlineStr">
        <is>
          <t>RPT_HKF10_INFO_SECURITYINFO</t>
        </is>
      </c>
      <c r="G138" s="32" t="n">
        <v>46263.25733719006</v>
      </c>
      <c r="H138" t="inlineStr">
        <is>
          <t>HKD</t>
        </is>
      </c>
      <c r="I138" t="inlineStr">
        <is>
          <t>HKD</t>
        </is>
      </c>
      <c r="J138" t="inlineStr">
        <is>
          <t>ok</t>
        </is>
      </c>
      <c r="L138" t="b">
        <v>1</v>
      </c>
      <c r="M138" t="inlineStr">
        <is>
          <t>东方财富</t>
        </is>
      </c>
      <c r="N138" t="b">
        <v>1</v>
      </c>
    </row>
    <row r="139">
      <c r="A139" t="inlineStr">
        <is>
          <t>港股</t>
        </is>
      </c>
      <c r="B139" t="inlineStr">
        <is>
          <t>00017</t>
        </is>
      </c>
      <c r="C139" t="inlineStr">
        <is>
          <t>NEW WORLD DEV</t>
        </is>
      </c>
      <c r="D139" t="inlineStr">
        <is>
          <t>资金流</t>
        </is>
      </c>
      <c r="E139" t="inlineStr">
        <is>
          <t>配置</t>
        </is>
      </c>
      <c r="F139" t="inlineStr">
        <is>
          <t>flow-mode-off</t>
        </is>
      </c>
      <c r="G139" s="32" t="n">
        <v>46263.25754607147</v>
      </c>
      <c r="I139" t="inlineStr">
        <is>
          <t>HKD</t>
        </is>
      </c>
      <c r="J139" t="inlineStr">
        <is>
          <t>optional_missing</t>
        </is>
      </c>
      <c r="K139" t="inlineStr">
        <is>
          <t>用户选择不抓取资金流</t>
        </is>
      </c>
      <c r="L139" t="b">
        <v>0</v>
      </c>
      <c r="M139" t="inlineStr">
        <is>
          <t>配置</t>
        </is>
      </c>
      <c r="N139" t="b">
        <v>0</v>
      </c>
    </row>
    <row r="140">
      <c r="A140" t="inlineStr">
        <is>
          <t>A股</t>
        </is>
      </c>
      <c r="B140" t="inlineStr">
        <is>
          <t>000021</t>
        </is>
      </c>
      <c r="C140" t="inlineStr">
        <is>
          <t>深科技</t>
        </is>
      </c>
      <c r="D140" t="inlineStr">
        <is>
          <t>最新行情</t>
        </is>
      </c>
      <c r="E140" t="inlineStr">
        <is>
          <t>东方财富</t>
        </is>
      </c>
      <c r="F140" t="inlineStr">
        <is>
          <t>push2 ulist.np/get f2,f20（按指定证券分批）</t>
        </is>
      </c>
      <c r="G140" s="32" t="n">
        <v>46263.25725224894</v>
      </c>
      <c r="H140" t="inlineStr">
        <is>
          <t>CNY</t>
        </is>
      </c>
      <c r="I140" t="inlineStr">
        <is>
          <t>CNY</t>
        </is>
      </c>
      <c r="J140" t="inlineStr">
        <is>
          <t>ok</t>
        </is>
      </c>
      <c r="L140" t="b">
        <v>0</v>
      </c>
      <c r="M140" t="inlineStr">
        <is>
          <t>东方财富</t>
        </is>
      </c>
      <c r="N140" t="b">
        <v>1</v>
      </c>
    </row>
    <row r="141">
      <c r="A141" t="inlineStr">
        <is>
          <t>A股</t>
        </is>
      </c>
      <c r="B141" t="inlineStr">
        <is>
          <t>000021</t>
        </is>
      </c>
      <c r="C141" t="inlineStr">
        <is>
          <t>深科技</t>
        </is>
      </c>
      <c r="D141" t="inlineStr">
        <is>
          <t>大宗交易</t>
        </is>
      </c>
      <c r="E141" t="inlineStr">
        <is>
          <t>东方财富</t>
        </is>
      </c>
      <c r="F141" t="inlineStr">
        <is>
          <t>RPT_DATA_BLOCKTRADE 2026（全市场分页后本地聚合）</t>
        </is>
      </c>
      <c r="G141" s="32" t="n">
        <v>46263.25725717999</v>
      </c>
      <c r="H141" t="inlineStr">
        <is>
          <t>CNY</t>
        </is>
      </c>
      <c r="I141" t="inlineStr">
        <is>
          <t>CNY</t>
        </is>
      </c>
      <c r="J141" t="inlineStr">
        <is>
          <t>ok</t>
        </is>
      </c>
      <c r="L141" t="b">
        <v>0</v>
      </c>
      <c r="M141" t="inlineStr">
        <is>
          <t>东方财富</t>
        </is>
      </c>
      <c r="N141" t="b">
        <v>1</v>
      </c>
    </row>
    <row r="142">
      <c r="A142" t="inlineStr">
        <is>
          <t>A股</t>
        </is>
      </c>
      <c r="B142" t="inlineStr">
        <is>
          <t>000021</t>
        </is>
      </c>
      <c r="C142" t="inlineStr">
        <is>
          <t>深科技</t>
        </is>
      </c>
      <c r="D142" t="inlineStr">
        <is>
          <t>年度财务</t>
        </is>
      </c>
      <c r="E142" t="inlineStr">
        <is>
          <t>东方财富</t>
        </is>
      </c>
      <c r="F142" t="inlineStr">
        <is>
          <t>RPT_LICO_FN_CPD + RPT_DMSK_FN_CASHFLOW；巨潮回退原因：未配置巨潮官方 API 凭证/端点（CNINFO_ACCESS_TOKEN、CNINFO_INCOME_API_URL、CNINFO_CASHFLOW_API_URL）</t>
        </is>
      </c>
      <c r="G142" s="32" t="n">
        <v>46263.25728211995</v>
      </c>
      <c r="H142" t="inlineStr">
        <is>
          <t>CNY</t>
        </is>
      </c>
      <c r="I142" t="inlineStr">
        <is>
          <t>CNY</t>
        </is>
      </c>
      <c r="J142" t="inlineStr">
        <is>
          <t>ok</t>
        </is>
      </c>
      <c r="L142" t="b">
        <v>1</v>
      </c>
      <c r="M142" t="inlineStr">
        <is>
          <t>巨潮资讯（CNINFO Data Service）</t>
        </is>
      </c>
      <c r="N142" t="b">
        <v>1</v>
      </c>
    </row>
    <row r="143">
      <c r="A143" t="inlineStr">
        <is>
          <t>A股</t>
        </is>
      </c>
      <c r="B143" t="inlineStr">
        <is>
          <t>000021</t>
        </is>
      </c>
      <c r="C143" t="inlineStr">
        <is>
          <t>深科技</t>
        </is>
      </c>
      <c r="D143" t="inlineStr">
        <is>
          <t>上市与发行信息</t>
        </is>
      </c>
      <c r="E143" t="inlineStr">
        <is>
          <t>东方财富</t>
        </is>
      </c>
      <c r="F143" t="inlineStr">
        <is>
          <t>RPT_PCF10_ORG_ISSUEINFO</t>
        </is>
      </c>
      <c r="G143" s="32" t="n">
        <v>46263.25733768183</v>
      </c>
      <c r="H143" t="inlineStr">
        <is>
          <t>CNY</t>
        </is>
      </c>
      <c r="I143" t="inlineStr">
        <is>
          <t>CNY</t>
        </is>
      </c>
      <c r="J143" t="inlineStr">
        <is>
          <t>ok</t>
        </is>
      </c>
      <c r="L143" t="b">
        <v>0</v>
      </c>
      <c r="M143" t="inlineStr">
        <is>
          <t>东方财富</t>
        </is>
      </c>
      <c r="N143" t="b">
        <v>1</v>
      </c>
    </row>
    <row r="144">
      <c r="A144" t="inlineStr">
        <is>
          <t>A股</t>
        </is>
      </c>
      <c r="B144" t="inlineStr">
        <is>
          <t>000021</t>
        </is>
      </c>
      <c r="C144" t="inlineStr">
        <is>
          <t>深科技</t>
        </is>
      </c>
      <c r="D144" t="inlineStr">
        <is>
          <t>资金流</t>
        </is>
      </c>
      <c r="E144" t="inlineStr">
        <is>
          <t>配置</t>
        </is>
      </c>
      <c r="F144" t="inlineStr">
        <is>
          <t>flow-mode-off</t>
        </is>
      </c>
      <c r="G144" s="32" t="n">
        <v>46263.25754607147</v>
      </c>
      <c r="I144" t="inlineStr">
        <is>
          <t>CNY</t>
        </is>
      </c>
      <c r="J144" t="inlineStr">
        <is>
          <t>optional_missing</t>
        </is>
      </c>
      <c r="K144" t="inlineStr">
        <is>
          <t>用户选择不抓取资金流</t>
        </is>
      </c>
      <c r="L144" t="b">
        <v>0</v>
      </c>
      <c r="M144" t="inlineStr">
        <is>
          <t>配置</t>
        </is>
      </c>
      <c r="N144" t="b">
        <v>0</v>
      </c>
    </row>
    <row r="145">
      <c r="A145" t="inlineStr">
        <is>
          <t>港股</t>
        </is>
      </c>
      <c r="B145" t="inlineStr">
        <is>
          <t>00018</t>
        </is>
      </c>
      <c r="C145" t="inlineStr">
        <is>
          <t>ORIENTAL M G</t>
        </is>
      </c>
      <c r="D145" t="inlineStr">
        <is>
          <t>最新行情</t>
        </is>
      </c>
      <c r="E145" t="inlineStr">
        <is>
          <t>东方财富</t>
        </is>
      </c>
      <c r="F145" t="inlineStr">
        <is>
          <t>push2 ulist.np/get f2,f20（按指定证券分批）</t>
        </is>
      </c>
      <c r="G145" s="32" t="n">
        <v>46263.25725224894</v>
      </c>
      <c r="H145" t="inlineStr">
        <is>
          <t>HKD</t>
        </is>
      </c>
      <c r="I145" t="inlineStr">
        <is>
          <t>HKD</t>
        </is>
      </c>
      <c r="J145" t="inlineStr">
        <is>
          <t>ok</t>
        </is>
      </c>
      <c r="L145" t="b">
        <v>0</v>
      </c>
      <c r="M145" t="inlineStr">
        <is>
          <t>东方财富</t>
        </is>
      </c>
      <c r="N145" t="b">
        <v>1</v>
      </c>
    </row>
    <row r="146">
      <c r="A146" t="inlineStr">
        <is>
          <t>港股</t>
        </is>
      </c>
      <c r="B146" t="inlineStr">
        <is>
          <t>00018</t>
        </is>
      </c>
      <c r="C146" t="inlineStr">
        <is>
          <t>ORIENTAL M G</t>
        </is>
      </c>
      <c r="D146" t="inlineStr">
        <is>
          <t>大宗交易</t>
        </is>
      </c>
      <c r="E146" t="inlineStr">
        <is>
          <t>东方财富</t>
        </is>
      </c>
      <c r="F146" t="inlineStr">
        <is>
          <t>not-applicable-hk</t>
        </is>
      </c>
      <c r="G146" s="32" t="n">
        <v>46263.25725433244</v>
      </c>
      <c r="I146" t="inlineStr">
        <is>
          <t>HKD</t>
        </is>
      </c>
      <c r="J146" t="inlineStr">
        <is>
          <t>optional_missing</t>
        </is>
      </c>
      <c r="K146" t="inlineStr">
        <is>
          <t>港股大宗交易按允许缺失规则留空</t>
        </is>
      </c>
      <c r="L146" t="b">
        <v>0</v>
      </c>
      <c r="M146" t="inlineStr">
        <is>
          <t>东方财富</t>
        </is>
      </c>
      <c r="N146" t="b">
        <v>1</v>
      </c>
    </row>
    <row r="147">
      <c r="A147" t="inlineStr">
        <is>
          <t>港股</t>
        </is>
      </c>
      <c r="B147" t="inlineStr">
        <is>
          <t>00018</t>
        </is>
      </c>
      <c r="C147" t="inlineStr">
        <is>
          <t>ORIENTAL M G</t>
        </is>
      </c>
      <c r="D147" t="inlineStr">
        <is>
          <t>年度财务</t>
        </is>
      </c>
      <c r="E147" t="inlineStr">
        <is>
          <t>东方财富</t>
        </is>
      </c>
      <c r="F147" t="inlineStr">
        <is>
          <t>RPT_HKF10_FN_MAININDICATOR</t>
        </is>
      </c>
      <c r="G147" s="32" t="n">
        <v>46263.25727710552</v>
      </c>
      <c r="H147" t="inlineStr">
        <is>
          <t>HKD</t>
        </is>
      </c>
      <c r="I147" t="inlineStr">
        <is>
          <t>HKD</t>
        </is>
      </c>
      <c r="J147" t="inlineStr">
        <is>
          <t>ok</t>
        </is>
      </c>
      <c r="L147" t="b">
        <v>0</v>
      </c>
      <c r="M147" t="inlineStr">
        <is>
          <t>东方财富</t>
        </is>
      </c>
      <c r="N147" t="b">
        <v>1</v>
      </c>
    </row>
    <row r="148">
      <c r="A148" t="inlineStr">
        <is>
          <t>港股</t>
        </is>
      </c>
      <c r="B148" t="inlineStr">
        <is>
          <t>00018</t>
        </is>
      </c>
      <c r="C148" t="inlineStr">
        <is>
          <t>ORIENTAL M G</t>
        </is>
      </c>
      <c r="D148" t="inlineStr">
        <is>
          <t>上市与发行信息</t>
        </is>
      </c>
      <c r="E148" t="inlineStr">
        <is>
          <t>东方财富</t>
        </is>
      </c>
      <c r="F148" t="inlineStr">
        <is>
          <t>RPT_HKF10_INFO_SECURITYINFO</t>
        </is>
      </c>
      <c r="G148" s="32" t="n">
        <v>46263.25733838762</v>
      </c>
      <c r="H148" t="inlineStr">
        <is>
          <t>HKD</t>
        </is>
      </c>
      <c r="I148" t="inlineStr">
        <is>
          <t>HKD</t>
        </is>
      </c>
      <c r="J148" t="inlineStr">
        <is>
          <t>ok</t>
        </is>
      </c>
      <c r="L148" t="b">
        <v>0</v>
      </c>
      <c r="M148" t="inlineStr">
        <is>
          <t>东方财富</t>
        </is>
      </c>
      <c r="N148" t="b">
        <v>1</v>
      </c>
    </row>
    <row r="149">
      <c r="A149" t="inlineStr">
        <is>
          <t>港股</t>
        </is>
      </c>
      <c r="B149" t="inlineStr">
        <is>
          <t>00018</t>
        </is>
      </c>
      <c r="C149" t="inlineStr">
        <is>
          <t>ORIENTAL M G</t>
        </is>
      </c>
      <c r="D149" t="inlineStr">
        <is>
          <t>资金流</t>
        </is>
      </c>
      <c r="E149" t="inlineStr">
        <is>
          <t>配置</t>
        </is>
      </c>
      <c r="F149" t="inlineStr">
        <is>
          <t>flow-mode-off</t>
        </is>
      </c>
      <c r="G149" s="32" t="n">
        <v>46263.25754607147</v>
      </c>
      <c r="I149" t="inlineStr">
        <is>
          <t>HKD</t>
        </is>
      </c>
      <c r="J149" t="inlineStr">
        <is>
          <t>optional_missing</t>
        </is>
      </c>
      <c r="K149" t="inlineStr">
        <is>
          <t>用户选择不抓取资金流</t>
        </is>
      </c>
      <c r="L149" t="b">
        <v>0</v>
      </c>
      <c r="M149" t="inlineStr">
        <is>
          <t>配置</t>
        </is>
      </c>
      <c r="N149" t="b">
        <v>0</v>
      </c>
    </row>
    <row r="150">
      <c r="A150" t="inlineStr">
        <is>
          <t>A股</t>
        </is>
      </c>
      <c r="B150" t="inlineStr">
        <is>
          <t>000025</t>
        </is>
      </c>
      <c r="C150" t="inlineStr">
        <is>
          <t>特力Ａ</t>
        </is>
      </c>
      <c r="D150" t="inlineStr">
        <is>
          <t>最新行情</t>
        </is>
      </c>
      <c r="E150" t="inlineStr">
        <is>
          <t>东方财富</t>
        </is>
      </c>
      <c r="F150" t="inlineStr">
        <is>
          <t>push2 ulist.np/get f2,f20（按指定证券分批）</t>
        </is>
      </c>
      <c r="G150" s="32" t="n">
        <v>46263.25725224894</v>
      </c>
      <c r="H150" t="inlineStr">
        <is>
          <t>CNY</t>
        </is>
      </c>
      <c r="I150" t="inlineStr">
        <is>
          <t>CNY</t>
        </is>
      </c>
      <c r="J150" t="inlineStr">
        <is>
          <t>ok</t>
        </is>
      </c>
      <c r="L150" t="b">
        <v>0</v>
      </c>
      <c r="M150" t="inlineStr">
        <is>
          <t>东方财富</t>
        </is>
      </c>
      <c r="N150" t="b">
        <v>1</v>
      </c>
    </row>
    <row r="151">
      <c r="A151" t="inlineStr">
        <is>
          <t>A股</t>
        </is>
      </c>
      <c r="B151" t="inlineStr">
        <is>
          <t>000025</t>
        </is>
      </c>
      <c r="C151" t="inlineStr">
        <is>
          <t>特力Ａ</t>
        </is>
      </c>
      <c r="D151" t="inlineStr">
        <is>
          <t>大宗交易</t>
        </is>
      </c>
      <c r="E151" t="inlineStr">
        <is>
          <t>东方财富</t>
        </is>
      </c>
      <c r="F151" t="inlineStr">
        <is>
          <t>RPT_DATA_BLOCKTRADE 2026（全市场分页后本地聚合）</t>
        </is>
      </c>
      <c r="G151" s="32" t="n">
        <v>46263.25725717999</v>
      </c>
      <c r="H151" t="inlineStr">
        <is>
          <t>CNY</t>
        </is>
      </c>
      <c r="I151" t="inlineStr">
        <is>
          <t>CNY</t>
        </is>
      </c>
      <c r="J151" t="inlineStr">
        <is>
          <t>ok</t>
        </is>
      </c>
      <c r="L151" t="b">
        <v>0</v>
      </c>
      <c r="M151" t="inlineStr">
        <is>
          <t>东方财富</t>
        </is>
      </c>
      <c r="N151" t="b">
        <v>1</v>
      </c>
    </row>
    <row r="152">
      <c r="A152" t="inlineStr">
        <is>
          <t>A股</t>
        </is>
      </c>
      <c r="B152" t="inlineStr">
        <is>
          <t>000025</t>
        </is>
      </c>
      <c r="C152" t="inlineStr">
        <is>
          <t>特力Ａ</t>
        </is>
      </c>
      <c r="D152" t="inlineStr">
        <is>
          <t>年度财务</t>
        </is>
      </c>
      <c r="E152" t="inlineStr">
        <is>
          <t>东方财富</t>
        </is>
      </c>
      <c r="F152" t="inlineStr">
        <is>
          <t>RPT_LICO_FN_CPD + RPT_DMSK_FN_CASHFLOW；巨潮回退原因：未配置巨潮官方 API 凭证/端点（CNINFO_ACCESS_TOKEN、CNINFO_INCOME_API_URL、CNINFO_CASHFLOW_API_URL）</t>
        </is>
      </c>
      <c r="G152" s="32" t="n">
        <v>46263.25728299347</v>
      </c>
      <c r="H152" t="inlineStr">
        <is>
          <t>CNY</t>
        </is>
      </c>
      <c r="I152" t="inlineStr">
        <is>
          <t>CNY</t>
        </is>
      </c>
      <c r="J152" t="inlineStr">
        <is>
          <t>ok</t>
        </is>
      </c>
      <c r="L152" t="b">
        <v>1</v>
      </c>
      <c r="M152" t="inlineStr">
        <is>
          <t>巨潮资讯（CNINFO Data Service）</t>
        </is>
      </c>
      <c r="N152" t="b">
        <v>1</v>
      </c>
    </row>
    <row r="153">
      <c r="A153" t="inlineStr">
        <is>
          <t>A股</t>
        </is>
      </c>
      <c r="B153" t="inlineStr">
        <is>
          <t>000025</t>
        </is>
      </c>
      <c r="C153" t="inlineStr">
        <is>
          <t>特力Ａ</t>
        </is>
      </c>
      <c r="D153" t="inlineStr">
        <is>
          <t>上市与发行信息</t>
        </is>
      </c>
      <c r="E153" t="inlineStr">
        <is>
          <t>东方财富</t>
        </is>
      </c>
      <c r="F153" t="inlineStr">
        <is>
          <t>RPT_PCF10_ORG_ISSUEINFO</t>
        </is>
      </c>
      <c r="G153" s="32" t="n">
        <v>46263.2573389813</v>
      </c>
      <c r="H153" t="inlineStr">
        <is>
          <t>CNY</t>
        </is>
      </c>
      <c r="I153" t="inlineStr">
        <is>
          <t>CNY</t>
        </is>
      </c>
      <c r="J153" t="inlineStr">
        <is>
          <t>ok</t>
        </is>
      </c>
      <c r="L153" t="b">
        <v>0</v>
      </c>
      <c r="M153" t="inlineStr">
        <is>
          <t>东方财富</t>
        </is>
      </c>
      <c r="N153" t="b">
        <v>1</v>
      </c>
    </row>
    <row r="154">
      <c r="A154" t="inlineStr">
        <is>
          <t>A股</t>
        </is>
      </c>
      <c r="B154" t="inlineStr">
        <is>
          <t>000025</t>
        </is>
      </c>
      <c r="C154" t="inlineStr">
        <is>
          <t>特力Ａ</t>
        </is>
      </c>
      <c r="D154" t="inlineStr">
        <is>
          <t>资金流</t>
        </is>
      </c>
      <c r="E154" t="inlineStr">
        <is>
          <t>配置</t>
        </is>
      </c>
      <c r="F154" t="inlineStr">
        <is>
          <t>flow-mode-off</t>
        </is>
      </c>
      <c r="G154" s="32" t="n">
        <v>46263.25754607147</v>
      </c>
      <c r="I154" t="inlineStr">
        <is>
          <t>CNY</t>
        </is>
      </c>
      <c r="J154" t="inlineStr">
        <is>
          <t>optional_missing</t>
        </is>
      </c>
      <c r="K154" t="inlineStr">
        <is>
          <t>用户选择不抓取资金流</t>
        </is>
      </c>
      <c r="L154" t="b">
        <v>0</v>
      </c>
      <c r="M154" t="inlineStr">
        <is>
          <t>配置</t>
        </is>
      </c>
      <c r="N154" t="b">
        <v>0</v>
      </c>
    </row>
    <row r="155">
      <c r="A155" t="inlineStr">
        <is>
          <t>港股</t>
        </is>
      </c>
      <c r="B155" t="inlineStr">
        <is>
          <t>00019</t>
        </is>
      </c>
      <c r="C155" t="inlineStr">
        <is>
          <t>SWIRE PACIFIC A</t>
        </is>
      </c>
      <c r="D155" t="inlineStr">
        <is>
          <t>最新行情</t>
        </is>
      </c>
      <c r="E155" t="inlineStr">
        <is>
          <t>东方财富</t>
        </is>
      </c>
      <c r="F155" t="inlineStr">
        <is>
          <t>push2 ulist.np/get f2,f20（按指定证券分批）</t>
        </is>
      </c>
      <c r="G155" s="32" t="n">
        <v>46263.25725224894</v>
      </c>
      <c r="H155" t="inlineStr">
        <is>
          <t>HKD</t>
        </is>
      </c>
      <c r="I155" t="inlineStr">
        <is>
          <t>HKD</t>
        </is>
      </c>
      <c r="J155" t="inlineStr">
        <is>
          <t>ok</t>
        </is>
      </c>
      <c r="L155" t="b">
        <v>0</v>
      </c>
      <c r="M155" t="inlineStr">
        <is>
          <t>东方财富</t>
        </is>
      </c>
      <c r="N155" t="b">
        <v>1</v>
      </c>
    </row>
    <row r="156">
      <c r="A156" t="inlineStr">
        <is>
          <t>港股</t>
        </is>
      </c>
      <c r="B156" t="inlineStr">
        <is>
          <t>00019</t>
        </is>
      </c>
      <c r="C156" t="inlineStr">
        <is>
          <t>SWIRE PACIFIC A</t>
        </is>
      </c>
      <c r="D156" t="inlineStr">
        <is>
          <t>大宗交易</t>
        </is>
      </c>
      <c r="E156" t="inlineStr">
        <is>
          <t>东方财富</t>
        </is>
      </c>
      <c r="F156" t="inlineStr">
        <is>
          <t>not-applicable-hk</t>
        </is>
      </c>
      <c r="G156" s="32" t="n">
        <v>46263.25725433244</v>
      </c>
      <c r="I156" t="inlineStr">
        <is>
          <t>HKD</t>
        </is>
      </c>
      <c r="J156" t="inlineStr">
        <is>
          <t>optional_missing</t>
        </is>
      </c>
      <c r="K156" t="inlineStr">
        <is>
          <t>港股大宗交易按允许缺失规则留空</t>
        </is>
      </c>
      <c r="L156" t="b">
        <v>0</v>
      </c>
      <c r="M156" t="inlineStr">
        <is>
          <t>东方财富</t>
        </is>
      </c>
      <c r="N156" t="b">
        <v>1</v>
      </c>
    </row>
    <row r="157">
      <c r="A157" t="inlineStr">
        <is>
          <t>港股</t>
        </is>
      </c>
      <c r="B157" t="inlineStr">
        <is>
          <t>00019</t>
        </is>
      </c>
      <c r="C157" t="inlineStr">
        <is>
          <t>SWIRE PACIFIC A</t>
        </is>
      </c>
      <c r="D157" t="inlineStr">
        <is>
          <t>年度财务</t>
        </is>
      </c>
      <c r="E157" t="inlineStr">
        <is>
          <t>东方财富</t>
        </is>
      </c>
      <c r="F157" t="inlineStr">
        <is>
          <t>RPT_HKF10_FN_MAININDICATOR</t>
        </is>
      </c>
      <c r="G157" s="32" t="n">
        <v>46263.25727976508</v>
      </c>
      <c r="H157" t="inlineStr">
        <is>
          <t>HKD</t>
        </is>
      </c>
      <c r="I157" t="inlineStr">
        <is>
          <t>HKD</t>
        </is>
      </c>
      <c r="J157" t="inlineStr">
        <is>
          <t>ok</t>
        </is>
      </c>
      <c r="L157" t="b">
        <v>0</v>
      </c>
      <c r="M157" t="inlineStr">
        <is>
          <t>东方财富</t>
        </is>
      </c>
      <c r="N157" t="b">
        <v>1</v>
      </c>
    </row>
    <row r="158">
      <c r="A158" t="inlineStr">
        <is>
          <t>港股</t>
        </is>
      </c>
      <c r="B158" t="inlineStr">
        <is>
          <t>00019</t>
        </is>
      </c>
      <c r="C158" t="inlineStr">
        <is>
          <t>SWIRE PACIFIC A</t>
        </is>
      </c>
      <c r="D158" t="inlineStr">
        <is>
          <t>上市与发行信息</t>
        </is>
      </c>
      <c r="E158" t="inlineStr">
        <is>
          <t>东方财富</t>
        </is>
      </c>
      <c r="F158" t="inlineStr">
        <is>
          <t>RPT_HKF10_INFO_SECURITYINFO</t>
        </is>
      </c>
      <c r="G158" s="32" t="n">
        <v>46263.25733958255</v>
      </c>
      <c r="H158" t="inlineStr">
        <is>
          <t>HKD</t>
        </is>
      </c>
      <c r="I158" t="inlineStr">
        <is>
          <t>HKD</t>
        </is>
      </c>
      <c r="J158" t="inlineStr">
        <is>
          <t>ok</t>
        </is>
      </c>
      <c r="L158" t="b">
        <v>0</v>
      </c>
      <c r="M158" t="inlineStr">
        <is>
          <t>东方财富</t>
        </is>
      </c>
      <c r="N158" t="b">
        <v>1</v>
      </c>
    </row>
    <row r="159">
      <c r="A159" t="inlineStr">
        <is>
          <t>港股</t>
        </is>
      </c>
      <c r="B159" t="inlineStr">
        <is>
          <t>00019</t>
        </is>
      </c>
      <c r="C159" t="inlineStr">
        <is>
          <t>SWIRE PACIFIC A</t>
        </is>
      </c>
      <c r="D159" t="inlineStr">
        <is>
          <t>资金流</t>
        </is>
      </c>
      <c r="E159" t="inlineStr">
        <is>
          <t>配置</t>
        </is>
      </c>
      <c r="F159" t="inlineStr">
        <is>
          <t>flow-mode-off</t>
        </is>
      </c>
      <c r="G159" s="32" t="n">
        <v>46263.25754607147</v>
      </c>
      <c r="I159" t="inlineStr">
        <is>
          <t>HKD</t>
        </is>
      </c>
      <c r="J159" t="inlineStr">
        <is>
          <t>optional_missing</t>
        </is>
      </c>
      <c r="K159" t="inlineStr">
        <is>
          <t>用户选择不抓取资金流</t>
        </is>
      </c>
      <c r="L159" t="b">
        <v>0</v>
      </c>
      <c r="M159" t="inlineStr">
        <is>
          <t>配置</t>
        </is>
      </c>
      <c r="N159" t="b">
        <v>0</v>
      </c>
    </row>
    <row r="160">
      <c r="A160" t="inlineStr">
        <is>
          <t>A股</t>
        </is>
      </c>
      <c r="B160" t="inlineStr">
        <is>
          <t>000026</t>
        </is>
      </c>
      <c r="C160" t="inlineStr">
        <is>
          <t>飞亚达</t>
        </is>
      </c>
      <c r="D160" t="inlineStr">
        <is>
          <t>最新行情</t>
        </is>
      </c>
      <c r="E160" t="inlineStr">
        <is>
          <t>东方财富</t>
        </is>
      </c>
      <c r="F160" t="inlineStr">
        <is>
          <t>push2 ulist.np/get f2,f20（按指定证券分批）</t>
        </is>
      </c>
      <c r="G160" s="32" t="n">
        <v>46263.25725224894</v>
      </c>
      <c r="H160" t="inlineStr">
        <is>
          <t>CNY</t>
        </is>
      </c>
      <c r="I160" t="inlineStr">
        <is>
          <t>CNY</t>
        </is>
      </c>
      <c r="J160" t="inlineStr">
        <is>
          <t>ok</t>
        </is>
      </c>
      <c r="L160" t="b">
        <v>0</v>
      </c>
      <c r="M160" t="inlineStr">
        <is>
          <t>东方财富</t>
        </is>
      </c>
      <c r="N160" t="b">
        <v>1</v>
      </c>
    </row>
    <row r="161">
      <c r="A161" t="inlineStr">
        <is>
          <t>A股</t>
        </is>
      </c>
      <c r="B161" t="inlineStr">
        <is>
          <t>000026</t>
        </is>
      </c>
      <c r="C161" t="inlineStr">
        <is>
          <t>飞亚达</t>
        </is>
      </c>
      <c r="D161" t="inlineStr">
        <is>
          <t>大宗交易</t>
        </is>
      </c>
      <c r="E161" t="inlineStr">
        <is>
          <t>东方财富</t>
        </is>
      </c>
      <c r="F161" t="inlineStr">
        <is>
          <t>RPT_DATA_BLOCKTRADE 2026（全市场分页后本地聚合）</t>
        </is>
      </c>
      <c r="G161" s="32" t="n">
        <v>46263.25725717999</v>
      </c>
      <c r="H161" t="inlineStr">
        <is>
          <t>CNY</t>
        </is>
      </c>
      <c r="I161" t="inlineStr">
        <is>
          <t>CNY</t>
        </is>
      </c>
      <c r="J161" t="inlineStr">
        <is>
          <t>ok</t>
        </is>
      </c>
      <c r="L161" t="b">
        <v>0</v>
      </c>
      <c r="M161" t="inlineStr">
        <is>
          <t>东方财富</t>
        </is>
      </c>
      <c r="N161" t="b">
        <v>1</v>
      </c>
    </row>
    <row r="162">
      <c r="A162" t="inlineStr">
        <is>
          <t>A股</t>
        </is>
      </c>
      <c r="B162" t="inlineStr">
        <is>
          <t>000026</t>
        </is>
      </c>
      <c r="C162" t="inlineStr">
        <is>
          <t>飞亚达</t>
        </is>
      </c>
      <c r="D162" t="inlineStr">
        <is>
          <t>年度财务</t>
        </is>
      </c>
      <c r="E162" t="inlineStr">
        <is>
          <t>东方财富</t>
        </is>
      </c>
      <c r="F162" t="inlineStr">
        <is>
          <t>RPT_LICO_FN_CPD + RPT_DMSK_FN_CASHFLOW；巨潮回退原因：未配置巨潮官方 API 凭证/端点（CNINFO_ACCESS_TOKEN、CNINFO_INCOME_API_URL、CNINFO_CASHFLOW_API_URL）</t>
        </is>
      </c>
      <c r="G162" s="32" t="n">
        <v>46263.25728479373</v>
      </c>
      <c r="H162" t="inlineStr">
        <is>
          <t>CNY</t>
        </is>
      </c>
      <c r="I162" t="inlineStr">
        <is>
          <t>CNY</t>
        </is>
      </c>
      <c r="J162" t="inlineStr">
        <is>
          <t>ok</t>
        </is>
      </c>
      <c r="L162" t="b">
        <v>1</v>
      </c>
      <c r="M162" t="inlineStr">
        <is>
          <t>巨潮资讯（CNINFO Data Service）</t>
        </is>
      </c>
      <c r="N162" t="b">
        <v>1</v>
      </c>
    </row>
    <row r="163">
      <c r="A163" t="inlineStr">
        <is>
          <t>A股</t>
        </is>
      </c>
      <c r="B163" t="inlineStr">
        <is>
          <t>000026</t>
        </is>
      </c>
      <c r="C163" t="inlineStr">
        <is>
          <t>飞亚达</t>
        </is>
      </c>
      <c r="D163" t="inlineStr">
        <is>
          <t>上市与发行信息</t>
        </is>
      </c>
      <c r="E163" t="inlineStr">
        <is>
          <t>东方财富</t>
        </is>
      </c>
      <c r="F163" t="inlineStr">
        <is>
          <t>RPT_PCF10_ORG_ISSUEINFO</t>
        </is>
      </c>
      <c r="G163" s="32" t="n">
        <v>46263.25734032979</v>
      </c>
      <c r="H163" t="inlineStr">
        <is>
          <t>CNY</t>
        </is>
      </c>
      <c r="I163" t="inlineStr">
        <is>
          <t>CNY</t>
        </is>
      </c>
      <c r="J163" t="inlineStr">
        <is>
          <t>ok</t>
        </is>
      </c>
      <c r="L163" t="b">
        <v>0</v>
      </c>
      <c r="M163" t="inlineStr">
        <is>
          <t>东方财富</t>
        </is>
      </c>
      <c r="N163" t="b">
        <v>1</v>
      </c>
    </row>
    <row r="164">
      <c r="A164" t="inlineStr">
        <is>
          <t>A股</t>
        </is>
      </c>
      <c r="B164" t="inlineStr">
        <is>
          <t>000026</t>
        </is>
      </c>
      <c r="C164" t="inlineStr">
        <is>
          <t>飞亚达</t>
        </is>
      </c>
      <c r="D164" t="inlineStr">
        <is>
          <t>资金流</t>
        </is>
      </c>
      <c r="E164" t="inlineStr">
        <is>
          <t>配置</t>
        </is>
      </c>
      <c r="F164" t="inlineStr">
        <is>
          <t>flow-mode-off</t>
        </is>
      </c>
      <c r="G164" s="32" t="n">
        <v>46263.25754607147</v>
      </c>
      <c r="I164" t="inlineStr">
        <is>
          <t>CNY</t>
        </is>
      </c>
      <c r="J164" t="inlineStr">
        <is>
          <t>optional_missing</t>
        </is>
      </c>
      <c r="K164" t="inlineStr">
        <is>
          <t>用户选择不抓取资金流</t>
        </is>
      </c>
      <c r="L164" t="b">
        <v>0</v>
      </c>
      <c r="M164" t="inlineStr">
        <is>
          <t>配置</t>
        </is>
      </c>
      <c r="N164" t="b">
        <v>0</v>
      </c>
    </row>
    <row r="165">
      <c r="A165" t="inlineStr">
        <is>
          <t>港股</t>
        </is>
      </c>
      <c r="B165" t="inlineStr">
        <is>
          <t>00020</t>
        </is>
      </c>
      <c r="C165" t="inlineStr">
        <is>
          <t>SENSETIME-W</t>
        </is>
      </c>
      <c r="D165" t="inlineStr">
        <is>
          <t>最新行情</t>
        </is>
      </c>
      <c r="E165" t="inlineStr">
        <is>
          <t>东方财富</t>
        </is>
      </c>
      <c r="F165" t="inlineStr">
        <is>
          <t>push2 ulist.np/get f2,f20（按指定证券分批）</t>
        </is>
      </c>
      <c r="G165" s="32" t="n">
        <v>46263.25725224894</v>
      </c>
      <c r="H165" t="inlineStr">
        <is>
          <t>HKD</t>
        </is>
      </c>
      <c r="I165" t="inlineStr">
        <is>
          <t>HKD</t>
        </is>
      </c>
      <c r="J165" t="inlineStr">
        <is>
          <t>ok</t>
        </is>
      </c>
      <c r="L165" t="b">
        <v>0</v>
      </c>
      <c r="M165" t="inlineStr">
        <is>
          <t>东方财富</t>
        </is>
      </c>
      <c r="N165" t="b">
        <v>1</v>
      </c>
    </row>
    <row r="166">
      <c r="A166" t="inlineStr">
        <is>
          <t>港股</t>
        </is>
      </c>
      <c r="B166" t="inlineStr">
        <is>
          <t>00020</t>
        </is>
      </c>
      <c r="C166" t="inlineStr">
        <is>
          <t>SENSETIME-W</t>
        </is>
      </c>
      <c r="D166" t="inlineStr">
        <is>
          <t>大宗交易</t>
        </is>
      </c>
      <c r="E166" t="inlineStr">
        <is>
          <t>东方财富</t>
        </is>
      </c>
      <c r="F166" t="inlineStr">
        <is>
          <t>not-applicable-hk</t>
        </is>
      </c>
      <c r="G166" s="32" t="n">
        <v>46263.25725433244</v>
      </c>
      <c r="I166" t="inlineStr">
        <is>
          <t>HKD</t>
        </is>
      </c>
      <c r="J166" t="inlineStr">
        <is>
          <t>optional_missing</t>
        </is>
      </c>
      <c r="K166" t="inlineStr">
        <is>
          <t>港股大宗交易按允许缺失规则留空</t>
        </is>
      </c>
      <c r="L166" t="b">
        <v>0</v>
      </c>
      <c r="M166" t="inlineStr">
        <is>
          <t>东方财富</t>
        </is>
      </c>
      <c r="N166" t="b">
        <v>1</v>
      </c>
    </row>
    <row r="167">
      <c r="A167" t="inlineStr">
        <is>
          <t>港股</t>
        </is>
      </c>
      <c r="B167" t="inlineStr">
        <is>
          <t>00020</t>
        </is>
      </c>
      <c r="C167" t="inlineStr">
        <is>
          <t>SENSETIME-W</t>
        </is>
      </c>
      <c r="D167" t="inlineStr">
        <is>
          <t>年度财务</t>
        </is>
      </c>
      <c r="E167" t="inlineStr">
        <is>
          <t>东方财富</t>
        </is>
      </c>
      <c r="F167" t="inlineStr">
        <is>
          <t>RPT_HKF10_FN_MAININDICATOR</t>
        </is>
      </c>
      <c r="G167" s="32" t="n">
        <v>46263.25727821053</v>
      </c>
      <c r="H167" t="inlineStr">
        <is>
          <t>HKD</t>
        </is>
      </c>
      <c r="I167" t="inlineStr">
        <is>
          <t>HKD</t>
        </is>
      </c>
      <c r="J167" t="inlineStr">
        <is>
          <t>ok</t>
        </is>
      </c>
      <c r="L167" t="b">
        <v>0</v>
      </c>
      <c r="M167" t="inlineStr">
        <is>
          <t>东方财富</t>
        </is>
      </c>
      <c r="N167" t="b">
        <v>1</v>
      </c>
    </row>
    <row r="168">
      <c r="A168" t="inlineStr">
        <is>
          <t>港股</t>
        </is>
      </c>
      <c r="B168" t="inlineStr">
        <is>
          <t>00020</t>
        </is>
      </c>
      <c r="C168" t="inlineStr">
        <is>
          <t>SENSETIME-W</t>
        </is>
      </c>
      <c r="D168" t="inlineStr">
        <is>
          <t>上市与发行信息</t>
        </is>
      </c>
      <c r="E168" t="inlineStr">
        <is>
          <t>东方财富</t>
        </is>
      </c>
      <c r="F168" t="inlineStr">
        <is>
          <t>RPT_HKF10_INFO_SECURITYINFO</t>
        </is>
      </c>
      <c r="G168" s="32" t="n">
        <v>46263.25734071527</v>
      </c>
      <c r="H168" t="inlineStr">
        <is>
          <t>HKD</t>
        </is>
      </c>
      <c r="I168" t="inlineStr">
        <is>
          <t>HKD</t>
        </is>
      </c>
      <c r="J168" t="inlineStr">
        <is>
          <t>ok</t>
        </is>
      </c>
      <c r="L168" t="b">
        <v>1</v>
      </c>
      <c r="M168" t="inlineStr">
        <is>
          <t>东方财富</t>
        </is>
      </c>
      <c r="N168" t="b">
        <v>1</v>
      </c>
    </row>
    <row r="169">
      <c r="A169" t="inlineStr">
        <is>
          <t>港股</t>
        </is>
      </c>
      <c r="B169" t="inlineStr">
        <is>
          <t>00020</t>
        </is>
      </c>
      <c r="C169" t="inlineStr">
        <is>
          <t>SENSETIME-W</t>
        </is>
      </c>
      <c r="D169" t="inlineStr">
        <is>
          <t>资金流</t>
        </is>
      </c>
      <c r="E169" t="inlineStr">
        <is>
          <t>配置</t>
        </is>
      </c>
      <c r="F169" t="inlineStr">
        <is>
          <t>flow-mode-off</t>
        </is>
      </c>
      <c r="G169" s="32" t="n">
        <v>46263.25754607147</v>
      </c>
      <c r="I169" t="inlineStr">
        <is>
          <t>HKD</t>
        </is>
      </c>
      <c r="J169" t="inlineStr">
        <is>
          <t>optional_missing</t>
        </is>
      </c>
      <c r="K169" t="inlineStr">
        <is>
          <t>用户选择不抓取资金流</t>
        </is>
      </c>
      <c r="L169" t="b">
        <v>0</v>
      </c>
      <c r="M169" t="inlineStr">
        <is>
          <t>配置</t>
        </is>
      </c>
      <c r="N169" t="b">
        <v>0</v>
      </c>
    </row>
    <row r="170">
      <c r="A170" t="inlineStr">
        <is>
          <t>A股</t>
        </is>
      </c>
      <c r="B170" t="inlineStr">
        <is>
          <t>000027</t>
        </is>
      </c>
      <c r="C170" t="inlineStr">
        <is>
          <t>深圳能源</t>
        </is>
      </c>
      <c r="D170" t="inlineStr">
        <is>
          <t>最新行情</t>
        </is>
      </c>
      <c r="E170" t="inlineStr">
        <is>
          <t>东方财富</t>
        </is>
      </c>
      <c r="F170" t="inlineStr">
        <is>
          <t>push2 ulist.np/get f2,f20（按指定证券分批）</t>
        </is>
      </c>
      <c r="G170" s="32" t="n">
        <v>46263.25725224894</v>
      </c>
      <c r="H170" t="inlineStr">
        <is>
          <t>CNY</t>
        </is>
      </c>
      <c r="I170" t="inlineStr">
        <is>
          <t>CNY</t>
        </is>
      </c>
      <c r="J170" t="inlineStr">
        <is>
          <t>ok</t>
        </is>
      </c>
      <c r="L170" t="b">
        <v>0</v>
      </c>
      <c r="M170" t="inlineStr">
        <is>
          <t>东方财富</t>
        </is>
      </c>
      <c r="N170" t="b">
        <v>1</v>
      </c>
    </row>
    <row r="171">
      <c r="A171" t="inlineStr">
        <is>
          <t>A股</t>
        </is>
      </c>
      <c r="B171" t="inlineStr">
        <is>
          <t>000027</t>
        </is>
      </c>
      <c r="C171" t="inlineStr">
        <is>
          <t>深圳能源</t>
        </is>
      </c>
      <c r="D171" t="inlineStr">
        <is>
          <t>大宗交易</t>
        </is>
      </c>
      <c r="E171" t="inlineStr">
        <is>
          <t>东方财富</t>
        </is>
      </c>
      <c r="F171" t="inlineStr">
        <is>
          <t>RPT_DATA_BLOCKTRADE 2026（全市场分页后本地聚合）</t>
        </is>
      </c>
      <c r="G171" s="32" t="n">
        <v>46263.25725717999</v>
      </c>
      <c r="H171" t="inlineStr">
        <is>
          <t>CNY</t>
        </is>
      </c>
      <c r="I171" t="inlineStr">
        <is>
          <t>CNY</t>
        </is>
      </c>
      <c r="J171" t="inlineStr">
        <is>
          <t>ok</t>
        </is>
      </c>
      <c r="L171" t="b">
        <v>0</v>
      </c>
      <c r="M171" t="inlineStr">
        <is>
          <t>东方财富</t>
        </is>
      </c>
      <c r="N171" t="b">
        <v>1</v>
      </c>
    </row>
    <row r="172">
      <c r="A172" t="inlineStr">
        <is>
          <t>A股</t>
        </is>
      </c>
      <c r="B172" t="inlineStr">
        <is>
          <t>000027</t>
        </is>
      </c>
      <c r="C172" t="inlineStr">
        <is>
          <t>深圳能源</t>
        </is>
      </c>
      <c r="D172" t="inlineStr">
        <is>
          <t>年度财务</t>
        </is>
      </c>
      <c r="E172" t="inlineStr">
        <is>
          <t>东方财富</t>
        </is>
      </c>
      <c r="F172" t="inlineStr">
        <is>
          <t>RPT_LICO_FN_CPD + RPT_DMSK_FN_CASHFLOW；巨潮回退原因：未配置巨潮官方 API 凭证/端点（CNINFO_ACCESS_TOKEN、CNINFO_INCOME_API_URL、CNINFO_CASHFLOW_API_URL）</t>
        </is>
      </c>
      <c r="G172" s="32" t="n">
        <v>46263.25728502696</v>
      </c>
      <c r="H172" t="inlineStr">
        <is>
          <t>CNY</t>
        </is>
      </c>
      <c r="I172" t="inlineStr">
        <is>
          <t>CNY</t>
        </is>
      </c>
      <c r="J172" t="inlineStr">
        <is>
          <t>ok</t>
        </is>
      </c>
      <c r="L172" t="b">
        <v>1</v>
      </c>
      <c r="M172" t="inlineStr">
        <is>
          <t>巨潮资讯（CNINFO Data Service）</t>
        </is>
      </c>
      <c r="N172" t="b">
        <v>1</v>
      </c>
    </row>
    <row r="173">
      <c r="A173" t="inlineStr">
        <is>
          <t>A股</t>
        </is>
      </c>
      <c r="B173" t="inlineStr">
        <is>
          <t>000027</t>
        </is>
      </c>
      <c r="C173" t="inlineStr">
        <is>
          <t>深圳能源</t>
        </is>
      </c>
      <c r="D173" t="inlineStr">
        <is>
          <t>上市与发行信息</t>
        </is>
      </c>
      <c r="E173" t="inlineStr">
        <is>
          <t>东方财富</t>
        </is>
      </c>
      <c r="F173" t="inlineStr">
        <is>
          <t>RPT_PCF10_ORG_ISSUEINFO</t>
        </is>
      </c>
      <c r="G173" s="32" t="n">
        <v>46263.25734287687</v>
      </c>
      <c r="H173" t="inlineStr">
        <is>
          <t>CNY</t>
        </is>
      </c>
      <c r="I173" t="inlineStr">
        <is>
          <t>CNY</t>
        </is>
      </c>
      <c r="J173" t="inlineStr">
        <is>
          <t>ok</t>
        </is>
      </c>
      <c r="L173" t="b">
        <v>0</v>
      </c>
      <c r="M173" t="inlineStr">
        <is>
          <t>东方财富</t>
        </is>
      </c>
      <c r="N173" t="b">
        <v>1</v>
      </c>
    </row>
    <row r="174">
      <c r="A174" t="inlineStr">
        <is>
          <t>A股</t>
        </is>
      </c>
      <c r="B174" t="inlineStr">
        <is>
          <t>000027</t>
        </is>
      </c>
      <c r="C174" t="inlineStr">
        <is>
          <t>深圳能源</t>
        </is>
      </c>
      <c r="D174" t="inlineStr">
        <is>
          <t>资金流</t>
        </is>
      </c>
      <c r="E174" t="inlineStr">
        <is>
          <t>配置</t>
        </is>
      </c>
      <c r="F174" t="inlineStr">
        <is>
          <t>flow-mode-off</t>
        </is>
      </c>
      <c r="G174" s="32" t="n">
        <v>46263.25754607147</v>
      </c>
      <c r="I174" t="inlineStr">
        <is>
          <t>CNY</t>
        </is>
      </c>
      <c r="J174" t="inlineStr">
        <is>
          <t>optional_missing</t>
        </is>
      </c>
      <c r="K174" t="inlineStr">
        <is>
          <t>用户选择不抓取资金流</t>
        </is>
      </c>
      <c r="L174" t="b">
        <v>0</v>
      </c>
      <c r="M174" t="inlineStr">
        <is>
          <t>配置</t>
        </is>
      </c>
      <c r="N174" t="b">
        <v>0</v>
      </c>
    </row>
    <row r="175">
      <c r="A175" t="inlineStr">
        <is>
          <t>港股</t>
        </is>
      </c>
      <c r="B175" t="inlineStr">
        <is>
          <t>00021</t>
        </is>
      </c>
      <c r="C175" t="inlineStr">
        <is>
          <t>GREAT CHI HLDGS</t>
        </is>
      </c>
      <c r="D175" t="inlineStr">
        <is>
          <t>最新行情</t>
        </is>
      </c>
      <c r="E175" t="inlineStr">
        <is>
          <t>东方财富</t>
        </is>
      </c>
      <c r="F175" t="inlineStr">
        <is>
          <t>push2 ulist.np/get f2,f20（按指定证券分批）</t>
        </is>
      </c>
      <c r="G175" s="32" t="n">
        <v>46263.25725224894</v>
      </c>
      <c r="H175" t="inlineStr">
        <is>
          <t>HKD</t>
        </is>
      </c>
      <c r="I175" t="inlineStr">
        <is>
          <t>HKD</t>
        </is>
      </c>
      <c r="J175" t="inlineStr">
        <is>
          <t>ok</t>
        </is>
      </c>
      <c r="L175" t="b">
        <v>0</v>
      </c>
      <c r="M175" t="inlineStr">
        <is>
          <t>东方财富</t>
        </is>
      </c>
      <c r="N175" t="b">
        <v>1</v>
      </c>
    </row>
    <row r="176">
      <c r="A176" t="inlineStr">
        <is>
          <t>港股</t>
        </is>
      </c>
      <c r="B176" t="inlineStr">
        <is>
          <t>00021</t>
        </is>
      </c>
      <c r="C176" t="inlineStr">
        <is>
          <t>GREAT CHI HLDGS</t>
        </is>
      </c>
      <c r="D176" t="inlineStr">
        <is>
          <t>大宗交易</t>
        </is>
      </c>
      <c r="E176" t="inlineStr">
        <is>
          <t>东方财富</t>
        </is>
      </c>
      <c r="F176" t="inlineStr">
        <is>
          <t>not-applicable-hk</t>
        </is>
      </c>
      <c r="G176" s="32" t="n">
        <v>46263.25725433244</v>
      </c>
      <c r="I176" t="inlineStr">
        <is>
          <t>HKD</t>
        </is>
      </c>
      <c r="J176" t="inlineStr">
        <is>
          <t>optional_missing</t>
        </is>
      </c>
      <c r="K176" t="inlineStr">
        <is>
          <t>港股大宗交易按允许缺失规则留空</t>
        </is>
      </c>
      <c r="L176" t="b">
        <v>0</v>
      </c>
      <c r="M176" t="inlineStr">
        <is>
          <t>东方财富</t>
        </is>
      </c>
      <c r="N176" t="b">
        <v>1</v>
      </c>
    </row>
    <row r="177">
      <c r="A177" t="inlineStr">
        <is>
          <t>港股</t>
        </is>
      </c>
      <c r="B177" t="inlineStr">
        <is>
          <t>00021</t>
        </is>
      </c>
      <c r="C177" t="inlineStr">
        <is>
          <t>GREAT CHI HLDGS</t>
        </is>
      </c>
      <c r="D177" t="inlineStr">
        <is>
          <t>年度财务</t>
        </is>
      </c>
      <c r="E177" t="inlineStr">
        <is>
          <t>东方财富</t>
        </is>
      </c>
      <c r="F177" t="inlineStr">
        <is>
          <t>RPT_HKF10_FN_MAININDICATOR</t>
        </is>
      </c>
      <c r="G177" s="32" t="n">
        <v>46263.25727953247</v>
      </c>
      <c r="H177" t="inlineStr">
        <is>
          <t>HKD</t>
        </is>
      </c>
      <c r="I177" t="inlineStr">
        <is>
          <t>HKD</t>
        </is>
      </c>
      <c r="J177" t="inlineStr">
        <is>
          <t>ok</t>
        </is>
      </c>
      <c r="L177" t="b">
        <v>0</v>
      </c>
      <c r="M177" t="inlineStr">
        <is>
          <t>东方财富</t>
        </is>
      </c>
      <c r="N177" t="b">
        <v>1</v>
      </c>
    </row>
    <row r="178">
      <c r="A178" t="inlineStr">
        <is>
          <t>港股</t>
        </is>
      </c>
      <c r="B178" t="inlineStr">
        <is>
          <t>00021</t>
        </is>
      </c>
      <c r="C178" t="inlineStr">
        <is>
          <t>GREAT CHI HLDGS</t>
        </is>
      </c>
      <c r="D178" t="inlineStr">
        <is>
          <t>上市与发行信息</t>
        </is>
      </c>
      <c r="E178" t="inlineStr">
        <is>
          <t>东方财富</t>
        </is>
      </c>
      <c r="F178" t="inlineStr">
        <is>
          <t>RPT_HKF10_INFO_SECURITYINFO</t>
        </is>
      </c>
      <c r="G178" s="32" t="n">
        <v>46263.25734190038</v>
      </c>
      <c r="H178" t="inlineStr">
        <is>
          <t>HKD</t>
        </is>
      </c>
      <c r="I178" t="inlineStr">
        <is>
          <t>HKD</t>
        </is>
      </c>
      <c r="J178" t="inlineStr">
        <is>
          <t>ok</t>
        </is>
      </c>
      <c r="L178" t="b">
        <v>0</v>
      </c>
      <c r="M178" t="inlineStr">
        <is>
          <t>东方财富</t>
        </is>
      </c>
      <c r="N178" t="b">
        <v>1</v>
      </c>
    </row>
    <row r="179">
      <c r="A179" t="inlineStr">
        <is>
          <t>港股</t>
        </is>
      </c>
      <c r="B179" t="inlineStr">
        <is>
          <t>00021</t>
        </is>
      </c>
      <c r="C179" t="inlineStr">
        <is>
          <t>GREAT CHI HLDGS</t>
        </is>
      </c>
      <c r="D179" t="inlineStr">
        <is>
          <t>资金流</t>
        </is>
      </c>
      <c r="E179" t="inlineStr">
        <is>
          <t>配置</t>
        </is>
      </c>
      <c r="F179" t="inlineStr">
        <is>
          <t>flow-mode-off</t>
        </is>
      </c>
      <c r="G179" s="32" t="n">
        <v>46263.25754607147</v>
      </c>
      <c r="I179" t="inlineStr">
        <is>
          <t>HKD</t>
        </is>
      </c>
      <c r="J179" t="inlineStr">
        <is>
          <t>optional_missing</t>
        </is>
      </c>
      <c r="K179" t="inlineStr">
        <is>
          <t>用户选择不抓取资金流</t>
        </is>
      </c>
      <c r="L179" t="b">
        <v>0</v>
      </c>
      <c r="M179" t="inlineStr">
        <is>
          <t>配置</t>
        </is>
      </c>
      <c r="N179" t="b">
        <v>0</v>
      </c>
    </row>
    <row r="180">
      <c r="A180" t="inlineStr">
        <is>
          <t>A股</t>
        </is>
      </c>
      <c r="B180" t="inlineStr">
        <is>
          <t>000028</t>
        </is>
      </c>
      <c r="C180" t="inlineStr">
        <is>
          <t>国药一致</t>
        </is>
      </c>
      <c r="D180" t="inlineStr">
        <is>
          <t>最新行情</t>
        </is>
      </c>
      <c r="E180" t="inlineStr">
        <is>
          <t>东方财富</t>
        </is>
      </c>
      <c r="F180" t="inlineStr">
        <is>
          <t>push2 ulist.np/get f2,f20（按指定证券分批）</t>
        </is>
      </c>
      <c r="G180" s="32" t="n">
        <v>46263.25725224894</v>
      </c>
      <c r="H180" t="inlineStr">
        <is>
          <t>CNY</t>
        </is>
      </c>
      <c r="I180" t="inlineStr">
        <is>
          <t>CNY</t>
        </is>
      </c>
      <c r="J180" t="inlineStr">
        <is>
          <t>ok</t>
        </is>
      </c>
      <c r="L180" t="b">
        <v>0</v>
      </c>
      <c r="M180" t="inlineStr">
        <is>
          <t>东方财富</t>
        </is>
      </c>
      <c r="N180" t="b">
        <v>1</v>
      </c>
    </row>
    <row r="181">
      <c r="A181" t="inlineStr">
        <is>
          <t>A股</t>
        </is>
      </c>
      <c r="B181" t="inlineStr">
        <is>
          <t>000028</t>
        </is>
      </c>
      <c r="C181" t="inlineStr">
        <is>
          <t>国药一致</t>
        </is>
      </c>
      <c r="D181" t="inlineStr">
        <is>
          <t>大宗交易</t>
        </is>
      </c>
      <c r="E181" t="inlineStr">
        <is>
          <t>东方财富</t>
        </is>
      </c>
      <c r="F181" t="inlineStr">
        <is>
          <t>RPT_DATA_BLOCKTRADE 2026（全市场分页后本地聚合）</t>
        </is>
      </c>
      <c r="G181" s="32" t="n">
        <v>46263.25725717999</v>
      </c>
      <c r="H181" t="inlineStr">
        <is>
          <t>CNY</t>
        </is>
      </c>
      <c r="I181" t="inlineStr">
        <is>
          <t>CNY</t>
        </is>
      </c>
      <c r="J181" t="inlineStr">
        <is>
          <t>ok</t>
        </is>
      </c>
      <c r="L181" t="b">
        <v>0</v>
      </c>
      <c r="M181" t="inlineStr">
        <is>
          <t>东方财富</t>
        </is>
      </c>
      <c r="N181" t="b">
        <v>1</v>
      </c>
    </row>
    <row r="182">
      <c r="A182" t="inlineStr">
        <is>
          <t>A股</t>
        </is>
      </c>
      <c r="B182" t="inlineStr">
        <is>
          <t>000028</t>
        </is>
      </c>
      <c r="C182" t="inlineStr">
        <is>
          <t>国药一致</t>
        </is>
      </c>
      <c r="D182" t="inlineStr">
        <is>
          <t>年度财务</t>
        </is>
      </c>
      <c r="E182" t="inlineStr">
        <is>
          <t>东方财富</t>
        </is>
      </c>
      <c r="F182" t="inlineStr">
        <is>
          <t>RPT_LICO_FN_CPD + RPT_DMSK_FN_CASHFLOW；巨潮回退原因：未配置巨潮官方 API 凭证/端点（CNINFO_ACCESS_TOKEN、CNINFO_INCOME_API_URL、CNINFO_CASHFLOW_API_URL）</t>
        </is>
      </c>
      <c r="G182" s="32" t="n">
        <v>46263.25728997114</v>
      </c>
      <c r="H182" t="inlineStr">
        <is>
          <t>CNY</t>
        </is>
      </c>
      <c r="I182" t="inlineStr">
        <is>
          <t>CNY</t>
        </is>
      </c>
      <c r="J182" t="inlineStr">
        <is>
          <t>ok</t>
        </is>
      </c>
      <c r="L182" t="b">
        <v>1</v>
      </c>
      <c r="M182" t="inlineStr">
        <is>
          <t>巨潮资讯（CNINFO Data Service）</t>
        </is>
      </c>
      <c r="N182" t="b">
        <v>1</v>
      </c>
    </row>
    <row r="183">
      <c r="A183" t="inlineStr">
        <is>
          <t>A股</t>
        </is>
      </c>
      <c r="B183" t="inlineStr">
        <is>
          <t>000028</t>
        </is>
      </c>
      <c r="C183" t="inlineStr">
        <is>
          <t>国药一致</t>
        </is>
      </c>
      <c r="D183" t="inlineStr">
        <is>
          <t>上市与发行信息</t>
        </is>
      </c>
      <c r="E183" t="inlineStr">
        <is>
          <t>东方财富</t>
        </is>
      </c>
      <c r="F183" t="inlineStr">
        <is>
          <t>RPT_PCF10_ORG_ISSUEINFO</t>
        </is>
      </c>
      <c r="G183" s="32" t="n">
        <v>46263.25734238301</v>
      </c>
      <c r="H183" t="inlineStr">
        <is>
          <t>CNY</t>
        </is>
      </c>
      <c r="I183" t="inlineStr">
        <is>
          <t>CNY</t>
        </is>
      </c>
      <c r="J183" t="inlineStr">
        <is>
          <t>ok</t>
        </is>
      </c>
      <c r="L183" t="b">
        <v>0</v>
      </c>
      <c r="M183" t="inlineStr">
        <is>
          <t>东方财富</t>
        </is>
      </c>
      <c r="N183" t="b">
        <v>1</v>
      </c>
    </row>
    <row r="184">
      <c r="A184" t="inlineStr">
        <is>
          <t>A股</t>
        </is>
      </c>
      <c r="B184" t="inlineStr">
        <is>
          <t>000028</t>
        </is>
      </c>
      <c r="C184" t="inlineStr">
        <is>
          <t>国药一致</t>
        </is>
      </c>
      <c r="D184" t="inlineStr">
        <is>
          <t>资金流</t>
        </is>
      </c>
      <c r="E184" t="inlineStr">
        <is>
          <t>配置</t>
        </is>
      </c>
      <c r="F184" t="inlineStr">
        <is>
          <t>flow-mode-off</t>
        </is>
      </c>
      <c r="G184" s="32" t="n">
        <v>46263.25754607147</v>
      </c>
      <c r="I184" t="inlineStr">
        <is>
          <t>CNY</t>
        </is>
      </c>
      <c r="J184" t="inlineStr">
        <is>
          <t>optional_missing</t>
        </is>
      </c>
      <c r="K184" t="inlineStr">
        <is>
          <t>用户选择不抓取资金流</t>
        </is>
      </c>
      <c r="L184" t="b">
        <v>0</v>
      </c>
      <c r="M184" t="inlineStr">
        <is>
          <t>配置</t>
        </is>
      </c>
      <c r="N184" t="b">
        <v>0</v>
      </c>
    </row>
    <row r="185">
      <c r="A185" t="inlineStr">
        <is>
          <t>港股</t>
        </is>
      </c>
      <c r="B185" t="inlineStr">
        <is>
          <t>00022</t>
        </is>
      </c>
      <c r="C185" t="inlineStr">
        <is>
          <t>MEXAN</t>
        </is>
      </c>
      <c r="D185" t="inlineStr">
        <is>
          <t>最新行情</t>
        </is>
      </c>
      <c r="E185" t="inlineStr">
        <is>
          <t>东方财富</t>
        </is>
      </c>
      <c r="F185" t="inlineStr">
        <is>
          <t>push2 ulist.np/get f2,f20（按指定证券分批）</t>
        </is>
      </c>
      <c r="G185" s="32" t="n">
        <v>46263.25725224894</v>
      </c>
      <c r="H185" t="inlineStr">
        <is>
          <t>HKD</t>
        </is>
      </c>
      <c r="I185" t="inlineStr">
        <is>
          <t>HKD</t>
        </is>
      </c>
      <c r="J185" t="inlineStr">
        <is>
          <t>ok</t>
        </is>
      </c>
      <c r="L185" t="b">
        <v>0</v>
      </c>
      <c r="M185" t="inlineStr">
        <is>
          <t>东方财富</t>
        </is>
      </c>
      <c r="N185" t="b">
        <v>1</v>
      </c>
    </row>
    <row r="186">
      <c r="A186" t="inlineStr">
        <is>
          <t>港股</t>
        </is>
      </c>
      <c r="B186" t="inlineStr">
        <is>
          <t>00022</t>
        </is>
      </c>
      <c r="C186" t="inlineStr">
        <is>
          <t>MEXAN</t>
        </is>
      </c>
      <c r="D186" t="inlineStr">
        <is>
          <t>大宗交易</t>
        </is>
      </c>
      <c r="E186" t="inlineStr">
        <is>
          <t>东方财富</t>
        </is>
      </c>
      <c r="F186" t="inlineStr">
        <is>
          <t>not-applicable-hk</t>
        </is>
      </c>
      <c r="G186" s="32" t="n">
        <v>46263.25725433244</v>
      </c>
      <c r="I186" t="inlineStr">
        <is>
          <t>HKD</t>
        </is>
      </c>
      <c r="J186" t="inlineStr">
        <is>
          <t>optional_missing</t>
        </is>
      </c>
      <c r="K186" t="inlineStr">
        <is>
          <t>港股大宗交易按允许缺失规则留空</t>
        </is>
      </c>
      <c r="L186" t="b">
        <v>0</v>
      </c>
      <c r="M186" t="inlineStr">
        <is>
          <t>东方财富</t>
        </is>
      </c>
      <c r="N186" t="b">
        <v>1</v>
      </c>
    </row>
    <row r="187">
      <c r="A187" t="inlineStr">
        <is>
          <t>港股</t>
        </is>
      </c>
      <c r="B187" t="inlineStr">
        <is>
          <t>00022</t>
        </is>
      </c>
      <c r="C187" t="inlineStr">
        <is>
          <t>MEXAN</t>
        </is>
      </c>
      <c r="D187" t="inlineStr">
        <is>
          <t>年度财务</t>
        </is>
      </c>
      <c r="E187" t="inlineStr">
        <is>
          <t>东方财富</t>
        </is>
      </c>
      <c r="F187" t="inlineStr">
        <is>
          <t>RPT_HKF10_FN_MAININDICATOR</t>
        </is>
      </c>
      <c r="G187" s="32" t="n">
        <v>46263.25728093371</v>
      </c>
      <c r="H187" t="inlineStr">
        <is>
          <t>HKD</t>
        </is>
      </c>
      <c r="I187" t="inlineStr">
        <is>
          <t>HKD</t>
        </is>
      </c>
      <c r="J187" t="inlineStr">
        <is>
          <t>ok</t>
        </is>
      </c>
      <c r="L187" t="b">
        <v>0</v>
      </c>
      <c r="M187" t="inlineStr">
        <is>
          <t>东方财富</t>
        </is>
      </c>
      <c r="N187" t="b">
        <v>1</v>
      </c>
    </row>
    <row r="188">
      <c r="A188" t="inlineStr">
        <is>
          <t>港股</t>
        </is>
      </c>
      <c r="B188" t="inlineStr">
        <is>
          <t>00022</t>
        </is>
      </c>
      <c r="C188" t="inlineStr">
        <is>
          <t>MEXAN</t>
        </is>
      </c>
      <c r="D188" t="inlineStr">
        <is>
          <t>上市与发行信息</t>
        </is>
      </c>
      <c r="E188" t="inlineStr">
        <is>
          <t>东方财富</t>
        </is>
      </c>
      <c r="F188" t="inlineStr">
        <is>
          <t>RPT_HKF10_INFO_SECURITYINFO</t>
        </is>
      </c>
      <c r="G188" s="32" t="n">
        <v>46263.25734592327</v>
      </c>
      <c r="H188" t="inlineStr">
        <is>
          <t>HKD</t>
        </is>
      </c>
      <c r="I188" t="inlineStr">
        <is>
          <t>HKD</t>
        </is>
      </c>
      <c r="J188" t="inlineStr">
        <is>
          <t>ok</t>
        </is>
      </c>
      <c r="L188" t="b">
        <v>0</v>
      </c>
      <c r="M188" t="inlineStr">
        <is>
          <t>东方财富</t>
        </is>
      </c>
      <c r="N188" t="b">
        <v>1</v>
      </c>
    </row>
    <row r="189">
      <c r="A189" t="inlineStr">
        <is>
          <t>港股</t>
        </is>
      </c>
      <c r="B189" t="inlineStr">
        <is>
          <t>00022</t>
        </is>
      </c>
      <c r="C189" t="inlineStr">
        <is>
          <t>MEXAN</t>
        </is>
      </c>
      <c r="D189" t="inlineStr">
        <is>
          <t>资金流</t>
        </is>
      </c>
      <c r="E189" t="inlineStr">
        <is>
          <t>配置</t>
        </is>
      </c>
      <c r="F189" t="inlineStr">
        <is>
          <t>flow-mode-off</t>
        </is>
      </c>
      <c r="G189" s="32" t="n">
        <v>46263.25754607147</v>
      </c>
      <c r="I189" t="inlineStr">
        <is>
          <t>HKD</t>
        </is>
      </c>
      <c r="J189" t="inlineStr">
        <is>
          <t>optional_missing</t>
        </is>
      </c>
      <c r="K189" t="inlineStr">
        <is>
          <t>用户选择不抓取资金流</t>
        </is>
      </c>
      <c r="L189" t="b">
        <v>0</v>
      </c>
      <c r="M189" t="inlineStr">
        <is>
          <t>配置</t>
        </is>
      </c>
      <c r="N189" t="b">
        <v>0</v>
      </c>
    </row>
    <row r="190">
      <c r="A190" t="inlineStr">
        <is>
          <t>A股</t>
        </is>
      </c>
      <c r="B190" t="inlineStr">
        <is>
          <t>000029</t>
        </is>
      </c>
      <c r="C190" t="inlineStr">
        <is>
          <t>深深房Ａ</t>
        </is>
      </c>
      <c r="D190" t="inlineStr">
        <is>
          <t>最新行情</t>
        </is>
      </c>
      <c r="E190" t="inlineStr">
        <is>
          <t>东方财富</t>
        </is>
      </c>
      <c r="F190" t="inlineStr">
        <is>
          <t>push2 ulist.np/get f2,f20（按指定证券分批）</t>
        </is>
      </c>
      <c r="G190" s="32" t="n">
        <v>46263.25725224894</v>
      </c>
      <c r="H190" t="inlineStr">
        <is>
          <t>CNY</t>
        </is>
      </c>
      <c r="I190" t="inlineStr">
        <is>
          <t>CNY</t>
        </is>
      </c>
      <c r="J190" t="inlineStr">
        <is>
          <t>ok</t>
        </is>
      </c>
      <c r="L190" t="b">
        <v>0</v>
      </c>
      <c r="M190" t="inlineStr">
        <is>
          <t>东方财富</t>
        </is>
      </c>
      <c r="N190" t="b">
        <v>1</v>
      </c>
    </row>
    <row r="191">
      <c r="A191" t="inlineStr">
        <is>
          <t>A股</t>
        </is>
      </c>
      <c r="B191" t="inlineStr">
        <is>
          <t>000029</t>
        </is>
      </c>
      <c r="C191" t="inlineStr">
        <is>
          <t>深深房Ａ</t>
        </is>
      </c>
      <c r="D191" t="inlineStr">
        <is>
          <t>大宗交易</t>
        </is>
      </c>
      <c r="E191" t="inlineStr">
        <is>
          <t>东方财富</t>
        </is>
      </c>
      <c r="F191" t="inlineStr">
        <is>
          <t>RPT_DATA_BLOCKTRADE 2026（全市场分页后本地聚合）</t>
        </is>
      </c>
      <c r="G191" s="32" t="n">
        <v>46263.25725717999</v>
      </c>
      <c r="H191" t="inlineStr">
        <is>
          <t>CNY</t>
        </is>
      </c>
      <c r="I191" t="inlineStr">
        <is>
          <t>CNY</t>
        </is>
      </c>
      <c r="J191" t="inlineStr">
        <is>
          <t>ok</t>
        </is>
      </c>
      <c r="L191" t="b">
        <v>0</v>
      </c>
      <c r="M191" t="inlineStr">
        <is>
          <t>东方财富</t>
        </is>
      </c>
      <c r="N191" t="b">
        <v>1</v>
      </c>
    </row>
    <row r="192">
      <c r="A192" t="inlineStr">
        <is>
          <t>A股</t>
        </is>
      </c>
      <c r="B192" t="inlineStr">
        <is>
          <t>000029</t>
        </is>
      </c>
      <c r="C192" t="inlineStr">
        <is>
          <t>深深房Ａ</t>
        </is>
      </c>
      <c r="D192" t="inlineStr">
        <is>
          <t>年度财务</t>
        </is>
      </c>
      <c r="E192" t="inlineStr">
        <is>
          <t>东方财富</t>
        </is>
      </c>
      <c r="F192" t="inlineStr">
        <is>
          <t>RPT_LICO_FN_CPD + RPT_DMSK_FN_CASHFLOW；巨潮回退原因：未配置巨潮官方 API 凭证/端点（CNINFO_ACCESS_TOKEN、CNINFO_INCOME_API_URL、CNINFO_CASHFLOW_API_URL）</t>
        </is>
      </c>
      <c r="G192" s="32" t="n">
        <v>46263.25728768669</v>
      </c>
      <c r="H192" t="inlineStr">
        <is>
          <t>CNY</t>
        </is>
      </c>
      <c r="I192" t="inlineStr">
        <is>
          <t>CNY</t>
        </is>
      </c>
      <c r="J192" t="inlineStr">
        <is>
          <t>ok</t>
        </is>
      </c>
      <c r="L192" t="b">
        <v>1</v>
      </c>
      <c r="M192" t="inlineStr">
        <is>
          <t>巨潮资讯（CNINFO Data Service）</t>
        </is>
      </c>
      <c r="N192" t="b">
        <v>1</v>
      </c>
    </row>
    <row r="193">
      <c r="A193" t="inlineStr">
        <is>
          <t>A股</t>
        </is>
      </c>
      <c r="B193" t="inlineStr">
        <is>
          <t>000029</t>
        </is>
      </c>
      <c r="C193" t="inlineStr">
        <is>
          <t>深深房Ａ</t>
        </is>
      </c>
      <c r="D193" t="inlineStr">
        <is>
          <t>上市与发行信息</t>
        </is>
      </c>
      <c r="E193" t="inlineStr">
        <is>
          <t>东方财富</t>
        </is>
      </c>
      <c r="F193" t="inlineStr">
        <is>
          <t>RPT_PCF10_ORG_ISSUEINFO</t>
        </is>
      </c>
      <c r="G193" s="32" t="n">
        <v>46263.25734353838</v>
      </c>
      <c r="H193" t="inlineStr">
        <is>
          <t>CNY</t>
        </is>
      </c>
      <c r="I193" t="inlineStr">
        <is>
          <t>CNY</t>
        </is>
      </c>
      <c r="J193" t="inlineStr">
        <is>
          <t>ok</t>
        </is>
      </c>
      <c r="L193" t="b">
        <v>0</v>
      </c>
      <c r="M193" t="inlineStr">
        <is>
          <t>东方财富</t>
        </is>
      </c>
      <c r="N193" t="b">
        <v>1</v>
      </c>
    </row>
    <row r="194">
      <c r="A194" t="inlineStr">
        <is>
          <t>A股</t>
        </is>
      </c>
      <c r="B194" t="inlineStr">
        <is>
          <t>000029</t>
        </is>
      </c>
      <c r="C194" t="inlineStr">
        <is>
          <t>深深房Ａ</t>
        </is>
      </c>
      <c r="D194" t="inlineStr">
        <is>
          <t>资金流</t>
        </is>
      </c>
      <c r="E194" t="inlineStr">
        <is>
          <t>配置</t>
        </is>
      </c>
      <c r="F194" t="inlineStr">
        <is>
          <t>flow-mode-off</t>
        </is>
      </c>
      <c r="G194" s="32" t="n">
        <v>46263.25754607147</v>
      </c>
      <c r="I194" t="inlineStr">
        <is>
          <t>CNY</t>
        </is>
      </c>
      <c r="J194" t="inlineStr">
        <is>
          <t>optional_missing</t>
        </is>
      </c>
      <c r="K194" t="inlineStr">
        <is>
          <t>用户选择不抓取资金流</t>
        </is>
      </c>
      <c r="L194" t="b">
        <v>0</v>
      </c>
      <c r="M194" t="inlineStr">
        <is>
          <t>配置</t>
        </is>
      </c>
      <c r="N194" t="b">
        <v>0</v>
      </c>
    </row>
    <row r="195">
      <c r="A195" t="inlineStr">
        <is>
          <t>港股</t>
        </is>
      </c>
      <c r="B195" t="inlineStr">
        <is>
          <t>00023</t>
        </is>
      </c>
      <c r="C195" t="inlineStr">
        <is>
          <t>BANK OF E ASIA</t>
        </is>
      </c>
      <c r="D195" t="inlineStr">
        <is>
          <t>最新行情</t>
        </is>
      </c>
      <c r="E195" t="inlineStr">
        <is>
          <t>东方财富</t>
        </is>
      </c>
      <c r="F195" t="inlineStr">
        <is>
          <t>push2 ulist.np/get f2,f20（按指定证券分批）</t>
        </is>
      </c>
      <c r="G195" s="32" t="n">
        <v>46263.25725224894</v>
      </c>
      <c r="H195" t="inlineStr">
        <is>
          <t>HKD</t>
        </is>
      </c>
      <c r="I195" t="inlineStr">
        <is>
          <t>HKD</t>
        </is>
      </c>
      <c r="J195" t="inlineStr">
        <is>
          <t>ok</t>
        </is>
      </c>
      <c r="L195" t="b">
        <v>0</v>
      </c>
      <c r="M195" t="inlineStr">
        <is>
          <t>东方财富</t>
        </is>
      </c>
      <c r="N195" t="b">
        <v>1</v>
      </c>
    </row>
    <row r="196">
      <c r="A196" t="inlineStr">
        <is>
          <t>港股</t>
        </is>
      </c>
      <c r="B196" t="inlineStr">
        <is>
          <t>00023</t>
        </is>
      </c>
      <c r="C196" t="inlineStr">
        <is>
          <t>BANK OF E ASIA</t>
        </is>
      </c>
      <c r="D196" t="inlineStr">
        <is>
          <t>大宗交易</t>
        </is>
      </c>
      <c r="E196" t="inlineStr">
        <is>
          <t>东方财富</t>
        </is>
      </c>
      <c r="F196" t="inlineStr">
        <is>
          <t>not-applicable-hk</t>
        </is>
      </c>
      <c r="G196" s="32" t="n">
        <v>46263.25725433244</v>
      </c>
      <c r="I196" t="inlineStr">
        <is>
          <t>HKD</t>
        </is>
      </c>
      <c r="J196" t="inlineStr">
        <is>
          <t>optional_missing</t>
        </is>
      </c>
      <c r="K196" t="inlineStr">
        <is>
          <t>港股大宗交易按允许缺失规则留空</t>
        </is>
      </c>
      <c r="L196" t="b">
        <v>0</v>
      </c>
      <c r="M196" t="inlineStr">
        <is>
          <t>东方财富</t>
        </is>
      </c>
      <c r="N196" t="b">
        <v>1</v>
      </c>
    </row>
    <row r="197">
      <c r="A197" t="inlineStr">
        <is>
          <t>港股</t>
        </is>
      </c>
      <c r="B197" t="inlineStr">
        <is>
          <t>00023</t>
        </is>
      </c>
      <c r="C197" t="inlineStr">
        <is>
          <t>BANK OF E ASIA</t>
        </is>
      </c>
      <c r="D197" t="inlineStr">
        <is>
          <t>年度财务</t>
        </is>
      </c>
      <c r="E197" t="inlineStr">
        <is>
          <t>东方财富</t>
        </is>
      </c>
      <c r="F197" t="inlineStr">
        <is>
          <t>RPT_HKF10_FN_MAININDICATOR</t>
        </is>
      </c>
      <c r="G197" s="32" t="n">
        <v>46263.25728202517</v>
      </c>
      <c r="H197" t="inlineStr">
        <is>
          <t>HKD</t>
        </is>
      </c>
      <c r="I197" t="inlineStr">
        <is>
          <t>HKD</t>
        </is>
      </c>
      <c r="J197" t="inlineStr">
        <is>
          <t>ok</t>
        </is>
      </c>
      <c r="L197" t="b">
        <v>0</v>
      </c>
      <c r="M197" t="inlineStr">
        <is>
          <t>东方财富</t>
        </is>
      </c>
      <c r="N197" t="b">
        <v>1</v>
      </c>
    </row>
    <row r="198">
      <c r="A198" t="inlineStr">
        <is>
          <t>港股</t>
        </is>
      </c>
      <c r="B198" t="inlineStr">
        <is>
          <t>00023</t>
        </is>
      </c>
      <c r="C198" t="inlineStr">
        <is>
          <t>BANK OF E ASIA</t>
        </is>
      </c>
      <c r="D198" t="inlineStr">
        <is>
          <t>上市与发行信息</t>
        </is>
      </c>
      <c r="E198" t="inlineStr">
        <is>
          <t>东方财富</t>
        </is>
      </c>
      <c r="F198" t="inlineStr">
        <is>
          <t>RPT_HKF10_INFO_SECURITYINFO</t>
        </is>
      </c>
      <c r="G198" s="32" t="n">
        <v>46263.25734421354</v>
      </c>
      <c r="H198" t="inlineStr">
        <is>
          <t>HKD</t>
        </is>
      </c>
      <c r="I198" t="inlineStr">
        <is>
          <t>HKD</t>
        </is>
      </c>
      <c r="J198" t="inlineStr">
        <is>
          <t>ok</t>
        </is>
      </c>
      <c r="L198" t="b">
        <v>0</v>
      </c>
      <c r="M198" t="inlineStr">
        <is>
          <t>东方财富</t>
        </is>
      </c>
      <c r="N198" t="b">
        <v>1</v>
      </c>
    </row>
    <row r="199">
      <c r="A199" t="inlineStr">
        <is>
          <t>港股</t>
        </is>
      </c>
      <c r="B199" t="inlineStr">
        <is>
          <t>00023</t>
        </is>
      </c>
      <c r="C199" t="inlineStr">
        <is>
          <t>BANK OF E ASIA</t>
        </is>
      </c>
      <c r="D199" t="inlineStr">
        <is>
          <t>资金流</t>
        </is>
      </c>
      <c r="E199" t="inlineStr">
        <is>
          <t>配置</t>
        </is>
      </c>
      <c r="F199" t="inlineStr">
        <is>
          <t>flow-mode-off</t>
        </is>
      </c>
      <c r="G199" s="32" t="n">
        <v>46263.25754607147</v>
      </c>
      <c r="I199" t="inlineStr">
        <is>
          <t>HKD</t>
        </is>
      </c>
      <c r="J199" t="inlineStr">
        <is>
          <t>optional_missing</t>
        </is>
      </c>
      <c r="K199" t="inlineStr">
        <is>
          <t>用户选择不抓取资金流</t>
        </is>
      </c>
      <c r="L199" t="b">
        <v>0</v>
      </c>
      <c r="M199" t="inlineStr">
        <is>
          <t>配置</t>
        </is>
      </c>
      <c r="N199" t="b">
        <v>0</v>
      </c>
    </row>
    <row r="200">
      <c r="A200" t="inlineStr">
        <is>
          <t>A股</t>
        </is>
      </c>
      <c r="B200" t="inlineStr">
        <is>
          <t>000030</t>
        </is>
      </c>
      <c r="C200" t="inlineStr">
        <is>
          <t>富奥股份</t>
        </is>
      </c>
      <c r="D200" t="inlineStr">
        <is>
          <t>最新行情</t>
        </is>
      </c>
      <c r="E200" t="inlineStr">
        <is>
          <t>东方财富</t>
        </is>
      </c>
      <c r="F200" t="inlineStr">
        <is>
          <t>push2 ulist.np/get f2,f20（按指定证券分批）</t>
        </is>
      </c>
      <c r="G200" s="32" t="n">
        <v>46263.25725224894</v>
      </c>
      <c r="H200" t="inlineStr">
        <is>
          <t>CNY</t>
        </is>
      </c>
      <c r="I200" t="inlineStr">
        <is>
          <t>CNY</t>
        </is>
      </c>
      <c r="J200" t="inlineStr">
        <is>
          <t>ok</t>
        </is>
      </c>
      <c r="L200" t="b">
        <v>0</v>
      </c>
      <c r="M200" t="inlineStr">
        <is>
          <t>东方财富</t>
        </is>
      </c>
      <c r="N200" t="b">
        <v>1</v>
      </c>
    </row>
    <row r="201">
      <c r="A201" t="inlineStr">
        <is>
          <t>A股</t>
        </is>
      </c>
      <c r="B201" t="inlineStr">
        <is>
          <t>000030</t>
        </is>
      </c>
      <c r="C201" t="inlineStr">
        <is>
          <t>富奥股份</t>
        </is>
      </c>
      <c r="D201" t="inlineStr">
        <is>
          <t>大宗交易</t>
        </is>
      </c>
      <c r="E201" t="inlineStr">
        <is>
          <t>东方财富</t>
        </is>
      </c>
      <c r="F201" t="inlineStr">
        <is>
          <t>RPT_DATA_BLOCKTRADE 2026（全市场分页后本地聚合）</t>
        </is>
      </c>
      <c r="G201" s="32" t="n">
        <v>46263.25725717999</v>
      </c>
      <c r="H201" t="inlineStr">
        <is>
          <t>CNY</t>
        </is>
      </c>
      <c r="I201" t="inlineStr">
        <is>
          <t>CNY</t>
        </is>
      </c>
      <c r="J201" t="inlineStr">
        <is>
          <t>ok</t>
        </is>
      </c>
      <c r="L201" t="b">
        <v>0</v>
      </c>
      <c r="M201" t="inlineStr">
        <is>
          <t>东方财富</t>
        </is>
      </c>
      <c r="N201" t="b">
        <v>1</v>
      </c>
    </row>
    <row r="202">
      <c r="A202" t="inlineStr">
        <is>
          <t>A股</t>
        </is>
      </c>
      <c r="B202" t="inlineStr">
        <is>
          <t>000030</t>
        </is>
      </c>
      <c r="C202" t="inlineStr">
        <is>
          <t>富奥股份</t>
        </is>
      </c>
      <c r="D202" t="inlineStr">
        <is>
          <t>年度财务</t>
        </is>
      </c>
      <c r="E202" t="inlineStr">
        <is>
          <t>东方财富</t>
        </is>
      </c>
      <c r="F202" t="inlineStr">
        <is>
          <t>RPT_LICO_FN_CPD + RPT_DMSK_FN_CASHFLOW；巨潮回退原因：未配置巨潮官方 API 凭证/端点（CNINFO_ACCESS_TOKEN、CNINFO_INCOME_API_URL、CNINFO_CASHFLOW_API_URL）</t>
        </is>
      </c>
      <c r="G202" s="32" t="n">
        <v>46263.25728954758</v>
      </c>
      <c r="H202" t="inlineStr">
        <is>
          <t>CNY</t>
        </is>
      </c>
      <c r="I202" t="inlineStr">
        <is>
          <t>CNY</t>
        </is>
      </c>
      <c r="J202" t="inlineStr">
        <is>
          <t>ok</t>
        </is>
      </c>
      <c r="L202" t="b">
        <v>1</v>
      </c>
      <c r="M202" t="inlineStr">
        <is>
          <t>巨潮资讯（CNINFO Data Service）</t>
        </is>
      </c>
      <c r="N202" t="b">
        <v>1</v>
      </c>
    </row>
    <row r="203">
      <c r="A203" t="inlineStr">
        <is>
          <t>A股</t>
        </is>
      </c>
      <c r="B203" t="inlineStr">
        <is>
          <t>000030</t>
        </is>
      </c>
      <c r="C203" t="inlineStr">
        <is>
          <t>富奥股份</t>
        </is>
      </c>
      <c r="D203" t="inlineStr">
        <is>
          <t>上市与发行信息</t>
        </is>
      </c>
      <c r="E203" t="inlineStr">
        <is>
          <t>东方财富</t>
        </is>
      </c>
      <c r="F203" t="inlineStr">
        <is>
          <t>RPT_PCF10_ORG_ISSUEINFO</t>
        </is>
      </c>
      <c r="G203" s="32" t="n">
        <v>46263.25734482668</v>
      </c>
      <c r="H203" t="inlineStr">
        <is>
          <t>CNY</t>
        </is>
      </c>
      <c r="I203" t="inlineStr">
        <is>
          <t>CNY</t>
        </is>
      </c>
      <c r="J203" t="inlineStr">
        <is>
          <t>ok</t>
        </is>
      </c>
      <c r="L203" t="b">
        <v>0</v>
      </c>
      <c r="M203" t="inlineStr">
        <is>
          <t>东方财富</t>
        </is>
      </c>
      <c r="N203" t="b">
        <v>1</v>
      </c>
    </row>
    <row r="204">
      <c r="A204" t="inlineStr">
        <is>
          <t>A股</t>
        </is>
      </c>
      <c r="B204" t="inlineStr">
        <is>
          <t>000030</t>
        </is>
      </c>
      <c r="C204" t="inlineStr">
        <is>
          <t>富奥股份</t>
        </is>
      </c>
      <c r="D204" t="inlineStr">
        <is>
          <t>资金流</t>
        </is>
      </c>
      <c r="E204" t="inlineStr">
        <is>
          <t>配置</t>
        </is>
      </c>
      <c r="F204" t="inlineStr">
        <is>
          <t>flow-mode-off</t>
        </is>
      </c>
      <c r="G204" s="32" t="n">
        <v>46263.25754607147</v>
      </c>
      <c r="I204" t="inlineStr">
        <is>
          <t>CNY</t>
        </is>
      </c>
      <c r="J204" t="inlineStr">
        <is>
          <t>optional_missing</t>
        </is>
      </c>
      <c r="K204" t="inlineStr">
        <is>
          <t>用户选择不抓取资金流</t>
        </is>
      </c>
      <c r="L204" t="b">
        <v>0</v>
      </c>
      <c r="M204" t="inlineStr">
        <is>
          <t>配置</t>
        </is>
      </c>
      <c r="N204" t="b">
        <v>0</v>
      </c>
    </row>
    <row r="205">
      <c r="A205" t="inlineStr">
        <is>
          <t>港股</t>
        </is>
      </c>
      <c r="B205" t="inlineStr">
        <is>
          <t>00025</t>
        </is>
      </c>
      <c r="C205" t="inlineStr">
        <is>
          <t>CHEVALIER INT'L</t>
        </is>
      </c>
      <c r="D205" t="inlineStr">
        <is>
          <t>最新行情</t>
        </is>
      </c>
      <c r="E205" t="inlineStr">
        <is>
          <t>东方财富</t>
        </is>
      </c>
      <c r="F205" t="inlineStr">
        <is>
          <t>push2 ulist.np/get f2,f20（按指定证券分批）</t>
        </is>
      </c>
      <c r="G205" s="32" t="n">
        <v>46263.25725224894</v>
      </c>
      <c r="H205" t="inlineStr">
        <is>
          <t>HKD</t>
        </is>
      </c>
      <c r="I205" t="inlineStr">
        <is>
          <t>HKD</t>
        </is>
      </c>
      <c r="J205" t="inlineStr">
        <is>
          <t>ok</t>
        </is>
      </c>
      <c r="L205" t="b">
        <v>0</v>
      </c>
      <c r="M205" t="inlineStr">
        <is>
          <t>东方财富</t>
        </is>
      </c>
      <c r="N205" t="b">
        <v>1</v>
      </c>
    </row>
    <row r="206">
      <c r="A206" t="inlineStr">
        <is>
          <t>港股</t>
        </is>
      </c>
      <c r="B206" t="inlineStr">
        <is>
          <t>00025</t>
        </is>
      </c>
      <c r="C206" t="inlineStr">
        <is>
          <t>CHEVALIER INT'L</t>
        </is>
      </c>
      <c r="D206" t="inlineStr">
        <is>
          <t>大宗交易</t>
        </is>
      </c>
      <c r="E206" t="inlineStr">
        <is>
          <t>东方财富</t>
        </is>
      </c>
      <c r="F206" t="inlineStr">
        <is>
          <t>not-applicable-hk</t>
        </is>
      </c>
      <c r="G206" s="32" t="n">
        <v>46263.25725433244</v>
      </c>
      <c r="I206" t="inlineStr">
        <is>
          <t>HKD</t>
        </is>
      </c>
      <c r="J206" t="inlineStr">
        <is>
          <t>optional_missing</t>
        </is>
      </c>
      <c r="K206" t="inlineStr">
        <is>
          <t>港股大宗交易按允许缺失规则留空</t>
        </is>
      </c>
      <c r="L206" t="b">
        <v>0</v>
      </c>
      <c r="M206" t="inlineStr">
        <is>
          <t>东方财富</t>
        </is>
      </c>
      <c r="N206" t="b">
        <v>1</v>
      </c>
    </row>
    <row r="207">
      <c r="A207" t="inlineStr">
        <is>
          <t>港股</t>
        </is>
      </c>
      <c r="B207" t="inlineStr">
        <is>
          <t>00025</t>
        </is>
      </c>
      <c r="C207" t="inlineStr">
        <is>
          <t>CHEVALIER INT'L</t>
        </is>
      </c>
      <c r="D207" t="inlineStr">
        <is>
          <t>年度财务</t>
        </is>
      </c>
      <c r="E207" t="inlineStr">
        <is>
          <t>东方财富</t>
        </is>
      </c>
      <c r="F207" t="inlineStr">
        <is>
          <t>RPT_HKF10_FN_MAININDICATOR</t>
        </is>
      </c>
      <c r="G207" s="32" t="n">
        <v>46263.25728336842</v>
      </c>
      <c r="H207" t="inlineStr">
        <is>
          <t>HKD</t>
        </is>
      </c>
      <c r="I207" t="inlineStr">
        <is>
          <t>HKD</t>
        </is>
      </c>
      <c r="J207" t="inlineStr">
        <is>
          <t>ok</t>
        </is>
      </c>
      <c r="L207" t="b">
        <v>0</v>
      </c>
      <c r="M207" t="inlineStr">
        <is>
          <t>东方财富</t>
        </is>
      </c>
      <c r="N207" t="b">
        <v>1</v>
      </c>
    </row>
    <row r="208">
      <c r="A208" t="inlineStr">
        <is>
          <t>港股</t>
        </is>
      </c>
      <c r="B208" t="inlineStr">
        <is>
          <t>00025</t>
        </is>
      </c>
      <c r="C208" t="inlineStr">
        <is>
          <t>CHEVALIER INT'L</t>
        </is>
      </c>
      <c r="D208" t="inlineStr">
        <is>
          <t>上市与发行信息</t>
        </is>
      </c>
      <c r="E208" t="inlineStr">
        <is>
          <t>东方财富</t>
        </is>
      </c>
      <c r="F208" t="inlineStr">
        <is>
          <t>RPT_HKF10_INFO_SECURITYINFO</t>
        </is>
      </c>
      <c r="G208" s="32" t="n">
        <v>46263.25734682845</v>
      </c>
      <c r="H208" t="inlineStr">
        <is>
          <t>HKD</t>
        </is>
      </c>
      <c r="I208" t="inlineStr">
        <is>
          <t>HKD</t>
        </is>
      </c>
      <c r="J208" t="inlineStr">
        <is>
          <t>ok</t>
        </is>
      </c>
      <c r="L208" t="b">
        <v>0</v>
      </c>
      <c r="M208" t="inlineStr">
        <is>
          <t>东方财富</t>
        </is>
      </c>
      <c r="N208" t="b">
        <v>1</v>
      </c>
    </row>
    <row r="209">
      <c r="A209" t="inlineStr">
        <is>
          <t>港股</t>
        </is>
      </c>
      <c r="B209" t="inlineStr">
        <is>
          <t>00025</t>
        </is>
      </c>
      <c r="C209" t="inlineStr">
        <is>
          <t>CHEVALIER INT'L</t>
        </is>
      </c>
      <c r="D209" t="inlineStr">
        <is>
          <t>资金流</t>
        </is>
      </c>
      <c r="E209" t="inlineStr">
        <is>
          <t>配置</t>
        </is>
      </c>
      <c r="F209" t="inlineStr">
        <is>
          <t>flow-mode-off</t>
        </is>
      </c>
      <c r="G209" s="32" t="n">
        <v>46263.25754607147</v>
      </c>
      <c r="I209" t="inlineStr">
        <is>
          <t>HKD</t>
        </is>
      </c>
      <c r="J209" t="inlineStr">
        <is>
          <t>optional_missing</t>
        </is>
      </c>
      <c r="K209" t="inlineStr">
        <is>
          <t>用户选择不抓取资金流</t>
        </is>
      </c>
      <c r="L209" t="b">
        <v>0</v>
      </c>
      <c r="M209" t="inlineStr">
        <is>
          <t>配置</t>
        </is>
      </c>
      <c r="N209" t="b">
        <v>0</v>
      </c>
    </row>
    <row r="210">
      <c r="A210" t="inlineStr">
        <is>
          <t>A股</t>
        </is>
      </c>
      <c r="B210" t="inlineStr">
        <is>
          <t>000031</t>
        </is>
      </c>
      <c r="C210" t="inlineStr">
        <is>
          <t>大悦城</t>
        </is>
      </c>
      <c r="D210" t="inlineStr">
        <is>
          <t>最新行情</t>
        </is>
      </c>
      <c r="E210" t="inlineStr">
        <is>
          <t>东方财富</t>
        </is>
      </c>
      <c r="F210" t="inlineStr">
        <is>
          <t>push2 ulist.np/get f2,f20（按指定证券分批）</t>
        </is>
      </c>
      <c r="G210" s="32" t="n">
        <v>46263.25725224894</v>
      </c>
      <c r="H210" t="inlineStr">
        <is>
          <t>CNY</t>
        </is>
      </c>
      <c r="I210" t="inlineStr">
        <is>
          <t>CNY</t>
        </is>
      </c>
      <c r="J210" t="inlineStr">
        <is>
          <t>ok</t>
        </is>
      </c>
      <c r="L210" t="b">
        <v>0</v>
      </c>
      <c r="M210" t="inlineStr">
        <is>
          <t>东方财富</t>
        </is>
      </c>
      <c r="N210" t="b">
        <v>1</v>
      </c>
    </row>
    <row r="211">
      <c r="A211" t="inlineStr">
        <is>
          <t>A股</t>
        </is>
      </c>
      <c r="B211" t="inlineStr">
        <is>
          <t>000031</t>
        </is>
      </c>
      <c r="C211" t="inlineStr">
        <is>
          <t>大悦城</t>
        </is>
      </c>
      <c r="D211" t="inlineStr">
        <is>
          <t>大宗交易</t>
        </is>
      </c>
      <c r="E211" t="inlineStr">
        <is>
          <t>东方财富</t>
        </is>
      </c>
      <c r="F211" t="inlineStr">
        <is>
          <t>RPT_DATA_BLOCKTRADE 2026（全市场分页后本地聚合）</t>
        </is>
      </c>
      <c r="G211" s="32" t="n">
        <v>46263.25725717999</v>
      </c>
      <c r="H211" t="inlineStr">
        <is>
          <t>CNY</t>
        </is>
      </c>
      <c r="I211" t="inlineStr">
        <is>
          <t>CNY</t>
        </is>
      </c>
      <c r="J211" t="inlineStr">
        <is>
          <t>ok</t>
        </is>
      </c>
      <c r="L211" t="b">
        <v>0</v>
      </c>
      <c r="M211" t="inlineStr">
        <is>
          <t>东方财富</t>
        </is>
      </c>
      <c r="N211" t="b">
        <v>1</v>
      </c>
    </row>
    <row r="212">
      <c r="A212" t="inlineStr">
        <is>
          <t>A股</t>
        </is>
      </c>
      <c r="B212" t="inlineStr">
        <is>
          <t>000031</t>
        </is>
      </c>
      <c r="C212" t="inlineStr">
        <is>
          <t>大悦城</t>
        </is>
      </c>
      <c r="D212" t="inlineStr">
        <is>
          <t>年度财务</t>
        </is>
      </c>
      <c r="E212" t="inlineStr">
        <is>
          <t>东方财富</t>
        </is>
      </c>
      <c r="F212" t="inlineStr">
        <is>
          <t>RPT_LICO_FN_CPD + RPT_DMSK_FN_CASHFLOW；巨潮回退原因：未配置巨潮官方 API 凭证/端点（CNINFO_ACCESS_TOKEN、CNINFO_INCOME_API_URL、CNINFO_CASHFLOW_API_URL）</t>
        </is>
      </c>
      <c r="G212" s="32" t="n">
        <v>46263.25729016839</v>
      </c>
      <c r="H212" t="inlineStr">
        <is>
          <t>CNY</t>
        </is>
      </c>
      <c r="I212" t="inlineStr">
        <is>
          <t>CNY</t>
        </is>
      </c>
      <c r="J212" t="inlineStr">
        <is>
          <t>ok</t>
        </is>
      </c>
      <c r="L212" t="b">
        <v>1</v>
      </c>
      <c r="M212" t="inlineStr">
        <is>
          <t>巨潮资讯（CNINFO Data Service）</t>
        </is>
      </c>
      <c r="N212" t="b">
        <v>1</v>
      </c>
    </row>
    <row r="213">
      <c r="A213" t="inlineStr">
        <is>
          <t>A股</t>
        </is>
      </c>
      <c r="B213" t="inlineStr">
        <is>
          <t>000031</t>
        </is>
      </c>
      <c r="C213" t="inlineStr">
        <is>
          <t>大悦城</t>
        </is>
      </c>
      <c r="D213" t="inlineStr">
        <is>
          <t>上市与发行信息</t>
        </is>
      </c>
      <c r="E213" t="inlineStr">
        <is>
          <t>东方财富</t>
        </is>
      </c>
      <c r="F213" t="inlineStr">
        <is>
          <t>RPT_PCF10_ORG_ISSUEINFO</t>
        </is>
      </c>
      <c r="G213" s="32" t="n">
        <v>46263.25734587364</v>
      </c>
      <c r="H213" t="inlineStr">
        <is>
          <t>CNY</t>
        </is>
      </c>
      <c r="I213" t="inlineStr">
        <is>
          <t>CNY</t>
        </is>
      </c>
      <c r="J213" t="inlineStr">
        <is>
          <t>ok</t>
        </is>
      </c>
      <c r="L213" t="b">
        <v>0</v>
      </c>
      <c r="M213" t="inlineStr">
        <is>
          <t>东方财富</t>
        </is>
      </c>
      <c r="N213" t="b">
        <v>1</v>
      </c>
    </row>
    <row r="214">
      <c r="A214" t="inlineStr">
        <is>
          <t>A股</t>
        </is>
      </c>
      <c r="B214" t="inlineStr">
        <is>
          <t>000031</t>
        </is>
      </c>
      <c r="C214" t="inlineStr">
        <is>
          <t>大悦城</t>
        </is>
      </c>
      <c r="D214" t="inlineStr">
        <is>
          <t>资金流</t>
        </is>
      </c>
      <c r="E214" t="inlineStr">
        <is>
          <t>配置</t>
        </is>
      </c>
      <c r="F214" t="inlineStr">
        <is>
          <t>flow-mode-off</t>
        </is>
      </c>
      <c r="G214" s="32" t="n">
        <v>46263.25754607147</v>
      </c>
      <c r="I214" t="inlineStr">
        <is>
          <t>CNY</t>
        </is>
      </c>
      <c r="J214" t="inlineStr">
        <is>
          <t>optional_missing</t>
        </is>
      </c>
      <c r="K214" t="inlineStr">
        <is>
          <t>用户选择不抓取资金流</t>
        </is>
      </c>
      <c r="L214" t="b">
        <v>0</v>
      </c>
      <c r="M214" t="inlineStr">
        <is>
          <t>配置</t>
        </is>
      </c>
      <c r="N214" t="b">
        <v>0</v>
      </c>
    </row>
    <row r="215">
      <c r="A215" t="inlineStr">
        <is>
          <t>港股</t>
        </is>
      </c>
      <c r="B215" t="inlineStr">
        <is>
          <t>00026</t>
        </is>
      </c>
      <c r="C215" t="inlineStr">
        <is>
          <t>CHINA MOTOR BUS</t>
        </is>
      </c>
      <c r="D215" t="inlineStr">
        <is>
          <t>最新行情</t>
        </is>
      </c>
      <c r="E215" t="inlineStr">
        <is>
          <t>东方财富</t>
        </is>
      </c>
      <c r="F215" t="inlineStr">
        <is>
          <t>push2 ulist.np/get f2,f20（按指定证券分批）</t>
        </is>
      </c>
      <c r="G215" s="32" t="n">
        <v>46263.25725224894</v>
      </c>
      <c r="H215" t="inlineStr">
        <is>
          <t>HKD</t>
        </is>
      </c>
      <c r="I215" t="inlineStr">
        <is>
          <t>HKD</t>
        </is>
      </c>
      <c r="J215" t="inlineStr">
        <is>
          <t>ok</t>
        </is>
      </c>
      <c r="L215" t="b">
        <v>0</v>
      </c>
      <c r="M215" t="inlineStr">
        <is>
          <t>东方财富</t>
        </is>
      </c>
      <c r="N215" t="b">
        <v>1</v>
      </c>
    </row>
    <row r="216">
      <c r="A216" t="inlineStr">
        <is>
          <t>港股</t>
        </is>
      </c>
      <c r="B216" t="inlineStr">
        <is>
          <t>00026</t>
        </is>
      </c>
      <c r="C216" t="inlineStr">
        <is>
          <t>CHINA MOTOR BUS</t>
        </is>
      </c>
      <c r="D216" t="inlineStr">
        <is>
          <t>大宗交易</t>
        </is>
      </c>
      <c r="E216" t="inlineStr">
        <is>
          <t>东方财富</t>
        </is>
      </c>
      <c r="F216" t="inlineStr">
        <is>
          <t>not-applicable-hk</t>
        </is>
      </c>
      <c r="G216" s="32" t="n">
        <v>46263.25725433244</v>
      </c>
      <c r="I216" t="inlineStr">
        <is>
          <t>HKD</t>
        </is>
      </c>
      <c r="J216" t="inlineStr">
        <is>
          <t>optional_missing</t>
        </is>
      </c>
      <c r="K216" t="inlineStr">
        <is>
          <t>港股大宗交易按允许缺失规则留空</t>
        </is>
      </c>
      <c r="L216" t="b">
        <v>0</v>
      </c>
      <c r="M216" t="inlineStr">
        <is>
          <t>东方财富</t>
        </is>
      </c>
      <c r="N216" t="b">
        <v>1</v>
      </c>
    </row>
    <row r="217">
      <c r="A217" t="inlineStr">
        <is>
          <t>港股</t>
        </is>
      </c>
      <c r="B217" t="inlineStr">
        <is>
          <t>00026</t>
        </is>
      </c>
      <c r="C217" t="inlineStr">
        <is>
          <t>CHINA MOTOR BUS</t>
        </is>
      </c>
      <c r="D217" t="inlineStr">
        <is>
          <t>年度财务</t>
        </is>
      </c>
      <c r="E217" t="inlineStr">
        <is>
          <t>东方财富</t>
        </is>
      </c>
      <c r="F217" t="inlineStr">
        <is>
          <t>RPT_HKF10_FN_MAININDICATOR</t>
        </is>
      </c>
      <c r="G217" s="32" t="n">
        <v>46263.2572840355</v>
      </c>
      <c r="H217" t="inlineStr">
        <is>
          <t>HKD</t>
        </is>
      </c>
      <c r="I217" t="inlineStr">
        <is>
          <t>HKD</t>
        </is>
      </c>
      <c r="J217" t="inlineStr">
        <is>
          <t>ok</t>
        </is>
      </c>
      <c r="L217" t="b">
        <v>0</v>
      </c>
      <c r="M217" t="inlineStr">
        <is>
          <t>东方财富</t>
        </is>
      </c>
      <c r="N217" t="b">
        <v>1</v>
      </c>
    </row>
    <row r="218">
      <c r="A218" t="inlineStr">
        <is>
          <t>港股</t>
        </is>
      </c>
      <c r="B218" t="inlineStr">
        <is>
          <t>00026</t>
        </is>
      </c>
      <c r="C218" t="inlineStr">
        <is>
          <t>CHINA MOTOR BUS</t>
        </is>
      </c>
      <c r="D218" t="inlineStr">
        <is>
          <t>上市与发行信息</t>
        </is>
      </c>
      <c r="E218" t="inlineStr">
        <is>
          <t>东方财富</t>
        </is>
      </c>
      <c r="F218" t="inlineStr">
        <is>
          <t>RPT_HKF10_INFO_SECURITYINFO</t>
        </is>
      </c>
      <c r="G218" s="32" t="n">
        <v>46263.25734688914</v>
      </c>
      <c r="H218" t="inlineStr">
        <is>
          <t>HKD</t>
        </is>
      </c>
      <c r="I218" t="inlineStr">
        <is>
          <t>HKD</t>
        </is>
      </c>
      <c r="J218" t="inlineStr">
        <is>
          <t>ok</t>
        </is>
      </c>
      <c r="L218" t="b">
        <v>0</v>
      </c>
      <c r="M218" t="inlineStr">
        <is>
          <t>东方财富</t>
        </is>
      </c>
      <c r="N218" t="b">
        <v>1</v>
      </c>
    </row>
    <row r="219">
      <c r="A219" t="inlineStr">
        <is>
          <t>港股</t>
        </is>
      </c>
      <c r="B219" t="inlineStr">
        <is>
          <t>00026</t>
        </is>
      </c>
      <c r="C219" t="inlineStr">
        <is>
          <t>CHINA MOTOR BUS</t>
        </is>
      </c>
      <c r="D219" t="inlineStr">
        <is>
          <t>资金流</t>
        </is>
      </c>
      <c r="E219" t="inlineStr">
        <is>
          <t>配置</t>
        </is>
      </c>
      <c r="F219" t="inlineStr">
        <is>
          <t>flow-mode-off</t>
        </is>
      </c>
      <c r="G219" s="32" t="n">
        <v>46263.25754607147</v>
      </c>
      <c r="I219" t="inlineStr">
        <is>
          <t>HKD</t>
        </is>
      </c>
      <c r="J219" t="inlineStr">
        <is>
          <t>optional_missing</t>
        </is>
      </c>
      <c r="K219" t="inlineStr">
        <is>
          <t>用户选择不抓取资金流</t>
        </is>
      </c>
      <c r="L219" t="b">
        <v>0</v>
      </c>
      <c r="M219" t="inlineStr">
        <is>
          <t>配置</t>
        </is>
      </c>
      <c r="N219" t="b">
        <v>0</v>
      </c>
    </row>
    <row r="220">
      <c r="A220" t="inlineStr">
        <is>
          <t>A股</t>
        </is>
      </c>
      <c r="B220" t="inlineStr">
        <is>
          <t>000032</t>
        </is>
      </c>
      <c r="C220" t="inlineStr">
        <is>
          <t>深桑达Ａ</t>
        </is>
      </c>
      <c r="D220" t="inlineStr">
        <is>
          <t>最新行情</t>
        </is>
      </c>
      <c r="E220" t="inlineStr">
        <is>
          <t>东方财富</t>
        </is>
      </c>
      <c r="F220" t="inlineStr">
        <is>
          <t>push2 ulist.np/get f2,f20（按指定证券分批）</t>
        </is>
      </c>
      <c r="G220" s="32" t="n">
        <v>46263.25725224894</v>
      </c>
      <c r="H220" t="inlineStr">
        <is>
          <t>CNY</t>
        </is>
      </c>
      <c r="I220" t="inlineStr">
        <is>
          <t>CNY</t>
        </is>
      </c>
      <c r="J220" t="inlineStr">
        <is>
          <t>ok</t>
        </is>
      </c>
      <c r="L220" t="b">
        <v>0</v>
      </c>
      <c r="M220" t="inlineStr">
        <is>
          <t>东方财富</t>
        </is>
      </c>
      <c r="N220" t="b">
        <v>1</v>
      </c>
    </row>
    <row r="221">
      <c r="A221" t="inlineStr">
        <is>
          <t>A股</t>
        </is>
      </c>
      <c r="B221" t="inlineStr">
        <is>
          <t>000032</t>
        </is>
      </c>
      <c r="C221" t="inlineStr">
        <is>
          <t>深桑达Ａ</t>
        </is>
      </c>
      <c r="D221" t="inlineStr">
        <is>
          <t>大宗交易</t>
        </is>
      </c>
      <c r="E221" t="inlineStr">
        <is>
          <t>东方财富</t>
        </is>
      </c>
      <c r="F221" t="inlineStr">
        <is>
          <t>RPT_DATA_BLOCKTRADE 2026（全市场分页后本地聚合）</t>
        </is>
      </c>
      <c r="G221" s="32" t="n">
        <v>46263.25725717999</v>
      </c>
      <c r="H221" t="inlineStr">
        <is>
          <t>CNY</t>
        </is>
      </c>
      <c r="I221" t="inlineStr">
        <is>
          <t>CNY</t>
        </is>
      </c>
      <c r="J221" t="inlineStr">
        <is>
          <t>ok</t>
        </is>
      </c>
      <c r="L221" t="b">
        <v>0</v>
      </c>
      <c r="M221" t="inlineStr">
        <is>
          <t>东方财富</t>
        </is>
      </c>
      <c r="N221" t="b">
        <v>1</v>
      </c>
    </row>
    <row r="222">
      <c r="A222" t="inlineStr">
        <is>
          <t>A股</t>
        </is>
      </c>
      <c r="B222" t="inlineStr">
        <is>
          <t>000032</t>
        </is>
      </c>
      <c r="C222" t="inlineStr">
        <is>
          <t>深桑达Ａ</t>
        </is>
      </c>
      <c r="D222" t="inlineStr">
        <is>
          <t>年度财务</t>
        </is>
      </c>
      <c r="E222" t="inlineStr">
        <is>
          <t>东方财富</t>
        </is>
      </c>
      <c r="F222" t="inlineStr">
        <is>
          <t>RPT_LICO_FN_CPD + RPT_DMSK_FN_CASHFLOW；巨潮回退原因：未配置巨潮官方 API 凭证/端点（CNINFO_ACCESS_TOKEN、CNINFO_INCOME_API_URL、CNINFO_CASHFLOW_API_URL）</t>
        </is>
      </c>
      <c r="G222" s="32" t="n">
        <v>46263.25729063292</v>
      </c>
      <c r="H222" t="inlineStr">
        <is>
          <t>CNY</t>
        </is>
      </c>
      <c r="I222" t="inlineStr">
        <is>
          <t>CNY</t>
        </is>
      </c>
      <c r="J222" t="inlineStr">
        <is>
          <t>ok</t>
        </is>
      </c>
      <c r="L222" t="b">
        <v>1</v>
      </c>
      <c r="M222" t="inlineStr">
        <is>
          <t>巨潮资讯（CNINFO Data Service）</t>
        </is>
      </c>
      <c r="N222" t="b">
        <v>1</v>
      </c>
    </row>
    <row r="223">
      <c r="A223" t="inlineStr">
        <is>
          <t>A股</t>
        </is>
      </c>
      <c r="B223" t="inlineStr">
        <is>
          <t>000032</t>
        </is>
      </c>
      <c r="C223" t="inlineStr">
        <is>
          <t>深桑达Ａ</t>
        </is>
      </c>
      <c r="D223" t="inlineStr">
        <is>
          <t>上市与发行信息</t>
        </is>
      </c>
      <c r="E223" t="inlineStr">
        <is>
          <t>东方财富</t>
        </is>
      </c>
      <c r="F223" t="inlineStr">
        <is>
          <t>RPT_PCF10_ORG_ISSUEINFO</t>
        </is>
      </c>
      <c r="G223" s="32" t="n">
        <v>46263.25734710725</v>
      </c>
      <c r="H223" t="inlineStr">
        <is>
          <t>CNY</t>
        </is>
      </c>
      <c r="I223" t="inlineStr">
        <is>
          <t>CNY</t>
        </is>
      </c>
      <c r="J223" t="inlineStr">
        <is>
          <t>ok</t>
        </is>
      </c>
      <c r="L223" t="b">
        <v>0</v>
      </c>
      <c r="M223" t="inlineStr">
        <is>
          <t>东方财富</t>
        </is>
      </c>
      <c r="N223" t="b">
        <v>1</v>
      </c>
    </row>
    <row r="224">
      <c r="A224" t="inlineStr">
        <is>
          <t>A股</t>
        </is>
      </c>
      <c r="B224" t="inlineStr">
        <is>
          <t>000032</t>
        </is>
      </c>
      <c r="C224" t="inlineStr">
        <is>
          <t>深桑达Ａ</t>
        </is>
      </c>
      <c r="D224" t="inlineStr">
        <is>
          <t>资金流</t>
        </is>
      </c>
      <c r="E224" t="inlineStr">
        <is>
          <t>配置</t>
        </is>
      </c>
      <c r="F224" t="inlineStr">
        <is>
          <t>flow-mode-off</t>
        </is>
      </c>
      <c r="G224" s="32" t="n">
        <v>46263.25754607147</v>
      </c>
      <c r="I224" t="inlineStr">
        <is>
          <t>CNY</t>
        </is>
      </c>
      <c r="J224" t="inlineStr">
        <is>
          <t>optional_missing</t>
        </is>
      </c>
      <c r="K224" t="inlineStr">
        <is>
          <t>用户选择不抓取资金流</t>
        </is>
      </c>
      <c r="L224" t="b">
        <v>0</v>
      </c>
      <c r="M224" t="inlineStr">
        <is>
          <t>配置</t>
        </is>
      </c>
      <c r="N224" t="b">
        <v>0</v>
      </c>
    </row>
    <row r="225">
      <c r="A225" t="inlineStr">
        <is>
          <t>港股</t>
        </is>
      </c>
      <c r="B225" t="inlineStr">
        <is>
          <t>00027</t>
        </is>
      </c>
      <c r="C225" t="inlineStr">
        <is>
          <t>GALAXY ENT</t>
        </is>
      </c>
      <c r="D225" t="inlineStr">
        <is>
          <t>最新行情</t>
        </is>
      </c>
      <c r="E225" t="inlineStr">
        <is>
          <t>东方财富</t>
        </is>
      </c>
      <c r="F225" t="inlineStr">
        <is>
          <t>push2 ulist.np/get f2,f20（按指定证券分批）</t>
        </is>
      </c>
      <c r="G225" s="32" t="n">
        <v>46263.25725224894</v>
      </c>
      <c r="H225" t="inlineStr">
        <is>
          <t>HKD</t>
        </is>
      </c>
      <c r="I225" t="inlineStr">
        <is>
          <t>HKD</t>
        </is>
      </c>
      <c r="J225" t="inlineStr">
        <is>
          <t>ok</t>
        </is>
      </c>
      <c r="L225" t="b">
        <v>0</v>
      </c>
      <c r="M225" t="inlineStr">
        <is>
          <t>东方财富</t>
        </is>
      </c>
      <c r="N225" t="b">
        <v>1</v>
      </c>
    </row>
    <row r="226">
      <c r="A226" t="inlineStr">
        <is>
          <t>港股</t>
        </is>
      </c>
      <c r="B226" t="inlineStr">
        <is>
          <t>00027</t>
        </is>
      </c>
      <c r="C226" t="inlineStr">
        <is>
          <t>GALAXY ENT</t>
        </is>
      </c>
      <c r="D226" t="inlineStr">
        <is>
          <t>大宗交易</t>
        </is>
      </c>
      <c r="E226" t="inlineStr">
        <is>
          <t>东方财富</t>
        </is>
      </c>
      <c r="F226" t="inlineStr">
        <is>
          <t>not-applicable-hk</t>
        </is>
      </c>
      <c r="G226" s="32" t="n">
        <v>46263.25725433244</v>
      </c>
      <c r="I226" t="inlineStr">
        <is>
          <t>HKD</t>
        </is>
      </c>
      <c r="J226" t="inlineStr">
        <is>
          <t>optional_missing</t>
        </is>
      </c>
      <c r="K226" t="inlineStr">
        <is>
          <t>港股大宗交易按允许缺失规则留空</t>
        </is>
      </c>
      <c r="L226" t="b">
        <v>0</v>
      </c>
      <c r="M226" t="inlineStr">
        <is>
          <t>东方财富</t>
        </is>
      </c>
      <c r="N226" t="b">
        <v>1</v>
      </c>
    </row>
    <row r="227">
      <c r="A227" t="inlineStr">
        <is>
          <t>港股</t>
        </is>
      </c>
      <c r="B227" t="inlineStr">
        <is>
          <t>00027</t>
        </is>
      </c>
      <c r="C227" t="inlineStr">
        <is>
          <t>GALAXY ENT</t>
        </is>
      </c>
      <c r="D227" t="inlineStr">
        <is>
          <t>年度财务</t>
        </is>
      </c>
      <c r="E227" t="inlineStr">
        <is>
          <t>东方财富</t>
        </is>
      </c>
      <c r="F227" t="inlineStr">
        <is>
          <t>RPT_HKF10_FN_MAININDICATOR</t>
        </is>
      </c>
      <c r="G227" s="32" t="n">
        <v>46263.25728509545</v>
      </c>
      <c r="H227" t="inlineStr">
        <is>
          <t>HKD</t>
        </is>
      </c>
      <c r="I227" t="inlineStr">
        <is>
          <t>HKD</t>
        </is>
      </c>
      <c r="J227" t="inlineStr">
        <is>
          <t>ok</t>
        </is>
      </c>
      <c r="L227" t="b">
        <v>0</v>
      </c>
      <c r="M227" t="inlineStr">
        <is>
          <t>东方财富</t>
        </is>
      </c>
      <c r="N227" t="b">
        <v>1</v>
      </c>
    </row>
    <row r="228">
      <c r="A228" t="inlineStr">
        <is>
          <t>港股</t>
        </is>
      </c>
      <c r="B228" t="inlineStr">
        <is>
          <t>00027</t>
        </is>
      </c>
      <c r="C228" t="inlineStr">
        <is>
          <t>GALAXY ENT</t>
        </is>
      </c>
      <c r="D228" t="inlineStr">
        <is>
          <t>上市与发行信息</t>
        </is>
      </c>
      <c r="E228" t="inlineStr">
        <is>
          <t>东方财富</t>
        </is>
      </c>
      <c r="F228" t="inlineStr">
        <is>
          <t>RPT_HKF10_INFO_SECURITYINFO</t>
        </is>
      </c>
      <c r="G228" s="32" t="n">
        <v>46263.25734761298</v>
      </c>
      <c r="H228" t="inlineStr">
        <is>
          <t>HKD</t>
        </is>
      </c>
      <c r="I228" t="inlineStr">
        <is>
          <t>HKD</t>
        </is>
      </c>
      <c r="J228" t="inlineStr">
        <is>
          <t>ok</t>
        </is>
      </c>
      <c r="L228" t="b">
        <v>1</v>
      </c>
      <c r="M228" t="inlineStr">
        <is>
          <t>东方财富</t>
        </is>
      </c>
      <c r="N228" t="b">
        <v>1</v>
      </c>
    </row>
    <row r="229">
      <c r="A229" t="inlineStr">
        <is>
          <t>港股</t>
        </is>
      </c>
      <c r="B229" t="inlineStr">
        <is>
          <t>00027</t>
        </is>
      </c>
      <c r="C229" t="inlineStr">
        <is>
          <t>GALAXY ENT</t>
        </is>
      </c>
      <c r="D229" t="inlineStr">
        <is>
          <t>资金流</t>
        </is>
      </c>
      <c r="E229" t="inlineStr">
        <is>
          <t>配置</t>
        </is>
      </c>
      <c r="F229" t="inlineStr">
        <is>
          <t>flow-mode-off</t>
        </is>
      </c>
      <c r="G229" s="32" t="n">
        <v>46263.25754607147</v>
      </c>
      <c r="I229" t="inlineStr">
        <is>
          <t>HKD</t>
        </is>
      </c>
      <c r="J229" t="inlineStr">
        <is>
          <t>optional_missing</t>
        </is>
      </c>
      <c r="K229" t="inlineStr">
        <is>
          <t>用户选择不抓取资金流</t>
        </is>
      </c>
      <c r="L229" t="b">
        <v>0</v>
      </c>
      <c r="M229" t="inlineStr">
        <is>
          <t>配置</t>
        </is>
      </c>
      <c r="N229" t="b">
        <v>0</v>
      </c>
    </row>
    <row r="230">
      <c r="A230" t="inlineStr">
        <is>
          <t>A股</t>
        </is>
      </c>
      <c r="B230" t="inlineStr">
        <is>
          <t>000034</t>
        </is>
      </c>
      <c r="C230" t="inlineStr">
        <is>
          <t>神州数码</t>
        </is>
      </c>
      <c r="D230" t="inlineStr">
        <is>
          <t>最新行情</t>
        </is>
      </c>
      <c r="E230" t="inlineStr">
        <is>
          <t>东方财富</t>
        </is>
      </c>
      <c r="F230" t="inlineStr">
        <is>
          <t>push2 ulist.np/get f2,f20（按指定证券分批）</t>
        </is>
      </c>
      <c r="G230" s="32" t="n">
        <v>46263.25725224894</v>
      </c>
      <c r="H230" t="inlineStr">
        <is>
          <t>CNY</t>
        </is>
      </c>
      <c r="I230" t="inlineStr">
        <is>
          <t>CNY</t>
        </is>
      </c>
      <c r="J230" t="inlineStr">
        <is>
          <t>ok</t>
        </is>
      </c>
      <c r="L230" t="b">
        <v>0</v>
      </c>
      <c r="M230" t="inlineStr">
        <is>
          <t>东方财富</t>
        </is>
      </c>
      <c r="N230" t="b">
        <v>1</v>
      </c>
    </row>
    <row r="231">
      <c r="A231" t="inlineStr">
        <is>
          <t>A股</t>
        </is>
      </c>
      <c r="B231" t="inlineStr">
        <is>
          <t>000034</t>
        </is>
      </c>
      <c r="C231" t="inlineStr">
        <is>
          <t>神州数码</t>
        </is>
      </c>
      <c r="D231" t="inlineStr">
        <is>
          <t>大宗交易</t>
        </is>
      </c>
      <c r="E231" t="inlineStr">
        <is>
          <t>东方财富</t>
        </is>
      </c>
      <c r="F231" t="inlineStr">
        <is>
          <t>RPT_DATA_BLOCKTRADE 2026（全市场分页后本地聚合）</t>
        </is>
      </c>
      <c r="G231" s="32" t="n">
        <v>46263.25725717999</v>
      </c>
      <c r="H231" t="inlineStr">
        <is>
          <t>CNY</t>
        </is>
      </c>
      <c r="I231" t="inlineStr">
        <is>
          <t>CNY</t>
        </is>
      </c>
      <c r="J231" t="inlineStr">
        <is>
          <t>ok</t>
        </is>
      </c>
      <c r="L231" t="b">
        <v>0</v>
      </c>
      <c r="M231" t="inlineStr">
        <is>
          <t>东方财富</t>
        </is>
      </c>
      <c r="N231" t="b">
        <v>1</v>
      </c>
    </row>
    <row r="232">
      <c r="A232" t="inlineStr">
        <is>
          <t>A股</t>
        </is>
      </c>
      <c r="B232" t="inlineStr">
        <is>
          <t>000034</t>
        </is>
      </c>
      <c r="C232" t="inlineStr">
        <is>
          <t>神州数码</t>
        </is>
      </c>
      <c r="D232" t="inlineStr">
        <is>
          <t>年度财务</t>
        </is>
      </c>
      <c r="E232" t="inlineStr">
        <is>
          <t>东方财富</t>
        </is>
      </c>
      <c r="F232" t="inlineStr">
        <is>
          <t>RPT_LICO_FN_CPD + RPT_DMSK_FN_CASHFLOW；巨潮回退原因：未配置巨潮官方 API 凭证/端点（CNINFO_ACCESS_TOKEN、CNINFO_INCOME_API_URL、CNINFO_CASHFLOW_API_URL）</t>
        </is>
      </c>
      <c r="G232" s="32" t="n">
        <v>46263.25729162868</v>
      </c>
      <c r="H232" t="inlineStr">
        <is>
          <t>CNY</t>
        </is>
      </c>
      <c r="I232" t="inlineStr">
        <is>
          <t>CNY</t>
        </is>
      </c>
      <c r="J232" t="inlineStr">
        <is>
          <t>ok</t>
        </is>
      </c>
      <c r="L232" t="b">
        <v>1</v>
      </c>
      <c r="M232" t="inlineStr">
        <is>
          <t>巨潮资讯（CNINFO Data Service）</t>
        </is>
      </c>
      <c r="N232" t="b">
        <v>1</v>
      </c>
    </row>
    <row r="233">
      <c r="A233" t="inlineStr">
        <is>
          <t>A股</t>
        </is>
      </c>
      <c r="B233" t="inlineStr">
        <is>
          <t>000034</t>
        </is>
      </c>
      <c r="C233" t="inlineStr">
        <is>
          <t>神州数码</t>
        </is>
      </c>
      <c r="D233" t="inlineStr">
        <is>
          <t>上市与发行信息</t>
        </is>
      </c>
      <c r="E233" t="inlineStr">
        <is>
          <t>东方财富</t>
        </is>
      </c>
      <c r="F233" t="inlineStr">
        <is>
          <t>RPT_PCF10_ORG_ISSUEINFO</t>
        </is>
      </c>
      <c r="G233" s="32" t="n">
        <v>46263.25734816858</v>
      </c>
      <c r="H233" t="inlineStr">
        <is>
          <t>CNY</t>
        </is>
      </c>
      <c r="I233" t="inlineStr">
        <is>
          <t>CNY</t>
        </is>
      </c>
      <c r="J233" t="inlineStr">
        <is>
          <t>ok</t>
        </is>
      </c>
      <c r="L233" t="b">
        <v>0</v>
      </c>
      <c r="M233" t="inlineStr">
        <is>
          <t>东方财富</t>
        </is>
      </c>
      <c r="N233" t="b">
        <v>1</v>
      </c>
    </row>
    <row r="234">
      <c r="A234" t="inlineStr">
        <is>
          <t>A股</t>
        </is>
      </c>
      <c r="B234" t="inlineStr">
        <is>
          <t>000034</t>
        </is>
      </c>
      <c r="C234" t="inlineStr">
        <is>
          <t>神州数码</t>
        </is>
      </c>
      <c r="D234" t="inlineStr">
        <is>
          <t>资金流</t>
        </is>
      </c>
      <c r="E234" t="inlineStr">
        <is>
          <t>配置</t>
        </is>
      </c>
      <c r="F234" t="inlineStr">
        <is>
          <t>flow-mode-off</t>
        </is>
      </c>
      <c r="G234" s="32" t="n">
        <v>46263.25754607147</v>
      </c>
      <c r="I234" t="inlineStr">
        <is>
          <t>CNY</t>
        </is>
      </c>
      <c r="J234" t="inlineStr">
        <is>
          <t>optional_missing</t>
        </is>
      </c>
      <c r="K234" t="inlineStr">
        <is>
          <t>用户选择不抓取资金流</t>
        </is>
      </c>
      <c r="L234" t="b">
        <v>0</v>
      </c>
      <c r="M234" t="inlineStr">
        <is>
          <t>配置</t>
        </is>
      </c>
      <c r="N234" t="b">
        <v>0</v>
      </c>
    </row>
    <row r="235">
      <c r="A235" t="inlineStr">
        <is>
          <t>港股</t>
        </is>
      </c>
      <c r="B235" t="inlineStr">
        <is>
          <t>00028</t>
        </is>
      </c>
      <c r="C235" t="inlineStr">
        <is>
          <t>TIAN AN</t>
        </is>
      </c>
      <c r="D235" t="inlineStr">
        <is>
          <t>最新行情</t>
        </is>
      </c>
      <c r="E235" t="inlineStr">
        <is>
          <t>东方财富</t>
        </is>
      </c>
      <c r="F235" t="inlineStr">
        <is>
          <t>push2 ulist.np/get f2,f20（按指定证券分批）</t>
        </is>
      </c>
      <c r="G235" s="32" t="n">
        <v>46263.25725224894</v>
      </c>
      <c r="H235" t="inlineStr">
        <is>
          <t>HKD</t>
        </is>
      </c>
      <c r="I235" t="inlineStr">
        <is>
          <t>HKD</t>
        </is>
      </c>
      <c r="J235" t="inlineStr">
        <is>
          <t>ok</t>
        </is>
      </c>
      <c r="L235" t="b">
        <v>0</v>
      </c>
      <c r="M235" t="inlineStr">
        <is>
          <t>东方财富</t>
        </is>
      </c>
      <c r="N235" t="b">
        <v>1</v>
      </c>
    </row>
    <row r="236">
      <c r="A236" t="inlineStr">
        <is>
          <t>港股</t>
        </is>
      </c>
      <c r="B236" t="inlineStr">
        <is>
          <t>00028</t>
        </is>
      </c>
      <c r="C236" t="inlineStr">
        <is>
          <t>TIAN AN</t>
        </is>
      </c>
      <c r="D236" t="inlineStr">
        <is>
          <t>大宗交易</t>
        </is>
      </c>
      <c r="E236" t="inlineStr">
        <is>
          <t>东方财富</t>
        </is>
      </c>
      <c r="F236" t="inlineStr">
        <is>
          <t>not-applicable-hk</t>
        </is>
      </c>
      <c r="G236" s="32" t="n">
        <v>46263.25725433244</v>
      </c>
      <c r="I236" t="inlineStr">
        <is>
          <t>HKD</t>
        </is>
      </c>
      <c r="J236" t="inlineStr">
        <is>
          <t>optional_missing</t>
        </is>
      </c>
      <c r="K236" t="inlineStr">
        <is>
          <t>港股大宗交易按允许缺失规则留空</t>
        </is>
      </c>
      <c r="L236" t="b">
        <v>0</v>
      </c>
      <c r="M236" t="inlineStr">
        <is>
          <t>东方财富</t>
        </is>
      </c>
      <c r="N236" t="b">
        <v>1</v>
      </c>
    </row>
    <row r="237">
      <c r="A237" t="inlineStr">
        <is>
          <t>港股</t>
        </is>
      </c>
      <c r="B237" t="inlineStr">
        <is>
          <t>00028</t>
        </is>
      </c>
      <c r="C237" t="inlineStr">
        <is>
          <t>TIAN AN</t>
        </is>
      </c>
      <c r="D237" t="inlineStr">
        <is>
          <t>年度财务</t>
        </is>
      </c>
      <c r="E237" t="inlineStr">
        <is>
          <t>东方财富</t>
        </is>
      </c>
      <c r="F237" t="inlineStr">
        <is>
          <t>RPT_HKF10_FN_MAININDICATOR</t>
        </is>
      </c>
      <c r="G237" s="32" t="n">
        <v>46263.25728632352</v>
      </c>
      <c r="H237" t="inlineStr">
        <is>
          <t>HKD</t>
        </is>
      </c>
      <c r="I237" t="inlineStr">
        <is>
          <t>HKD</t>
        </is>
      </c>
      <c r="J237" t="inlineStr">
        <is>
          <t>ok</t>
        </is>
      </c>
      <c r="L237" t="b">
        <v>0</v>
      </c>
      <c r="M237" t="inlineStr">
        <is>
          <t>东方财富</t>
        </is>
      </c>
      <c r="N237" t="b">
        <v>1</v>
      </c>
    </row>
    <row r="238">
      <c r="A238" t="inlineStr">
        <is>
          <t>港股</t>
        </is>
      </c>
      <c r="B238" t="inlineStr">
        <is>
          <t>00028</t>
        </is>
      </c>
      <c r="C238" t="inlineStr">
        <is>
          <t>TIAN AN</t>
        </is>
      </c>
      <c r="D238" t="inlineStr">
        <is>
          <t>上市与发行信息</t>
        </is>
      </c>
      <c r="E238" t="inlineStr">
        <is>
          <t>东方财富</t>
        </is>
      </c>
      <c r="F238" t="inlineStr">
        <is>
          <t>RPT_HKF10_INFO_SECURITYINFO</t>
        </is>
      </c>
      <c r="G238" s="32" t="n">
        <v>46263.25734880858</v>
      </c>
      <c r="H238" t="inlineStr">
        <is>
          <t>HKD</t>
        </is>
      </c>
      <c r="I238" t="inlineStr">
        <is>
          <t>HKD</t>
        </is>
      </c>
      <c r="J238" t="inlineStr">
        <is>
          <t>ok</t>
        </is>
      </c>
      <c r="L238" t="b">
        <v>0</v>
      </c>
      <c r="M238" t="inlineStr">
        <is>
          <t>东方财富</t>
        </is>
      </c>
      <c r="N238" t="b">
        <v>1</v>
      </c>
    </row>
    <row r="239">
      <c r="A239" t="inlineStr">
        <is>
          <t>港股</t>
        </is>
      </c>
      <c r="B239" t="inlineStr">
        <is>
          <t>00028</t>
        </is>
      </c>
      <c r="C239" t="inlineStr">
        <is>
          <t>TIAN AN</t>
        </is>
      </c>
      <c r="D239" t="inlineStr">
        <is>
          <t>资金流</t>
        </is>
      </c>
      <c r="E239" t="inlineStr">
        <is>
          <t>配置</t>
        </is>
      </c>
      <c r="F239" t="inlineStr">
        <is>
          <t>flow-mode-off</t>
        </is>
      </c>
      <c r="G239" s="32" t="n">
        <v>46263.25754607147</v>
      </c>
      <c r="I239" t="inlineStr">
        <is>
          <t>HKD</t>
        </is>
      </c>
      <c r="J239" t="inlineStr">
        <is>
          <t>optional_missing</t>
        </is>
      </c>
      <c r="K239" t="inlineStr">
        <is>
          <t>用户选择不抓取资金流</t>
        </is>
      </c>
      <c r="L239" t="b">
        <v>0</v>
      </c>
      <c r="M239" t="inlineStr">
        <is>
          <t>配置</t>
        </is>
      </c>
      <c r="N239" t="b">
        <v>0</v>
      </c>
    </row>
    <row r="240">
      <c r="A240" t="inlineStr">
        <is>
          <t>A股</t>
        </is>
      </c>
      <c r="B240" t="inlineStr">
        <is>
          <t>000035</t>
        </is>
      </c>
      <c r="C240" t="inlineStr">
        <is>
          <t>中国天楹</t>
        </is>
      </c>
      <c r="D240" t="inlineStr">
        <is>
          <t>最新行情</t>
        </is>
      </c>
      <c r="E240" t="inlineStr">
        <is>
          <t>东方财富</t>
        </is>
      </c>
      <c r="F240" t="inlineStr">
        <is>
          <t>push2 ulist.np/get f2,f20（按指定证券分批）</t>
        </is>
      </c>
      <c r="G240" s="32" t="n">
        <v>46263.25725224894</v>
      </c>
      <c r="H240" t="inlineStr">
        <is>
          <t>CNY</t>
        </is>
      </c>
      <c r="I240" t="inlineStr">
        <is>
          <t>CNY</t>
        </is>
      </c>
      <c r="J240" t="inlineStr">
        <is>
          <t>ok</t>
        </is>
      </c>
      <c r="L240" t="b">
        <v>0</v>
      </c>
      <c r="M240" t="inlineStr">
        <is>
          <t>东方财富</t>
        </is>
      </c>
      <c r="N240" t="b">
        <v>1</v>
      </c>
    </row>
    <row r="241">
      <c r="A241" t="inlineStr">
        <is>
          <t>A股</t>
        </is>
      </c>
      <c r="B241" t="inlineStr">
        <is>
          <t>000035</t>
        </is>
      </c>
      <c r="C241" t="inlineStr">
        <is>
          <t>中国天楹</t>
        </is>
      </c>
      <c r="D241" t="inlineStr">
        <is>
          <t>大宗交易</t>
        </is>
      </c>
      <c r="E241" t="inlineStr">
        <is>
          <t>东方财富</t>
        </is>
      </c>
      <c r="F241" t="inlineStr">
        <is>
          <t>RPT_DATA_BLOCKTRADE 2026（全市场分页后本地聚合）</t>
        </is>
      </c>
      <c r="G241" s="32" t="n">
        <v>46263.25725717999</v>
      </c>
      <c r="H241" t="inlineStr">
        <is>
          <t>CNY</t>
        </is>
      </c>
      <c r="I241" t="inlineStr">
        <is>
          <t>CNY</t>
        </is>
      </c>
      <c r="J241" t="inlineStr">
        <is>
          <t>ok</t>
        </is>
      </c>
      <c r="L241" t="b">
        <v>0</v>
      </c>
      <c r="M241" t="inlineStr">
        <is>
          <t>东方财富</t>
        </is>
      </c>
      <c r="N241" t="b">
        <v>1</v>
      </c>
    </row>
    <row r="242">
      <c r="A242" t="inlineStr">
        <is>
          <t>A股</t>
        </is>
      </c>
      <c r="B242" t="inlineStr">
        <is>
          <t>000035</t>
        </is>
      </c>
      <c r="C242" t="inlineStr">
        <is>
          <t>中国天楹</t>
        </is>
      </c>
      <c r="D242" t="inlineStr">
        <is>
          <t>年度财务</t>
        </is>
      </c>
      <c r="E242" t="inlineStr">
        <is>
          <t>东方财富</t>
        </is>
      </c>
      <c r="F242" t="inlineStr">
        <is>
          <t>RPT_LICO_FN_CPD + RPT_DMSK_FN_CASHFLOW；巨潮回退原因：未配置巨潮官方 API 凭证/端点（CNINFO_ACCESS_TOKEN、CNINFO_INCOME_API_URL、CNINFO_CASHFLOW_API_URL）</t>
        </is>
      </c>
      <c r="G242" s="32" t="n">
        <v>46263.25729306597</v>
      </c>
      <c r="H242" t="inlineStr">
        <is>
          <t>CNY</t>
        </is>
      </c>
      <c r="I242" t="inlineStr">
        <is>
          <t>CNY</t>
        </is>
      </c>
      <c r="J242" t="inlineStr">
        <is>
          <t>ok</t>
        </is>
      </c>
      <c r="L242" t="b">
        <v>1</v>
      </c>
      <c r="M242" t="inlineStr">
        <is>
          <t>巨潮资讯（CNINFO Data Service）</t>
        </is>
      </c>
      <c r="N242" t="b">
        <v>1</v>
      </c>
    </row>
    <row r="243">
      <c r="A243" t="inlineStr">
        <is>
          <t>A股</t>
        </is>
      </c>
      <c r="B243" t="inlineStr">
        <is>
          <t>000035</t>
        </is>
      </c>
      <c r="C243" t="inlineStr">
        <is>
          <t>中国天楹</t>
        </is>
      </c>
      <c r="D243" t="inlineStr">
        <is>
          <t>上市与发行信息</t>
        </is>
      </c>
      <c r="E243" t="inlineStr">
        <is>
          <t>东方财富</t>
        </is>
      </c>
      <c r="F243" t="inlineStr">
        <is>
          <t>RPT_PCF10_ORG_ISSUEINFO</t>
        </is>
      </c>
      <c r="G243" s="32" t="n">
        <v>46263.25734937256</v>
      </c>
      <c r="H243" t="inlineStr">
        <is>
          <t>CNY</t>
        </is>
      </c>
      <c r="I243" t="inlineStr">
        <is>
          <t>CNY</t>
        </is>
      </c>
      <c r="J243" t="inlineStr">
        <is>
          <t>ok</t>
        </is>
      </c>
      <c r="L243" t="b">
        <v>0</v>
      </c>
      <c r="M243" t="inlineStr">
        <is>
          <t>东方财富</t>
        </is>
      </c>
      <c r="N243" t="b">
        <v>1</v>
      </c>
    </row>
    <row r="244">
      <c r="A244" t="inlineStr">
        <is>
          <t>A股</t>
        </is>
      </c>
      <c r="B244" t="inlineStr">
        <is>
          <t>000035</t>
        </is>
      </c>
      <c r="C244" t="inlineStr">
        <is>
          <t>中国天楹</t>
        </is>
      </c>
      <c r="D244" t="inlineStr">
        <is>
          <t>资金流</t>
        </is>
      </c>
      <c r="E244" t="inlineStr">
        <is>
          <t>配置</t>
        </is>
      </c>
      <c r="F244" t="inlineStr">
        <is>
          <t>flow-mode-off</t>
        </is>
      </c>
      <c r="G244" s="32" t="n">
        <v>46263.25754607147</v>
      </c>
      <c r="I244" t="inlineStr">
        <is>
          <t>CNY</t>
        </is>
      </c>
      <c r="J244" t="inlineStr">
        <is>
          <t>optional_missing</t>
        </is>
      </c>
      <c r="K244" t="inlineStr">
        <is>
          <t>用户选择不抓取资金流</t>
        </is>
      </c>
      <c r="L244" t="b">
        <v>0</v>
      </c>
      <c r="M244" t="inlineStr">
        <is>
          <t>配置</t>
        </is>
      </c>
      <c r="N244" t="b">
        <v>0</v>
      </c>
    </row>
    <row r="245">
      <c r="A245" t="inlineStr">
        <is>
          <t>港股</t>
        </is>
      </c>
      <c r="B245" t="inlineStr">
        <is>
          <t>00029</t>
        </is>
      </c>
      <c r="C245" t="inlineStr">
        <is>
          <t>DYNAMIC HOLD</t>
        </is>
      </c>
      <c r="D245" t="inlineStr">
        <is>
          <t>最新行情</t>
        </is>
      </c>
      <c r="E245" t="inlineStr">
        <is>
          <t>东方财富</t>
        </is>
      </c>
      <c r="F245" t="inlineStr">
        <is>
          <t>push2 ulist.np/get f2,f20（按指定证券分批）</t>
        </is>
      </c>
      <c r="G245" s="32" t="n">
        <v>46263.25725224894</v>
      </c>
      <c r="H245" t="inlineStr">
        <is>
          <t>HKD</t>
        </is>
      </c>
      <c r="I245" t="inlineStr">
        <is>
          <t>HKD</t>
        </is>
      </c>
      <c r="J245" t="inlineStr">
        <is>
          <t>ok</t>
        </is>
      </c>
      <c r="L245" t="b">
        <v>0</v>
      </c>
      <c r="M245" t="inlineStr">
        <is>
          <t>东方财富</t>
        </is>
      </c>
      <c r="N245" t="b">
        <v>1</v>
      </c>
    </row>
    <row r="246">
      <c r="A246" t="inlineStr">
        <is>
          <t>港股</t>
        </is>
      </c>
      <c r="B246" t="inlineStr">
        <is>
          <t>00029</t>
        </is>
      </c>
      <c r="C246" t="inlineStr">
        <is>
          <t>DYNAMIC HOLD</t>
        </is>
      </c>
      <c r="D246" t="inlineStr">
        <is>
          <t>大宗交易</t>
        </is>
      </c>
      <c r="E246" t="inlineStr">
        <is>
          <t>东方财富</t>
        </is>
      </c>
      <c r="F246" t="inlineStr">
        <is>
          <t>not-applicable-hk</t>
        </is>
      </c>
      <c r="G246" s="32" t="n">
        <v>46263.25725433244</v>
      </c>
      <c r="I246" t="inlineStr">
        <is>
          <t>HKD</t>
        </is>
      </c>
      <c r="J246" t="inlineStr">
        <is>
          <t>optional_missing</t>
        </is>
      </c>
      <c r="K246" t="inlineStr">
        <is>
          <t>港股大宗交易按允许缺失规则留空</t>
        </is>
      </c>
      <c r="L246" t="b">
        <v>0</v>
      </c>
      <c r="M246" t="inlineStr">
        <is>
          <t>东方财富</t>
        </is>
      </c>
      <c r="N246" t="b">
        <v>1</v>
      </c>
    </row>
    <row r="247">
      <c r="A247" t="inlineStr">
        <is>
          <t>港股</t>
        </is>
      </c>
      <c r="B247" t="inlineStr">
        <is>
          <t>00029</t>
        </is>
      </c>
      <c r="C247" t="inlineStr">
        <is>
          <t>DYNAMIC HOLD</t>
        </is>
      </c>
      <c r="D247" t="inlineStr">
        <is>
          <t>年度财务</t>
        </is>
      </c>
      <c r="E247" t="inlineStr">
        <is>
          <t>东方财富</t>
        </is>
      </c>
      <c r="F247" t="inlineStr">
        <is>
          <t>RPT_HKF10_FN_MAININDICATOR</t>
        </is>
      </c>
      <c r="G247" s="32" t="n">
        <v>46263.25728770538</v>
      </c>
      <c r="H247" t="inlineStr">
        <is>
          <t>HKD</t>
        </is>
      </c>
      <c r="I247" t="inlineStr">
        <is>
          <t>HKD</t>
        </is>
      </c>
      <c r="J247" t="inlineStr">
        <is>
          <t>ok</t>
        </is>
      </c>
      <c r="L247" t="b">
        <v>0</v>
      </c>
      <c r="M247" t="inlineStr">
        <is>
          <t>东方财富</t>
        </is>
      </c>
      <c r="N247" t="b">
        <v>1</v>
      </c>
    </row>
    <row r="248">
      <c r="A248" t="inlineStr">
        <is>
          <t>港股</t>
        </is>
      </c>
      <c r="B248" t="inlineStr">
        <is>
          <t>00029</t>
        </is>
      </c>
      <c r="C248" t="inlineStr">
        <is>
          <t>DYNAMIC HOLD</t>
        </is>
      </c>
      <c r="D248" t="inlineStr">
        <is>
          <t>上市与发行信息</t>
        </is>
      </c>
      <c r="E248" t="inlineStr">
        <is>
          <t>东方财富</t>
        </is>
      </c>
      <c r="F248" t="inlineStr">
        <is>
          <t>RPT_HKF10_INFO_SECURITYINFO</t>
        </is>
      </c>
      <c r="G248" s="32" t="n">
        <v>46263.25735091299</v>
      </c>
      <c r="H248" t="inlineStr">
        <is>
          <t>HKD</t>
        </is>
      </c>
      <c r="I248" t="inlineStr">
        <is>
          <t>HKD</t>
        </is>
      </c>
      <c r="J248" t="inlineStr">
        <is>
          <t>ok</t>
        </is>
      </c>
      <c r="L248" t="b">
        <v>0</v>
      </c>
      <c r="M248" t="inlineStr">
        <is>
          <t>东方财富</t>
        </is>
      </c>
      <c r="N248" t="b">
        <v>1</v>
      </c>
    </row>
    <row r="249">
      <c r="A249" t="inlineStr">
        <is>
          <t>港股</t>
        </is>
      </c>
      <c r="B249" t="inlineStr">
        <is>
          <t>00029</t>
        </is>
      </c>
      <c r="C249" t="inlineStr">
        <is>
          <t>DYNAMIC HOLD</t>
        </is>
      </c>
      <c r="D249" t="inlineStr">
        <is>
          <t>资金流</t>
        </is>
      </c>
      <c r="E249" t="inlineStr">
        <is>
          <t>配置</t>
        </is>
      </c>
      <c r="F249" t="inlineStr">
        <is>
          <t>flow-mode-off</t>
        </is>
      </c>
      <c r="G249" s="32" t="n">
        <v>46263.25754607147</v>
      </c>
      <c r="I249" t="inlineStr">
        <is>
          <t>HKD</t>
        </is>
      </c>
      <c r="J249" t="inlineStr">
        <is>
          <t>optional_missing</t>
        </is>
      </c>
      <c r="K249" t="inlineStr">
        <is>
          <t>用户选择不抓取资金流</t>
        </is>
      </c>
      <c r="L249" t="b">
        <v>0</v>
      </c>
      <c r="M249" t="inlineStr">
        <is>
          <t>配置</t>
        </is>
      </c>
      <c r="N249" t="b">
        <v>0</v>
      </c>
    </row>
    <row r="250">
      <c r="A250" t="inlineStr">
        <is>
          <t>A股</t>
        </is>
      </c>
      <c r="B250" t="inlineStr">
        <is>
          <t>000036</t>
        </is>
      </c>
      <c r="C250" t="inlineStr">
        <is>
          <t>华联控股</t>
        </is>
      </c>
      <c r="D250" t="inlineStr">
        <is>
          <t>最新行情</t>
        </is>
      </c>
      <c r="E250" t="inlineStr">
        <is>
          <t>东方财富</t>
        </is>
      </c>
      <c r="F250" t="inlineStr">
        <is>
          <t>push2 ulist.np/get f2,f20（按指定证券分批）</t>
        </is>
      </c>
      <c r="G250" s="32" t="n">
        <v>46263.25725224894</v>
      </c>
      <c r="H250" t="inlineStr">
        <is>
          <t>CNY</t>
        </is>
      </c>
      <c r="I250" t="inlineStr">
        <is>
          <t>CNY</t>
        </is>
      </c>
      <c r="J250" t="inlineStr">
        <is>
          <t>ok</t>
        </is>
      </c>
      <c r="L250" t="b">
        <v>0</v>
      </c>
      <c r="M250" t="inlineStr">
        <is>
          <t>东方财富</t>
        </is>
      </c>
      <c r="N250" t="b">
        <v>1</v>
      </c>
    </row>
    <row r="251">
      <c r="A251" t="inlineStr">
        <is>
          <t>A股</t>
        </is>
      </c>
      <c r="B251" t="inlineStr">
        <is>
          <t>000036</t>
        </is>
      </c>
      <c r="C251" t="inlineStr">
        <is>
          <t>华联控股</t>
        </is>
      </c>
      <c r="D251" t="inlineStr">
        <is>
          <t>大宗交易</t>
        </is>
      </c>
      <c r="E251" t="inlineStr">
        <is>
          <t>东方财富</t>
        </is>
      </c>
      <c r="F251" t="inlineStr">
        <is>
          <t>RPT_DATA_BLOCKTRADE 2026（全市场分页后本地聚合）</t>
        </is>
      </c>
      <c r="G251" s="32" t="n">
        <v>46263.25725717999</v>
      </c>
      <c r="H251" t="inlineStr">
        <is>
          <t>CNY</t>
        </is>
      </c>
      <c r="I251" t="inlineStr">
        <is>
          <t>CNY</t>
        </is>
      </c>
      <c r="J251" t="inlineStr">
        <is>
          <t>ok</t>
        </is>
      </c>
      <c r="L251" t="b">
        <v>0</v>
      </c>
      <c r="M251" t="inlineStr">
        <is>
          <t>东方财富</t>
        </is>
      </c>
      <c r="N251" t="b">
        <v>1</v>
      </c>
    </row>
    <row r="252">
      <c r="A252" t="inlineStr">
        <is>
          <t>A股</t>
        </is>
      </c>
      <c r="B252" t="inlineStr">
        <is>
          <t>000036</t>
        </is>
      </c>
      <c r="C252" t="inlineStr">
        <is>
          <t>华联控股</t>
        </is>
      </c>
      <c r="D252" t="inlineStr">
        <is>
          <t>年度财务</t>
        </is>
      </c>
      <c r="E252" t="inlineStr">
        <is>
          <t>东方财富</t>
        </is>
      </c>
      <c r="F252" t="inlineStr">
        <is>
          <t>RPT_LICO_FN_CPD + RPT_DMSK_FN_CASHFLOW；巨潮回退原因：未配置巨潮官方 API 凭证/端点（CNINFO_ACCESS_TOKEN、CNINFO_INCOME_API_URL、CNINFO_CASHFLOW_API_URL）</t>
        </is>
      </c>
      <c r="G252" s="32" t="n">
        <v>46263.25729494528</v>
      </c>
      <c r="H252" t="inlineStr">
        <is>
          <t>CNY</t>
        </is>
      </c>
      <c r="I252" t="inlineStr">
        <is>
          <t>CNY</t>
        </is>
      </c>
      <c r="J252" t="inlineStr">
        <is>
          <t>ok</t>
        </is>
      </c>
      <c r="L252" t="b">
        <v>1</v>
      </c>
      <c r="M252" t="inlineStr">
        <is>
          <t>巨潮资讯（CNINFO Data Service）</t>
        </is>
      </c>
      <c r="N252" t="b">
        <v>1</v>
      </c>
    </row>
    <row r="253">
      <c r="A253" t="inlineStr">
        <is>
          <t>A股</t>
        </is>
      </c>
      <c r="B253" t="inlineStr">
        <is>
          <t>000036</t>
        </is>
      </c>
      <c r="C253" t="inlineStr">
        <is>
          <t>华联控股</t>
        </is>
      </c>
      <c r="D253" t="inlineStr">
        <is>
          <t>上市与发行信息</t>
        </is>
      </c>
      <c r="E253" t="inlineStr">
        <is>
          <t>东方财富</t>
        </is>
      </c>
      <c r="F253" t="inlineStr">
        <is>
          <t>RPT_PCF10_ORG_ISSUEINFO</t>
        </is>
      </c>
      <c r="G253" s="32" t="n">
        <v>46263.25735092437</v>
      </c>
      <c r="H253" t="inlineStr">
        <is>
          <t>CNY</t>
        </is>
      </c>
      <c r="I253" t="inlineStr">
        <is>
          <t>CNY</t>
        </is>
      </c>
      <c r="J253" t="inlineStr">
        <is>
          <t>ok</t>
        </is>
      </c>
      <c r="L253" t="b">
        <v>0</v>
      </c>
      <c r="M253" t="inlineStr">
        <is>
          <t>东方财富</t>
        </is>
      </c>
      <c r="N253" t="b">
        <v>1</v>
      </c>
    </row>
    <row r="254">
      <c r="A254" t="inlineStr">
        <is>
          <t>A股</t>
        </is>
      </c>
      <c r="B254" t="inlineStr">
        <is>
          <t>000036</t>
        </is>
      </c>
      <c r="C254" t="inlineStr">
        <is>
          <t>华联控股</t>
        </is>
      </c>
      <c r="D254" t="inlineStr">
        <is>
          <t>资金流</t>
        </is>
      </c>
      <c r="E254" t="inlineStr">
        <is>
          <t>配置</t>
        </is>
      </c>
      <c r="F254" t="inlineStr">
        <is>
          <t>flow-mode-off</t>
        </is>
      </c>
      <c r="G254" s="32" t="n">
        <v>46263.25754607147</v>
      </c>
      <c r="I254" t="inlineStr">
        <is>
          <t>CNY</t>
        </is>
      </c>
      <c r="J254" t="inlineStr">
        <is>
          <t>optional_missing</t>
        </is>
      </c>
      <c r="K254" t="inlineStr">
        <is>
          <t>用户选择不抓取资金流</t>
        </is>
      </c>
      <c r="L254" t="b">
        <v>0</v>
      </c>
      <c r="M254" t="inlineStr">
        <is>
          <t>配置</t>
        </is>
      </c>
      <c r="N254" t="b">
        <v>0</v>
      </c>
    </row>
    <row r="255">
      <c r="A255" t="inlineStr">
        <is>
          <t>港股</t>
        </is>
      </c>
      <c r="B255" t="inlineStr">
        <is>
          <t>00030</t>
        </is>
      </c>
      <c r="C255" t="inlineStr">
        <is>
          <t>YNBY INTL</t>
        </is>
      </c>
      <c r="D255" t="inlineStr">
        <is>
          <t>最新行情</t>
        </is>
      </c>
      <c r="E255" t="inlineStr">
        <is>
          <t>东方财富</t>
        </is>
      </c>
      <c r="F255" t="inlineStr">
        <is>
          <t>push2 ulist.np/get f2,f20（按指定证券分批）</t>
        </is>
      </c>
      <c r="G255" s="32" t="n">
        <v>46263.25725224894</v>
      </c>
      <c r="H255" t="inlineStr">
        <is>
          <t>HKD</t>
        </is>
      </c>
      <c r="I255" t="inlineStr">
        <is>
          <t>HKD</t>
        </is>
      </c>
      <c r="J255" t="inlineStr">
        <is>
          <t>ok</t>
        </is>
      </c>
      <c r="L255" t="b">
        <v>0</v>
      </c>
      <c r="M255" t="inlineStr">
        <is>
          <t>东方财富</t>
        </is>
      </c>
      <c r="N255" t="b">
        <v>1</v>
      </c>
    </row>
    <row r="256">
      <c r="A256" t="inlineStr">
        <is>
          <t>港股</t>
        </is>
      </c>
      <c r="B256" t="inlineStr">
        <is>
          <t>00030</t>
        </is>
      </c>
      <c r="C256" t="inlineStr">
        <is>
          <t>YNBY INTL</t>
        </is>
      </c>
      <c r="D256" t="inlineStr">
        <is>
          <t>大宗交易</t>
        </is>
      </c>
      <c r="E256" t="inlineStr">
        <is>
          <t>东方财富</t>
        </is>
      </c>
      <c r="F256" t="inlineStr">
        <is>
          <t>not-applicable-hk</t>
        </is>
      </c>
      <c r="G256" s="32" t="n">
        <v>46263.25725433244</v>
      </c>
      <c r="I256" t="inlineStr">
        <is>
          <t>HKD</t>
        </is>
      </c>
      <c r="J256" t="inlineStr">
        <is>
          <t>optional_missing</t>
        </is>
      </c>
      <c r="K256" t="inlineStr">
        <is>
          <t>港股大宗交易按允许缺失规则留空</t>
        </is>
      </c>
      <c r="L256" t="b">
        <v>0</v>
      </c>
      <c r="M256" t="inlineStr">
        <is>
          <t>东方财富</t>
        </is>
      </c>
      <c r="N256" t="b">
        <v>1</v>
      </c>
    </row>
    <row r="257">
      <c r="A257" t="inlineStr">
        <is>
          <t>港股</t>
        </is>
      </c>
      <c r="B257" t="inlineStr">
        <is>
          <t>00030</t>
        </is>
      </c>
      <c r="C257" t="inlineStr">
        <is>
          <t>YNBY INTL</t>
        </is>
      </c>
      <c r="D257" t="inlineStr">
        <is>
          <t>年度财务</t>
        </is>
      </c>
      <c r="E257" t="inlineStr">
        <is>
          <t>东方财富</t>
        </is>
      </c>
      <c r="F257" t="inlineStr">
        <is>
          <t>RPT_HKF10_FN_MAININDICATOR</t>
        </is>
      </c>
      <c r="G257" s="32" t="n">
        <v>46263.25728896438</v>
      </c>
      <c r="H257" t="inlineStr">
        <is>
          <t>HKD</t>
        </is>
      </c>
      <c r="I257" t="inlineStr">
        <is>
          <t>HKD</t>
        </is>
      </c>
      <c r="J257" t="inlineStr">
        <is>
          <t>ok</t>
        </is>
      </c>
      <c r="L257" t="b">
        <v>0</v>
      </c>
      <c r="M257" t="inlineStr">
        <is>
          <t>东方财富</t>
        </is>
      </c>
      <c r="N257" t="b">
        <v>1</v>
      </c>
    </row>
    <row r="258">
      <c r="A258" t="inlineStr">
        <is>
          <t>港股</t>
        </is>
      </c>
      <c r="B258" t="inlineStr">
        <is>
          <t>00030</t>
        </is>
      </c>
      <c r="C258" t="inlineStr">
        <is>
          <t>YNBY INTL</t>
        </is>
      </c>
      <c r="D258" t="inlineStr">
        <is>
          <t>上市与发行信息</t>
        </is>
      </c>
      <c r="E258" t="inlineStr">
        <is>
          <t>东方财富</t>
        </is>
      </c>
      <c r="F258" t="inlineStr">
        <is>
          <t>RPT_HKF10_INFO_SECURITYINFO</t>
        </is>
      </c>
      <c r="G258" s="32" t="n">
        <v>46263.25735300347</v>
      </c>
      <c r="H258" t="inlineStr">
        <is>
          <t>HKD</t>
        </is>
      </c>
      <c r="I258" t="inlineStr">
        <is>
          <t>HKD</t>
        </is>
      </c>
      <c r="J258" t="inlineStr">
        <is>
          <t>ok</t>
        </is>
      </c>
      <c r="L258" t="b">
        <v>1</v>
      </c>
      <c r="M258" t="inlineStr">
        <is>
          <t>东方财富</t>
        </is>
      </c>
      <c r="N258" t="b">
        <v>1</v>
      </c>
    </row>
    <row r="259">
      <c r="A259" t="inlineStr">
        <is>
          <t>港股</t>
        </is>
      </c>
      <c r="B259" t="inlineStr">
        <is>
          <t>00030</t>
        </is>
      </c>
      <c r="C259" t="inlineStr">
        <is>
          <t>YNBY INTL</t>
        </is>
      </c>
      <c r="D259" t="inlineStr">
        <is>
          <t>资金流</t>
        </is>
      </c>
      <c r="E259" t="inlineStr">
        <is>
          <t>配置</t>
        </is>
      </c>
      <c r="F259" t="inlineStr">
        <is>
          <t>flow-mode-off</t>
        </is>
      </c>
      <c r="G259" s="32" t="n">
        <v>46263.25754607147</v>
      </c>
      <c r="I259" t="inlineStr">
        <is>
          <t>HKD</t>
        </is>
      </c>
      <c r="J259" t="inlineStr">
        <is>
          <t>optional_missing</t>
        </is>
      </c>
      <c r="K259" t="inlineStr">
        <is>
          <t>用户选择不抓取资金流</t>
        </is>
      </c>
      <c r="L259" t="b">
        <v>0</v>
      </c>
      <c r="M259" t="inlineStr">
        <is>
          <t>配置</t>
        </is>
      </c>
      <c r="N259" t="b">
        <v>0</v>
      </c>
    </row>
    <row r="260">
      <c r="A260" t="inlineStr">
        <is>
          <t>A股</t>
        </is>
      </c>
      <c r="B260" t="inlineStr">
        <is>
          <t>000037</t>
        </is>
      </c>
      <c r="C260" t="inlineStr">
        <is>
          <t>深南电A</t>
        </is>
      </c>
      <c r="D260" t="inlineStr">
        <is>
          <t>最新行情</t>
        </is>
      </c>
      <c r="E260" t="inlineStr">
        <is>
          <t>东方财富</t>
        </is>
      </c>
      <c r="F260" t="inlineStr">
        <is>
          <t>push2 ulist.np/get f2,f20（按指定证券分批）</t>
        </is>
      </c>
      <c r="G260" s="32" t="n">
        <v>46263.25725224894</v>
      </c>
      <c r="H260" t="inlineStr">
        <is>
          <t>CNY</t>
        </is>
      </c>
      <c r="I260" t="inlineStr">
        <is>
          <t>CNY</t>
        </is>
      </c>
      <c r="J260" t="inlineStr">
        <is>
          <t>ok</t>
        </is>
      </c>
      <c r="L260" t="b">
        <v>0</v>
      </c>
      <c r="M260" t="inlineStr">
        <is>
          <t>东方财富</t>
        </is>
      </c>
      <c r="N260" t="b">
        <v>1</v>
      </c>
    </row>
    <row r="261">
      <c r="A261" t="inlineStr">
        <is>
          <t>A股</t>
        </is>
      </c>
      <c r="B261" t="inlineStr">
        <is>
          <t>000037</t>
        </is>
      </c>
      <c r="C261" t="inlineStr">
        <is>
          <t>深南电A</t>
        </is>
      </c>
      <c r="D261" t="inlineStr">
        <is>
          <t>大宗交易</t>
        </is>
      </c>
      <c r="E261" t="inlineStr">
        <is>
          <t>东方财富</t>
        </is>
      </c>
      <c r="F261" t="inlineStr">
        <is>
          <t>RPT_DATA_BLOCKTRADE 2026（全市场分页后本地聚合）</t>
        </is>
      </c>
      <c r="G261" s="32" t="n">
        <v>46263.25725717999</v>
      </c>
      <c r="H261" t="inlineStr">
        <is>
          <t>CNY</t>
        </is>
      </c>
      <c r="I261" t="inlineStr">
        <is>
          <t>CNY</t>
        </is>
      </c>
      <c r="J261" t="inlineStr">
        <is>
          <t>ok</t>
        </is>
      </c>
      <c r="L261" t="b">
        <v>0</v>
      </c>
      <c r="M261" t="inlineStr">
        <is>
          <t>东方财富</t>
        </is>
      </c>
      <c r="N261" t="b">
        <v>1</v>
      </c>
    </row>
    <row r="262">
      <c r="A262" t="inlineStr">
        <is>
          <t>A股</t>
        </is>
      </c>
      <c r="B262" t="inlineStr">
        <is>
          <t>000037</t>
        </is>
      </c>
      <c r="C262" t="inlineStr">
        <is>
          <t>深南电A</t>
        </is>
      </c>
      <c r="D262" t="inlineStr">
        <is>
          <t>年度财务</t>
        </is>
      </c>
      <c r="E262" t="inlineStr">
        <is>
          <t>东方财富</t>
        </is>
      </c>
      <c r="F262" t="inlineStr">
        <is>
          <t>RPT_LICO_FN_CPD + RPT_DMSK_FN_CASHFLOW；巨潮回退原因：未配置巨潮官方 API 凭证/端点（CNINFO_ACCESS_TOKEN、CNINFO_INCOME_API_URL、CNINFO_CASHFLOW_API_URL）</t>
        </is>
      </c>
      <c r="G262" s="32" t="n">
        <v>46263.25729653693</v>
      </c>
      <c r="H262" t="inlineStr">
        <is>
          <t>CNY</t>
        </is>
      </c>
      <c r="I262" t="inlineStr">
        <is>
          <t>CNY</t>
        </is>
      </c>
      <c r="J262" t="inlineStr">
        <is>
          <t>ok</t>
        </is>
      </c>
      <c r="L262" t="b">
        <v>1</v>
      </c>
      <c r="M262" t="inlineStr">
        <is>
          <t>巨潮资讯（CNINFO Data Service）</t>
        </is>
      </c>
      <c r="N262" t="b">
        <v>1</v>
      </c>
    </row>
    <row r="263">
      <c r="A263" t="inlineStr">
        <is>
          <t>A股</t>
        </is>
      </c>
      <c r="B263" t="inlineStr">
        <is>
          <t>000037</t>
        </is>
      </c>
      <c r="C263" t="inlineStr">
        <is>
          <t>深南电A</t>
        </is>
      </c>
      <c r="D263" t="inlineStr">
        <is>
          <t>上市与发行信息</t>
        </is>
      </c>
      <c r="E263" t="inlineStr">
        <is>
          <t>东方财富</t>
        </is>
      </c>
      <c r="F263" t="inlineStr">
        <is>
          <t>RPT_PCF10_ORG_ISSUEINFO</t>
        </is>
      </c>
      <c r="G263" s="32" t="n">
        <v>46263.25735170907</v>
      </c>
      <c r="H263" t="inlineStr">
        <is>
          <t>CNY</t>
        </is>
      </c>
      <c r="I263" t="inlineStr">
        <is>
          <t>CNY</t>
        </is>
      </c>
      <c r="J263" t="inlineStr">
        <is>
          <t>ok</t>
        </is>
      </c>
      <c r="L263" t="b">
        <v>0</v>
      </c>
      <c r="M263" t="inlineStr">
        <is>
          <t>东方财富</t>
        </is>
      </c>
      <c r="N263" t="b">
        <v>1</v>
      </c>
    </row>
    <row r="264">
      <c r="A264" t="inlineStr">
        <is>
          <t>A股</t>
        </is>
      </c>
      <c r="B264" t="inlineStr">
        <is>
          <t>000037</t>
        </is>
      </c>
      <c r="C264" t="inlineStr">
        <is>
          <t>深南电A</t>
        </is>
      </c>
      <c r="D264" t="inlineStr">
        <is>
          <t>资金流</t>
        </is>
      </c>
      <c r="E264" t="inlineStr">
        <is>
          <t>配置</t>
        </is>
      </c>
      <c r="F264" t="inlineStr">
        <is>
          <t>flow-mode-off</t>
        </is>
      </c>
      <c r="G264" s="32" t="n">
        <v>46263.25754607147</v>
      </c>
      <c r="I264" t="inlineStr">
        <is>
          <t>CNY</t>
        </is>
      </c>
      <c r="J264" t="inlineStr">
        <is>
          <t>optional_missing</t>
        </is>
      </c>
      <c r="K264" t="inlineStr">
        <is>
          <t>用户选择不抓取资金流</t>
        </is>
      </c>
      <c r="L264" t="b">
        <v>0</v>
      </c>
      <c r="M264" t="inlineStr">
        <is>
          <t>配置</t>
        </is>
      </c>
      <c r="N264" t="b">
        <v>0</v>
      </c>
    </row>
    <row r="265">
      <c r="A265" t="inlineStr">
        <is>
          <t>港股</t>
        </is>
      </c>
      <c r="B265" t="inlineStr">
        <is>
          <t>00031</t>
        </is>
      </c>
      <c r="C265" t="inlineStr">
        <is>
          <t>CHINA AEROSPACE</t>
        </is>
      </c>
      <c r="D265" t="inlineStr">
        <is>
          <t>最新行情</t>
        </is>
      </c>
      <c r="E265" t="inlineStr">
        <is>
          <t>东方财富</t>
        </is>
      </c>
      <c r="F265" t="inlineStr">
        <is>
          <t>push2 ulist.np/get f2,f20（按指定证券分批）</t>
        </is>
      </c>
      <c r="G265" s="32" t="n">
        <v>46263.25725224894</v>
      </c>
      <c r="H265" t="inlineStr">
        <is>
          <t>HKD</t>
        </is>
      </c>
      <c r="I265" t="inlineStr">
        <is>
          <t>HKD</t>
        </is>
      </c>
      <c r="J265" t="inlineStr">
        <is>
          <t>ok</t>
        </is>
      </c>
      <c r="L265" t="b">
        <v>0</v>
      </c>
      <c r="M265" t="inlineStr">
        <is>
          <t>东方财富</t>
        </is>
      </c>
      <c r="N265" t="b">
        <v>1</v>
      </c>
    </row>
    <row r="266">
      <c r="A266" t="inlineStr">
        <is>
          <t>港股</t>
        </is>
      </c>
      <c r="B266" t="inlineStr">
        <is>
          <t>00031</t>
        </is>
      </c>
      <c r="C266" t="inlineStr">
        <is>
          <t>CHINA AEROSPACE</t>
        </is>
      </c>
      <c r="D266" t="inlineStr">
        <is>
          <t>大宗交易</t>
        </is>
      </c>
      <c r="E266" t="inlineStr">
        <is>
          <t>东方财富</t>
        </is>
      </c>
      <c r="F266" t="inlineStr">
        <is>
          <t>not-applicable-hk</t>
        </is>
      </c>
      <c r="G266" s="32" t="n">
        <v>46263.25725433244</v>
      </c>
      <c r="I266" t="inlineStr">
        <is>
          <t>HKD</t>
        </is>
      </c>
      <c r="J266" t="inlineStr">
        <is>
          <t>optional_missing</t>
        </is>
      </c>
      <c r="K266" t="inlineStr">
        <is>
          <t>港股大宗交易按允许缺失规则留空</t>
        </is>
      </c>
      <c r="L266" t="b">
        <v>0</v>
      </c>
      <c r="M266" t="inlineStr">
        <is>
          <t>东方财富</t>
        </is>
      </c>
      <c r="N266" t="b">
        <v>1</v>
      </c>
    </row>
    <row r="267">
      <c r="A267" t="inlineStr">
        <is>
          <t>港股</t>
        </is>
      </c>
      <c r="B267" t="inlineStr">
        <is>
          <t>00031</t>
        </is>
      </c>
      <c r="C267" t="inlineStr">
        <is>
          <t>CHINA AEROSPACE</t>
        </is>
      </c>
      <c r="D267" t="inlineStr">
        <is>
          <t>年度财务</t>
        </is>
      </c>
      <c r="E267" t="inlineStr">
        <is>
          <t>东方财富</t>
        </is>
      </c>
      <c r="F267" t="inlineStr">
        <is>
          <t>RPT_HKF10_FN_MAININDICATOR</t>
        </is>
      </c>
      <c r="G267" s="32" t="n">
        <v>46263.25729087689</v>
      </c>
      <c r="H267" t="inlineStr">
        <is>
          <t>HKD</t>
        </is>
      </c>
      <c r="I267" t="inlineStr">
        <is>
          <t>HKD</t>
        </is>
      </c>
      <c r="J267" t="inlineStr">
        <is>
          <t>ok</t>
        </is>
      </c>
      <c r="L267" t="b">
        <v>0</v>
      </c>
      <c r="M267" t="inlineStr">
        <is>
          <t>东方财富</t>
        </is>
      </c>
      <c r="N267" t="b">
        <v>1</v>
      </c>
    </row>
    <row r="268">
      <c r="A268" t="inlineStr">
        <is>
          <t>港股</t>
        </is>
      </c>
      <c r="B268" t="inlineStr">
        <is>
          <t>00031</t>
        </is>
      </c>
      <c r="C268" t="inlineStr">
        <is>
          <t>CHINA AEROSPACE</t>
        </is>
      </c>
      <c r="D268" t="inlineStr">
        <is>
          <t>上市与发行信息</t>
        </is>
      </c>
      <c r="E268" t="inlineStr">
        <is>
          <t>东方财富</t>
        </is>
      </c>
      <c r="F268" t="inlineStr">
        <is>
          <t>RPT_HKF10_INFO_SECURITYINFO</t>
        </is>
      </c>
      <c r="G268" s="32" t="n">
        <v>46263.25735242313</v>
      </c>
      <c r="H268" t="inlineStr">
        <is>
          <t>HKD</t>
        </is>
      </c>
      <c r="I268" t="inlineStr">
        <is>
          <t>HKD</t>
        </is>
      </c>
      <c r="J268" t="inlineStr">
        <is>
          <t>ok</t>
        </is>
      </c>
      <c r="L268" t="b">
        <v>0</v>
      </c>
      <c r="M268" t="inlineStr">
        <is>
          <t>东方财富</t>
        </is>
      </c>
      <c r="N268" t="b">
        <v>1</v>
      </c>
    </row>
    <row r="269">
      <c r="A269" t="inlineStr">
        <is>
          <t>港股</t>
        </is>
      </c>
      <c r="B269" t="inlineStr">
        <is>
          <t>00031</t>
        </is>
      </c>
      <c r="C269" t="inlineStr">
        <is>
          <t>CHINA AEROSPACE</t>
        </is>
      </c>
      <c r="D269" t="inlineStr">
        <is>
          <t>资金流</t>
        </is>
      </c>
      <c r="E269" t="inlineStr">
        <is>
          <t>配置</t>
        </is>
      </c>
      <c r="F269" t="inlineStr">
        <is>
          <t>flow-mode-off</t>
        </is>
      </c>
      <c r="G269" s="32" t="n">
        <v>46263.25754607147</v>
      </c>
      <c r="I269" t="inlineStr">
        <is>
          <t>HKD</t>
        </is>
      </c>
      <c r="J269" t="inlineStr">
        <is>
          <t>optional_missing</t>
        </is>
      </c>
      <c r="K269" t="inlineStr">
        <is>
          <t>用户选择不抓取资金流</t>
        </is>
      </c>
      <c r="L269" t="b">
        <v>0</v>
      </c>
      <c r="M269" t="inlineStr">
        <is>
          <t>配置</t>
        </is>
      </c>
      <c r="N269" t="b">
        <v>0</v>
      </c>
    </row>
    <row r="270">
      <c r="A270" t="inlineStr">
        <is>
          <t>A股</t>
        </is>
      </c>
      <c r="B270" t="inlineStr">
        <is>
          <t>000039</t>
        </is>
      </c>
      <c r="C270" t="inlineStr">
        <is>
          <t>中集集团</t>
        </is>
      </c>
      <c r="D270" t="inlineStr">
        <is>
          <t>最新行情</t>
        </is>
      </c>
      <c r="E270" t="inlineStr">
        <is>
          <t>东方财富</t>
        </is>
      </c>
      <c r="F270" t="inlineStr">
        <is>
          <t>push2 ulist.np/get f2,f20（按指定证券分批）</t>
        </is>
      </c>
      <c r="G270" s="32" t="n">
        <v>46263.25725224894</v>
      </c>
      <c r="H270" t="inlineStr">
        <is>
          <t>CNY</t>
        </is>
      </c>
      <c r="I270" t="inlineStr">
        <is>
          <t>CNY</t>
        </is>
      </c>
      <c r="J270" t="inlineStr">
        <is>
          <t>ok</t>
        </is>
      </c>
      <c r="L270" t="b">
        <v>0</v>
      </c>
      <c r="M270" t="inlineStr">
        <is>
          <t>东方财富</t>
        </is>
      </c>
      <c r="N270" t="b">
        <v>1</v>
      </c>
    </row>
    <row r="271">
      <c r="A271" t="inlineStr">
        <is>
          <t>A股</t>
        </is>
      </c>
      <c r="B271" t="inlineStr">
        <is>
          <t>000039</t>
        </is>
      </c>
      <c r="C271" t="inlineStr">
        <is>
          <t>中集集团</t>
        </is>
      </c>
      <c r="D271" t="inlineStr">
        <is>
          <t>大宗交易</t>
        </is>
      </c>
      <c r="E271" t="inlineStr">
        <is>
          <t>东方财富</t>
        </is>
      </c>
      <c r="F271" t="inlineStr">
        <is>
          <t>RPT_DATA_BLOCKTRADE 2026（全市场分页后本地聚合）</t>
        </is>
      </c>
      <c r="G271" s="32" t="n">
        <v>46263.25725717999</v>
      </c>
      <c r="H271" t="inlineStr">
        <is>
          <t>CNY</t>
        </is>
      </c>
      <c r="I271" t="inlineStr">
        <is>
          <t>CNY</t>
        </is>
      </c>
      <c r="J271" t="inlineStr">
        <is>
          <t>ok</t>
        </is>
      </c>
      <c r="L271" t="b">
        <v>0</v>
      </c>
      <c r="M271" t="inlineStr">
        <is>
          <t>东方财富</t>
        </is>
      </c>
      <c r="N271" t="b">
        <v>1</v>
      </c>
    </row>
    <row r="272">
      <c r="A272" t="inlineStr">
        <is>
          <t>A股</t>
        </is>
      </c>
      <c r="B272" t="inlineStr">
        <is>
          <t>000039</t>
        </is>
      </c>
      <c r="C272" t="inlineStr">
        <is>
          <t>中集集团</t>
        </is>
      </c>
      <c r="D272" t="inlineStr">
        <is>
          <t>年度财务</t>
        </is>
      </c>
      <c r="E272" t="inlineStr">
        <is>
          <t>东方财富</t>
        </is>
      </c>
      <c r="F272" t="inlineStr">
        <is>
          <t>RPT_LICO_FN_CPD + RPT_DMSK_FN_CASHFLOW；巨潮回退原因：未配置巨潮官方 API 凭证/端点（CNINFO_ACCESS_TOKEN、CNINFO_INCOME_API_URL、CNINFO_CASHFLOW_API_URL）</t>
        </is>
      </c>
      <c r="G272" s="32" t="n">
        <v>46263.25729972089</v>
      </c>
      <c r="H272" t="inlineStr">
        <is>
          <t>CNY</t>
        </is>
      </c>
      <c r="I272" t="inlineStr">
        <is>
          <t>CNY</t>
        </is>
      </c>
      <c r="J272" t="inlineStr">
        <is>
          <t>ok</t>
        </is>
      </c>
      <c r="L272" t="b">
        <v>1</v>
      </c>
      <c r="M272" t="inlineStr">
        <is>
          <t>巨潮资讯（CNINFO Data Service）</t>
        </is>
      </c>
      <c r="N272" t="b">
        <v>1</v>
      </c>
    </row>
    <row r="273">
      <c r="A273" t="inlineStr">
        <is>
          <t>A股</t>
        </is>
      </c>
      <c r="B273" t="inlineStr">
        <is>
          <t>000039</t>
        </is>
      </c>
      <c r="C273" t="inlineStr">
        <is>
          <t>中集集团</t>
        </is>
      </c>
      <c r="D273" t="inlineStr">
        <is>
          <t>上市与发行信息</t>
        </is>
      </c>
      <c r="E273" t="inlineStr">
        <is>
          <t>东方财富</t>
        </is>
      </c>
      <c r="F273" t="inlineStr">
        <is>
          <t>RPT_PCF10_ORG_ISSUEINFO</t>
        </is>
      </c>
      <c r="G273" s="32" t="n">
        <v>46263.25735283009</v>
      </c>
      <c r="H273" t="inlineStr">
        <is>
          <t>CNY</t>
        </is>
      </c>
      <c r="I273" t="inlineStr">
        <is>
          <t>CNY</t>
        </is>
      </c>
      <c r="J273" t="inlineStr">
        <is>
          <t>ok</t>
        </is>
      </c>
      <c r="L273" t="b">
        <v>0</v>
      </c>
      <c r="M273" t="inlineStr">
        <is>
          <t>东方财富</t>
        </is>
      </c>
      <c r="N273" t="b">
        <v>1</v>
      </c>
    </row>
    <row r="274">
      <c r="A274" t="inlineStr">
        <is>
          <t>A股</t>
        </is>
      </c>
      <c r="B274" t="inlineStr">
        <is>
          <t>000039</t>
        </is>
      </c>
      <c r="C274" t="inlineStr">
        <is>
          <t>中集集团</t>
        </is>
      </c>
      <c r="D274" t="inlineStr">
        <is>
          <t>资金流</t>
        </is>
      </c>
      <c r="E274" t="inlineStr">
        <is>
          <t>配置</t>
        </is>
      </c>
      <c r="F274" t="inlineStr">
        <is>
          <t>flow-mode-off</t>
        </is>
      </c>
      <c r="G274" s="32" t="n">
        <v>46263.25754607147</v>
      </c>
      <c r="I274" t="inlineStr">
        <is>
          <t>CNY</t>
        </is>
      </c>
      <c r="J274" t="inlineStr">
        <is>
          <t>optional_missing</t>
        </is>
      </c>
      <c r="K274" t="inlineStr">
        <is>
          <t>用户选择不抓取资金流</t>
        </is>
      </c>
      <c r="L274" t="b">
        <v>0</v>
      </c>
      <c r="M274" t="inlineStr">
        <is>
          <t>配置</t>
        </is>
      </c>
      <c r="N274" t="b">
        <v>0</v>
      </c>
    </row>
    <row r="275">
      <c r="A275" t="inlineStr">
        <is>
          <t>港股</t>
        </is>
      </c>
      <c r="B275" t="inlineStr">
        <is>
          <t>00032</t>
        </is>
      </c>
      <c r="C275" t="inlineStr">
        <is>
          <t>CROSS-HAR(HOLD)</t>
        </is>
      </c>
      <c r="D275" t="inlineStr">
        <is>
          <t>最新行情</t>
        </is>
      </c>
      <c r="E275" t="inlineStr">
        <is>
          <t>东方财富</t>
        </is>
      </c>
      <c r="F275" t="inlineStr">
        <is>
          <t>push2 ulist.np/get f2,f20（按指定证券分批）</t>
        </is>
      </c>
      <c r="G275" s="32" t="n">
        <v>46263.25725224894</v>
      </c>
      <c r="H275" t="inlineStr">
        <is>
          <t>HKD</t>
        </is>
      </c>
      <c r="I275" t="inlineStr">
        <is>
          <t>HKD</t>
        </is>
      </c>
      <c r="J275" t="inlineStr">
        <is>
          <t>ok</t>
        </is>
      </c>
      <c r="L275" t="b">
        <v>0</v>
      </c>
      <c r="M275" t="inlineStr">
        <is>
          <t>东方财富</t>
        </is>
      </c>
      <c r="N275" t="b">
        <v>1</v>
      </c>
    </row>
    <row r="276">
      <c r="A276" t="inlineStr">
        <is>
          <t>港股</t>
        </is>
      </c>
      <c r="B276" t="inlineStr">
        <is>
          <t>00032</t>
        </is>
      </c>
      <c r="C276" t="inlineStr">
        <is>
          <t>CROSS-HAR(HOLD)</t>
        </is>
      </c>
      <c r="D276" t="inlineStr">
        <is>
          <t>大宗交易</t>
        </is>
      </c>
      <c r="E276" t="inlineStr">
        <is>
          <t>东方财富</t>
        </is>
      </c>
      <c r="F276" t="inlineStr">
        <is>
          <t>not-applicable-hk</t>
        </is>
      </c>
      <c r="G276" s="32" t="n">
        <v>46263.25725433244</v>
      </c>
      <c r="I276" t="inlineStr">
        <is>
          <t>HKD</t>
        </is>
      </c>
      <c r="J276" t="inlineStr">
        <is>
          <t>optional_missing</t>
        </is>
      </c>
      <c r="K276" t="inlineStr">
        <is>
          <t>港股大宗交易按允许缺失规则留空</t>
        </is>
      </c>
      <c r="L276" t="b">
        <v>0</v>
      </c>
      <c r="M276" t="inlineStr">
        <is>
          <t>东方财富</t>
        </is>
      </c>
      <c r="N276" t="b">
        <v>1</v>
      </c>
    </row>
    <row r="277">
      <c r="A277" t="inlineStr">
        <is>
          <t>港股</t>
        </is>
      </c>
      <c r="B277" t="inlineStr">
        <is>
          <t>00032</t>
        </is>
      </c>
      <c r="C277" t="inlineStr">
        <is>
          <t>CROSS-HAR(HOLD)</t>
        </is>
      </c>
      <c r="D277" t="inlineStr">
        <is>
          <t>年度财务</t>
        </is>
      </c>
      <c r="E277" t="inlineStr">
        <is>
          <t>东方财富</t>
        </is>
      </c>
      <c r="F277" t="inlineStr">
        <is>
          <t>RPT_HKF10_FN_MAININDICATOR</t>
        </is>
      </c>
      <c r="G277" s="32" t="n">
        <v>46263.25729139159</v>
      </c>
      <c r="H277" t="inlineStr">
        <is>
          <t>HKD</t>
        </is>
      </c>
      <c r="I277" t="inlineStr">
        <is>
          <t>HKD</t>
        </is>
      </c>
      <c r="J277" t="inlineStr">
        <is>
          <t>ok</t>
        </is>
      </c>
      <c r="L277" t="b">
        <v>0</v>
      </c>
      <c r="M277" t="inlineStr">
        <is>
          <t>东方财富</t>
        </is>
      </c>
      <c r="N277" t="b">
        <v>1</v>
      </c>
    </row>
    <row r="278">
      <c r="A278" t="inlineStr">
        <is>
          <t>港股</t>
        </is>
      </c>
      <c r="B278" t="inlineStr">
        <is>
          <t>00032</t>
        </is>
      </c>
      <c r="C278" t="inlineStr">
        <is>
          <t>CROSS-HAR(HOLD)</t>
        </is>
      </c>
      <c r="D278" t="inlineStr">
        <is>
          <t>上市与发行信息</t>
        </is>
      </c>
      <c r="E278" t="inlineStr">
        <is>
          <t>东方财富</t>
        </is>
      </c>
      <c r="F278" t="inlineStr">
        <is>
          <t>RPT_HKF10_INFO_SECURITYINFO</t>
        </is>
      </c>
      <c r="G278" s="32" t="n">
        <v>46263.25735344666</v>
      </c>
      <c r="H278" t="inlineStr">
        <is>
          <t>HKD</t>
        </is>
      </c>
      <c r="I278" t="inlineStr">
        <is>
          <t>HKD</t>
        </is>
      </c>
      <c r="J278" t="inlineStr">
        <is>
          <t>ok</t>
        </is>
      </c>
      <c r="L278" t="b">
        <v>0</v>
      </c>
      <c r="M278" t="inlineStr">
        <is>
          <t>东方财富</t>
        </is>
      </c>
      <c r="N278" t="b">
        <v>1</v>
      </c>
    </row>
    <row r="279">
      <c r="A279" t="inlineStr">
        <is>
          <t>港股</t>
        </is>
      </c>
      <c r="B279" t="inlineStr">
        <is>
          <t>00032</t>
        </is>
      </c>
      <c r="C279" t="inlineStr">
        <is>
          <t>CROSS-HAR(HOLD)</t>
        </is>
      </c>
      <c r="D279" t="inlineStr">
        <is>
          <t>资金流</t>
        </is>
      </c>
      <c r="E279" t="inlineStr">
        <is>
          <t>配置</t>
        </is>
      </c>
      <c r="F279" t="inlineStr">
        <is>
          <t>flow-mode-off</t>
        </is>
      </c>
      <c r="G279" s="32" t="n">
        <v>46263.25754607147</v>
      </c>
      <c r="I279" t="inlineStr">
        <is>
          <t>HKD</t>
        </is>
      </c>
      <c r="J279" t="inlineStr">
        <is>
          <t>optional_missing</t>
        </is>
      </c>
      <c r="K279" t="inlineStr">
        <is>
          <t>用户选择不抓取资金流</t>
        </is>
      </c>
      <c r="L279" t="b">
        <v>0</v>
      </c>
      <c r="M279" t="inlineStr">
        <is>
          <t>配置</t>
        </is>
      </c>
      <c r="N279" t="b">
        <v>0</v>
      </c>
    </row>
    <row r="280">
      <c r="A280" t="inlineStr">
        <is>
          <t>A股</t>
        </is>
      </c>
      <c r="B280" t="inlineStr">
        <is>
          <t>000042</t>
        </is>
      </c>
      <c r="C280" t="inlineStr">
        <is>
          <t>中洲控股</t>
        </is>
      </c>
      <c r="D280" t="inlineStr">
        <is>
          <t>最新行情</t>
        </is>
      </c>
      <c r="E280" t="inlineStr">
        <is>
          <t>东方财富</t>
        </is>
      </c>
      <c r="F280" t="inlineStr">
        <is>
          <t>push2 ulist.np/get f2,f20（按指定证券分批）</t>
        </is>
      </c>
      <c r="G280" s="32" t="n">
        <v>46263.25725224894</v>
      </c>
      <c r="H280" t="inlineStr">
        <is>
          <t>CNY</t>
        </is>
      </c>
      <c r="I280" t="inlineStr">
        <is>
          <t>CNY</t>
        </is>
      </c>
      <c r="J280" t="inlineStr">
        <is>
          <t>ok</t>
        </is>
      </c>
      <c r="L280" t="b">
        <v>0</v>
      </c>
      <c r="M280" t="inlineStr">
        <is>
          <t>东方财富</t>
        </is>
      </c>
      <c r="N280" t="b">
        <v>1</v>
      </c>
    </row>
    <row r="281">
      <c r="A281" t="inlineStr">
        <is>
          <t>A股</t>
        </is>
      </c>
      <c r="B281" t="inlineStr">
        <is>
          <t>000042</t>
        </is>
      </c>
      <c r="C281" t="inlineStr">
        <is>
          <t>中洲控股</t>
        </is>
      </c>
      <c r="D281" t="inlineStr">
        <is>
          <t>大宗交易</t>
        </is>
      </c>
      <c r="E281" t="inlineStr">
        <is>
          <t>东方财富</t>
        </is>
      </c>
      <c r="F281" t="inlineStr">
        <is>
          <t>RPT_DATA_BLOCKTRADE 2026（全市场分页后本地聚合）</t>
        </is>
      </c>
      <c r="G281" s="32" t="n">
        <v>46263.25725717999</v>
      </c>
      <c r="H281" t="inlineStr">
        <is>
          <t>CNY</t>
        </is>
      </c>
      <c r="I281" t="inlineStr">
        <is>
          <t>CNY</t>
        </is>
      </c>
      <c r="J281" t="inlineStr">
        <is>
          <t>ok</t>
        </is>
      </c>
      <c r="L281" t="b">
        <v>0</v>
      </c>
      <c r="M281" t="inlineStr">
        <is>
          <t>东方财富</t>
        </is>
      </c>
      <c r="N281" t="b">
        <v>1</v>
      </c>
    </row>
    <row r="282">
      <c r="A282" t="inlineStr">
        <is>
          <t>A股</t>
        </is>
      </c>
      <c r="B282" t="inlineStr">
        <is>
          <t>000042</t>
        </is>
      </c>
      <c r="C282" t="inlineStr">
        <is>
          <t>中洲控股</t>
        </is>
      </c>
      <c r="D282" t="inlineStr">
        <is>
          <t>年度财务</t>
        </is>
      </c>
      <c r="E282" t="inlineStr">
        <is>
          <t>东方财富</t>
        </is>
      </c>
      <c r="F282" t="inlineStr">
        <is>
          <t>RPT_LICO_FN_CPD + RPT_DMSK_FN_CASHFLOW；巨潮回退原因：未配置巨潮官方 API 凭证/端点（CNINFO_ACCESS_TOKEN、CNINFO_INCOME_API_URL、CNINFO_CASHFLOW_API_URL）</t>
        </is>
      </c>
      <c r="G282" s="32" t="n">
        <v>46263.25730071903</v>
      </c>
      <c r="H282" t="inlineStr">
        <is>
          <t>CNY</t>
        </is>
      </c>
      <c r="I282" t="inlineStr">
        <is>
          <t>CNY</t>
        </is>
      </c>
      <c r="J282" t="inlineStr">
        <is>
          <t>ok</t>
        </is>
      </c>
      <c r="L282" t="b">
        <v>1</v>
      </c>
      <c r="M282" t="inlineStr">
        <is>
          <t>巨潮资讯（CNINFO Data Service）</t>
        </is>
      </c>
      <c r="N282" t="b">
        <v>1</v>
      </c>
    </row>
    <row r="283">
      <c r="A283" t="inlineStr">
        <is>
          <t>A股</t>
        </is>
      </c>
      <c r="B283" t="inlineStr">
        <is>
          <t>000042</t>
        </is>
      </c>
      <c r="C283" t="inlineStr">
        <is>
          <t>中洲控股</t>
        </is>
      </c>
      <c r="D283" t="inlineStr">
        <is>
          <t>上市与发行信息</t>
        </is>
      </c>
      <c r="E283" t="inlineStr">
        <is>
          <t>东方财富</t>
        </is>
      </c>
      <c r="F283" t="inlineStr">
        <is>
          <t>RPT_PCF10_ORG_ISSUEINFO</t>
        </is>
      </c>
      <c r="G283" s="32" t="n">
        <v>46263.25735405142</v>
      </c>
      <c r="H283" t="inlineStr">
        <is>
          <t>CNY</t>
        </is>
      </c>
      <c r="I283" t="inlineStr">
        <is>
          <t>CNY</t>
        </is>
      </c>
      <c r="J283" t="inlineStr">
        <is>
          <t>ok</t>
        </is>
      </c>
      <c r="L283" t="b">
        <v>0</v>
      </c>
      <c r="M283" t="inlineStr">
        <is>
          <t>东方财富</t>
        </is>
      </c>
      <c r="N283" t="b">
        <v>1</v>
      </c>
    </row>
    <row r="284">
      <c r="A284" t="inlineStr">
        <is>
          <t>A股</t>
        </is>
      </c>
      <c r="B284" t="inlineStr">
        <is>
          <t>000042</t>
        </is>
      </c>
      <c r="C284" t="inlineStr">
        <is>
          <t>中洲控股</t>
        </is>
      </c>
      <c r="D284" t="inlineStr">
        <is>
          <t>资金流</t>
        </is>
      </c>
      <c r="E284" t="inlineStr">
        <is>
          <t>配置</t>
        </is>
      </c>
      <c r="F284" t="inlineStr">
        <is>
          <t>flow-mode-off</t>
        </is>
      </c>
      <c r="G284" s="32" t="n">
        <v>46263.25754607147</v>
      </c>
      <c r="I284" t="inlineStr">
        <is>
          <t>CNY</t>
        </is>
      </c>
      <c r="J284" t="inlineStr">
        <is>
          <t>optional_missing</t>
        </is>
      </c>
      <c r="K284" t="inlineStr">
        <is>
          <t>用户选择不抓取资金流</t>
        </is>
      </c>
      <c r="L284" t="b">
        <v>0</v>
      </c>
      <c r="M284" t="inlineStr">
        <is>
          <t>配置</t>
        </is>
      </c>
      <c r="N284" t="b">
        <v>0</v>
      </c>
    </row>
    <row r="285">
      <c r="A285" t="inlineStr">
        <is>
          <t>港股</t>
        </is>
      </c>
      <c r="B285" t="inlineStr">
        <is>
          <t>00033</t>
        </is>
      </c>
      <c r="C285" t="inlineStr">
        <is>
          <t>INTL GENIUS</t>
        </is>
      </c>
      <c r="D285" t="inlineStr">
        <is>
          <t>最新行情</t>
        </is>
      </c>
      <c r="E285" t="inlineStr">
        <is>
          <t>东方财富</t>
        </is>
      </c>
      <c r="F285" t="inlineStr">
        <is>
          <t>push2 ulist.np/get f2,f20（按指定证券分批）</t>
        </is>
      </c>
      <c r="G285" s="32" t="n">
        <v>46263.25725224894</v>
      </c>
      <c r="H285" t="inlineStr">
        <is>
          <t>HKD</t>
        </is>
      </c>
      <c r="I285" t="inlineStr">
        <is>
          <t>HKD</t>
        </is>
      </c>
      <c r="J285" t="inlineStr">
        <is>
          <t>ok</t>
        </is>
      </c>
      <c r="L285" t="b">
        <v>0</v>
      </c>
      <c r="M285" t="inlineStr">
        <is>
          <t>东方财富</t>
        </is>
      </c>
      <c r="N285" t="b">
        <v>1</v>
      </c>
    </row>
    <row r="286">
      <c r="A286" t="inlineStr">
        <is>
          <t>港股</t>
        </is>
      </c>
      <c r="B286" t="inlineStr">
        <is>
          <t>00033</t>
        </is>
      </c>
      <c r="C286" t="inlineStr">
        <is>
          <t>INTL GENIUS</t>
        </is>
      </c>
      <c r="D286" t="inlineStr">
        <is>
          <t>大宗交易</t>
        </is>
      </c>
      <c r="E286" t="inlineStr">
        <is>
          <t>东方财富</t>
        </is>
      </c>
      <c r="F286" t="inlineStr">
        <is>
          <t>not-applicable-hk</t>
        </is>
      </c>
      <c r="G286" s="32" t="n">
        <v>46263.25725433244</v>
      </c>
      <c r="I286" t="inlineStr">
        <is>
          <t>HKD</t>
        </is>
      </c>
      <c r="J286" t="inlineStr">
        <is>
          <t>optional_missing</t>
        </is>
      </c>
      <c r="K286" t="inlineStr">
        <is>
          <t>港股大宗交易按允许缺失规则留空</t>
        </is>
      </c>
      <c r="L286" t="b">
        <v>0</v>
      </c>
      <c r="M286" t="inlineStr">
        <is>
          <t>东方财富</t>
        </is>
      </c>
      <c r="N286" t="b">
        <v>1</v>
      </c>
    </row>
    <row r="287">
      <c r="A287" t="inlineStr">
        <is>
          <t>港股</t>
        </is>
      </c>
      <c r="B287" t="inlineStr">
        <is>
          <t>00033</t>
        </is>
      </c>
      <c r="C287" t="inlineStr">
        <is>
          <t>INTL GENIUS</t>
        </is>
      </c>
      <c r="D287" t="inlineStr">
        <is>
          <t>年度财务</t>
        </is>
      </c>
      <c r="E287" t="inlineStr">
        <is>
          <t>东方财富</t>
        </is>
      </c>
      <c r="F287" t="inlineStr">
        <is>
          <t>RPT_HKF10_FN_MAININDICATOR</t>
        </is>
      </c>
      <c r="G287" s="32" t="n">
        <v>46263.25729217822</v>
      </c>
      <c r="H287" t="inlineStr">
        <is>
          <t>HKD</t>
        </is>
      </c>
      <c r="I287" t="inlineStr">
        <is>
          <t>HKD</t>
        </is>
      </c>
      <c r="J287" t="inlineStr">
        <is>
          <t>ok</t>
        </is>
      </c>
      <c r="L287" t="b">
        <v>0</v>
      </c>
      <c r="M287" t="inlineStr">
        <is>
          <t>东方财富</t>
        </is>
      </c>
      <c r="N287" t="b">
        <v>1</v>
      </c>
    </row>
    <row r="288">
      <c r="A288" t="inlineStr">
        <is>
          <t>A股</t>
        </is>
      </c>
      <c r="B288" t="inlineStr">
        <is>
          <t>000045</t>
        </is>
      </c>
      <c r="C288" t="inlineStr">
        <is>
          <t>深纺织Ａ</t>
        </is>
      </c>
      <c r="D288" t="inlineStr">
        <is>
          <t>最新行情</t>
        </is>
      </c>
      <c r="E288" t="inlineStr">
        <is>
          <t>东方财富</t>
        </is>
      </c>
      <c r="F288" t="inlineStr">
        <is>
          <t>push2 ulist.np/get f2,f20（按指定证券分批）</t>
        </is>
      </c>
      <c r="G288" s="32" t="n">
        <v>46263.25725224894</v>
      </c>
      <c r="H288" t="inlineStr">
        <is>
          <t>CNY</t>
        </is>
      </c>
      <c r="I288" t="inlineStr">
        <is>
          <t>CNY</t>
        </is>
      </c>
      <c r="J288" t="inlineStr">
        <is>
          <t>ok</t>
        </is>
      </c>
      <c r="L288" t="b">
        <v>0</v>
      </c>
      <c r="M288" t="inlineStr">
        <is>
          <t>东方财富</t>
        </is>
      </c>
      <c r="N288" t="b">
        <v>1</v>
      </c>
    </row>
    <row r="289">
      <c r="A289" t="inlineStr">
        <is>
          <t>A股</t>
        </is>
      </c>
      <c r="B289" t="inlineStr">
        <is>
          <t>000045</t>
        </is>
      </c>
      <c r="C289" t="inlineStr">
        <is>
          <t>深纺织Ａ</t>
        </is>
      </c>
      <c r="D289" t="inlineStr">
        <is>
          <t>大宗交易</t>
        </is>
      </c>
      <c r="E289" t="inlineStr">
        <is>
          <t>东方财富</t>
        </is>
      </c>
      <c r="F289" t="inlineStr">
        <is>
          <t>RPT_DATA_BLOCKTRADE 2026（全市场分页后本地聚合）</t>
        </is>
      </c>
      <c r="G289" s="32" t="n">
        <v>46263.25725717999</v>
      </c>
      <c r="H289" t="inlineStr">
        <is>
          <t>CNY</t>
        </is>
      </c>
      <c r="I289" t="inlineStr">
        <is>
          <t>CNY</t>
        </is>
      </c>
      <c r="J289" t="inlineStr">
        <is>
          <t>ok</t>
        </is>
      </c>
      <c r="L289" t="b">
        <v>0</v>
      </c>
      <c r="M289" t="inlineStr">
        <is>
          <t>东方财富</t>
        </is>
      </c>
      <c r="N289" t="b">
        <v>1</v>
      </c>
    </row>
    <row r="290">
      <c r="A290" t="inlineStr">
        <is>
          <t>A股</t>
        </is>
      </c>
      <c r="B290" t="inlineStr">
        <is>
          <t>000045</t>
        </is>
      </c>
      <c r="C290" t="inlineStr">
        <is>
          <t>深纺织Ａ</t>
        </is>
      </c>
      <c r="D290" t="inlineStr">
        <is>
          <t>年度财务</t>
        </is>
      </c>
      <c r="E290" t="inlineStr">
        <is>
          <t>东方财富</t>
        </is>
      </c>
      <c r="F290" t="inlineStr">
        <is>
          <t>RPT_LICO_FN_CPD + RPT_DMSK_FN_CASHFLOW；巨潮回退原因：未配置巨潮官方 API 凭证/端点（CNINFO_ACCESS_TOKEN、CNINFO_INCOME_API_URL、CNINFO_CASHFLOW_API_URL）</t>
        </is>
      </c>
      <c r="G290" s="32" t="n">
        <v>46263.25729816771</v>
      </c>
      <c r="H290" t="inlineStr">
        <is>
          <t>CNY</t>
        </is>
      </c>
      <c r="I290" t="inlineStr">
        <is>
          <t>CNY</t>
        </is>
      </c>
      <c r="J290" t="inlineStr">
        <is>
          <t>ok</t>
        </is>
      </c>
      <c r="L290" t="b">
        <v>1</v>
      </c>
      <c r="M290" t="inlineStr">
        <is>
          <t>巨潮资讯（CNINFO Data Service）</t>
        </is>
      </c>
      <c r="N290" t="b">
        <v>1</v>
      </c>
    </row>
    <row r="291">
      <c r="A291" t="inlineStr">
        <is>
          <t>A股</t>
        </is>
      </c>
      <c r="B291" t="inlineStr">
        <is>
          <t>000045</t>
        </is>
      </c>
      <c r="C291" t="inlineStr">
        <is>
          <t>深纺织Ａ</t>
        </is>
      </c>
      <c r="D291" t="inlineStr">
        <is>
          <t>上市与发行信息</t>
        </is>
      </c>
      <c r="E291" t="inlineStr">
        <is>
          <t>东方财富</t>
        </is>
      </c>
      <c r="F291" t="inlineStr">
        <is>
          <t>RPT_PCF10_ORG_ISSUEINFO</t>
        </is>
      </c>
      <c r="G291" s="32" t="n">
        <v>46263.25735459982</v>
      </c>
      <c r="H291" t="inlineStr">
        <is>
          <t>CNY</t>
        </is>
      </c>
      <c r="I291" t="inlineStr">
        <is>
          <t>CNY</t>
        </is>
      </c>
      <c r="J291" t="inlineStr">
        <is>
          <t>ok</t>
        </is>
      </c>
      <c r="L291" t="b">
        <v>0</v>
      </c>
      <c r="M291" t="inlineStr">
        <is>
          <t>东方财富</t>
        </is>
      </c>
      <c r="N291" t="b">
        <v>1</v>
      </c>
    </row>
    <row r="292">
      <c r="A292" t="inlineStr">
        <is>
          <t>A股</t>
        </is>
      </c>
      <c r="B292" t="inlineStr">
        <is>
          <t>000045</t>
        </is>
      </c>
      <c r="C292" t="inlineStr">
        <is>
          <t>深纺织Ａ</t>
        </is>
      </c>
      <c r="D292" t="inlineStr">
        <is>
          <t>资金流</t>
        </is>
      </c>
      <c r="E292" t="inlineStr">
        <is>
          <t>配置</t>
        </is>
      </c>
      <c r="F292" t="inlineStr">
        <is>
          <t>flow-mode-off</t>
        </is>
      </c>
      <c r="G292" s="32" t="n">
        <v>46263.25754607147</v>
      </c>
      <c r="I292" t="inlineStr">
        <is>
          <t>CNY</t>
        </is>
      </c>
      <c r="J292" t="inlineStr">
        <is>
          <t>optional_missing</t>
        </is>
      </c>
      <c r="K292" t="inlineStr">
        <is>
          <t>用户选择不抓取资金流</t>
        </is>
      </c>
      <c r="L292" t="b">
        <v>0</v>
      </c>
      <c r="M292" t="inlineStr">
        <is>
          <t>配置</t>
        </is>
      </c>
      <c r="N292" t="b">
        <v>0</v>
      </c>
    </row>
    <row r="293">
      <c r="A293" t="inlineStr">
        <is>
          <t>港股</t>
        </is>
      </c>
      <c r="B293" t="inlineStr">
        <is>
          <t>00034</t>
        </is>
      </c>
      <c r="C293" t="inlineStr">
        <is>
          <t>KOWLOON DEV</t>
        </is>
      </c>
      <c r="D293" t="inlineStr">
        <is>
          <t>最新行情</t>
        </is>
      </c>
      <c r="E293" t="inlineStr">
        <is>
          <t>东方财富</t>
        </is>
      </c>
      <c r="F293" t="inlineStr">
        <is>
          <t>push2 ulist.np/get f2,f20（按指定证券分批）</t>
        </is>
      </c>
      <c r="G293" s="32" t="n">
        <v>46263.25725224894</v>
      </c>
      <c r="H293" t="inlineStr">
        <is>
          <t>HKD</t>
        </is>
      </c>
      <c r="I293" t="inlineStr">
        <is>
          <t>HKD</t>
        </is>
      </c>
      <c r="J293" t="inlineStr">
        <is>
          <t>ok</t>
        </is>
      </c>
      <c r="L293" t="b">
        <v>0</v>
      </c>
      <c r="M293" t="inlineStr">
        <is>
          <t>东方财富</t>
        </is>
      </c>
      <c r="N293" t="b">
        <v>1</v>
      </c>
    </row>
    <row r="294">
      <c r="A294" t="inlineStr">
        <is>
          <t>港股</t>
        </is>
      </c>
      <c r="B294" t="inlineStr">
        <is>
          <t>00034</t>
        </is>
      </c>
      <c r="C294" t="inlineStr">
        <is>
          <t>KOWLOON DEV</t>
        </is>
      </c>
      <c r="D294" t="inlineStr">
        <is>
          <t>大宗交易</t>
        </is>
      </c>
      <c r="E294" t="inlineStr">
        <is>
          <t>东方财富</t>
        </is>
      </c>
      <c r="F294" t="inlineStr">
        <is>
          <t>not-applicable-hk</t>
        </is>
      </c>
      <c r="G294" s="32" t="n">
        <v>46263.25725433244</v>
      </c>
      <c r="I294" t="inlineStr">
        <is>
          <t>HKD</t>
        </is>
      </c>
      <c r="J294" t="inlineStr">
        <is>
          <t>optional_missing</t>
        </is>
      </c>
      <c r="K294" t="inlineStr">
        <is>
          <t>港股大宗交易按允许缺失规则留空</t>
        </is>
      </c>
      <c r="L294" t="b">
        <v>0</v>
      </c>
      <c r="M294" t="inlineStr">
        <is>
          <t>东方财富</t>
        </is>
      </c>
      <c r="N294" t="b">
        <v>1</v>
      </c>
    </row>
    <row r="295">
      <c r="A295" t="inlineStr">
        <is>
          <t>港股</t>
        </is>
      </c>
      <c r="B295" t="inlineStr">
        <is>
          <t>00034</t>
        </is>
      </c>
      <c r="C295" t="inlineStr">
        <is>
          <t>KOWLOON DEV</t>
        </is>
      </c>
      <c r="D295" t="inlineStr">
        <is>
          <t>年度财务</t>
        </is>
      </c>
      <c r="E295" t="inlineStr">
        <is>
          <t>东方财富</t>
        </is>
      </c>
      <c r="F295" t="inlineStr">
        <is>
          <t>RPT_HKF10_FN_MAININDICATOR</t>
        </is>
      </c>
      <c r="G295" s="32" t="n">
        <v>46263.25729279956</v>
      </c>
      <c r="H295" t="inlineStr">
        <is>
          <t>HKD</t>
        </is>
      </c>
      <c r="I295" t="inlineStr">
        <is>
          <t>HKD</t>
        </is>
      </c>
      <c r="J295" t="inlineStr">
        <is>
          <t>ok</t>
        </is>
      </c>
      <c r="L295" t="b">
        <v>0</v>
      </c>
      <c r="M295" t="inlineStr">
        <is>
          <t>东方财富</t>
        </is>
      </c>
      <c r="N295" t="b">
        <v>1</v>
      </c>
    </row>
    <row r="296">
      <c r="A296" t="inlineStr">
        <is>
          <t>港股</t>
        </is>
      </c>
      <c r="B296" t="inlineStr">
        <is>
          <t>00034</t>
        </is>
      </c>
      <c r="C296" t="inlineStr">
        <is>
          <t>KOWLOON DEV</t>
        </is>
      </c>
      <c r="D296" t="inlineStr">
        <is>
          <t>上市与发行信息</t>
        </is>
      </c>
      <c r="E296" t="inlineStr">
        <is>
          <t>东方财富</t>
        </is>
      </c>
      <c r="F296" t="inlineStr">
        <is>
          <t>RPT_HKF10_INFO_SECURITYINFO</t>
        </is>
      </c>
      <c r="G296" s="32" t="n">
        <v>46263.25735517892</v>
      </c>
      <c r="H296" t="inlineStr">
        <is>
          <t>HKD</t>
        </is>
      </c>
      <c r="I296" t="inlineStr">
        <is>
          <t>HKD</t>
        </is>
      </c>
      <c r="J296" t="inlineStr">
        <is>
          <t>ok</t>
        </is>
      </c>
      <c r="L296" t="b">
        <v>0</v>
      </c>
      <c r="M296" t="inlineStr">
        <is>
          <t>东方财富</t>
        </is>
      </c>
      <c r="N296" t="b">
        <v>1</v>
      </c>
    </row>
    <row r="297">
      <c r="A297" t="inlineStr">
        <is>
          <t>港股</t>
        </is>
      </c>
      <c r="B297" t="inlineStr">
        <is>
          <t>00034</t>
        </is>
      </c>
      <c r="C297" t="inlineStr">
        <is>
          <t>KOWLOON DEV</t>
        </is>
      </c>
      <c r="D297" t="inlineStr">
        <is>
          <t>资金流</t>
        </is>
      </c>
      <c r="E297" t="inlineStr">
        <is>
          <t>配置</t>
        </is>
      </c>
      <c r="F297" t="inlineStr">
        <is>
          <t>flow-mode-off</t>
        </is>
      </c>
      <c r="G297" s="32" t="n">
        <v>46263.25754607147</v>
      </c>
      <c r="I297" t="inlineStr">
        <is>
          <t>HKD</t>
        </is>
      </c>
      <c r="J297" t="inlineStr">
        <is>
          <t>optional_missing</t>
        </is>
      </c>
      <c r="K297" t="inlineStr">
        <is>
          <t>用户选择不抓取资金流</t>
        </is>
      </c>
      <c r="L297" t="b">
        <v>0</v>
      </c>
      <c r="M297" t="inlineStr">
        <is>
          <t>配置</t>
        </is>
      </c>
      <c r="N297" t="b">
        <v>0</v>
      </c>
    </row>
    <row r="298">
      <c r="A298" t="inlineStr">
        <is>
          <t>A股</t>
        </is>
      </c>
      <c r="B298" t="inlineStr">
        <is>
          <t>000048</t>
        </is>
      </c>
      <c r="C298" t="inlineStr">
        <is>
          <t>京基智农</t>
        </is>
      </c>
      <c r="D298" t="inlineStr">
        <is>
          <t>最新行情</t>
        </is>
      </c>
      <c r="E298" t="inlineStr">
        <is>
          <t>东方财富</t>
        </is>
      </c>
      <c r="F298" t="inlineStr">
        <is>
          <t>push2 ulist.np/get f2,f20（按指定证券分批）</t>
        </is>
      </c>
      <c r="G298" s="32" t="n">
        <v>46263.25725224894</v>
      </c>
      <c r="H298" t="inlineStr">
        <is>
          <t>CNY</t>
        </is>
      </c>
      <c r="I298" t="inlineStr">
        <is>
          <t>CNY</t>
        </is>
      </c>
      <c r="J298" t="inlineStr">
        <is>
          <t>ok</t>
        </is>
      </c>
      <c r="L298" t="b">
        <v>0</v>
      </c>
      <c r="M298" t="inlineStr">
        <is>
          <t>东方财富</t>
        </is>
      </c>
      <c r="N298" t="b">
        <v>1</v>
      </c>
    </row>
    <row r="299">
      <c r="A299" t="inlineStr">
        <is>
          <t>A股</t>
        </is>
      </c>
      <c r="B299" t="inlineStr">
        <is>
          <t>000048</t>
        </is>
      </c>
      <c r="C299" t="inlineStr">
        <is>
          <t>京基智农</t>
        </is>
      </c>
      <c r="D299" t="inlineStr">
        <is>
          <t>大宗交易</t>
        </is>
      </c>
      <c r="E299" t="inlineStr">
        <is>
          <t>东方财富</t>
        </is>
      </c>
      <c r="F299" t="inlineStr">
        <is>
          <t>RPT_DATA_BLOCKTRADE 2026（全市场分页后本地聚合）</t>
        </is>
      </c>
      <c r="G299" s="32" t="n">
        <v>46263.25725717999</v>
      </c>
      <c r="H299" t="inlineStr">
        <is>
          <t>CNY</t>
        </is>
      </c>
      <c r="I299" t="inlineStr">
        <is>
          <t>CNY</t>
        </is>
      </c>
      <c r="J299" t="inlineStr">
        <is>
          <t>ok</t>
        </is>
      </c>
      <c r="L299" t="b">
        <v>0</v>
      </c>
      <c r="M299" t="inlineStr">
        <is>
          <t>东方财富</t>
        </is>
      </c>
      <c r="N299" t="b">
        <v>1</v>
      </c>
    </row>
    <row r="300">
      <c r="A300" t="inlineStr">
        <is>
          <t>A股</t>
        </is>
      </c>
      <c r="B300" t="inlineStr">
        <is>
          <t>000048</t>
        </is>
      </c>
      <c r="C300" t="inlineStr">
        <is>
          <t>京基智农</t>
        </is>
      </c>
      <c r="D300" t="inlineStr">
        <is>
          <t>年度财务</t>
        </is>
      </c>
      <c r="E300" t="inlineStr">
        <is>
          <t>东方财富</t>
        </is>
      </c>
      <c r="F300" t="inlineStr">
        <is>
          <t>RPT_LICO_FN_CPD + RPT_DMSK_FN_CASHFLOW；巨潮回退原因：未配置巨潮官方 API 凭证/端点（CNINFO_ACCESS_TOKEN、CNINFO_INCOME_API_URL、CNINFO_CASHFLOW_API_URL）</t>
        </is>
      </c>
      <c r="G300" s="32" t="n">
        <v>46263.25730054538</v>
      </c>
      <c r="H300" t="inlineStr">
        <is>
          <t>CNY</t>
        </is>
      </c>
      <c r="I300" t="inlineStr">
        <is>
          <t>CNY</t>
        </is>
      </c>
      <c r="J300" t="inlineStr">
        <is>
          <t>ok</t>
        </is>
      </c>
      <c r="L300" t="b">
        <v>1</v>
      </c>
      <c r="M300" t="inlineStr">
        <is>
          <t>巨潮资讯（CNINFO Data Service）</t>
        </is>
      </c>
      <c r="N300" t="b">
        <v>1</v>
      </c>
    </row>
    <row r="301">
      <c r="A301" t="inlineStr">
        <is>
          <t>A股</t>
        </is>
      </c>
      <c r="B301" t="inlineStr">
        <is>
          <t>000048</t>
        </is>
      </c>
      <c r="C301" t="inlineStr">
        <is>
          <t>京基智农</t>
        </is>
      </c>
      <c r="D301" t="inlineStr">
        <is>
          <t>上市与发行信息</t>
        </is>
      </c>
      <c r="E301" t="inlineStr">
        <is>
          <t>东方财富</t>
        </is>
      </c>
      <c r="F301" t="inlineStr">
        <is>
          <t>RPT_PCF10_ORG_ISSUEINFO</t>
        </is>
      </c>
      <c r="G301" s="32" t="n">
        <v>46263.25735581816</v>
      </c>
      <c r="H301" t="inlineStr">
        <is>
          <t>CNY</t>
        </is>
      </c>
      <c r="I301" t="inlineStr">
        <is>
          <t>CNY</t>
        </is>
      </c>
      <c r="J301" t="inlineStr">
        <is>
          <t>ok</t>
        </is>
      </c>
      <c r="L301" t="b">
        <v>0</v>
      </c>
      <c r="M301" t="inlineStr">
        <is>
          <t>东方财富</t>
        </is>
      </c>
      <c r="N301" t="b">
        <v>1</v>
      </c>
    </row>
    <row r="302">
      <c r="A302" t="inlineStr">
        <is>
          <t>A股</t>
        </is>
      </c>
      <c r="B302" t="inlineStr">
        <is>
          <t>000048</t>
        </is>
      </c>
      <c r="C302" t="inlineStr">
        <is>
          <t>京基智农</t>
        </is>
      </c>
      <c r="D302" t="inlineStr">
        <is>
          <t>资金流</t>
        </is>
      </c>
      <c r="E302" t="inlineStr">
        <is>
          <t>配置</t>
        </is>
      </c>
      <c r="F302" t="inlineStr">
        <is>
          <t>flow-mode-off</t>
        </is>
      </c>
      <c r="G302" s="32" t="n">
        <v>46263.25754607147</v>
      </c>
      <c r="I302" t="inlineStr">
        <is>
          <t>CNY</t>
        </is>
      </c>
      <c r="J302" t="inlineStr">
        <is>
          <t>optional_missing</t>
        </is>
      </c>
      <c r="K302" t="inlineStr">
        <is>
          <t>用户选择不抓取资金流</t>
        </is>
      </c>
      <c r="L302" t="b">
        <v>0</v>
      </c>
      <c r="M302" t="inlineStr">
        <is>
          <t>配置</t>
        </is>
      </c>
      <c r="N302" t="b">
        <v>0</v>
      </c>
    </row>
    <row r="303">
      <c r="A303" t="inlineStr">
        <is>
          <t>港股</t>
        </is>
      </c>
      <c r="B303" t="inlineStr">
        <is>
          <t>00035</t>
        </is>
      </c>
      <c r="C303" t="inlineStr">
        <is>
          <t>FE CONSORT INTL</t>
        </is>
      </c>
      <c r="D303" t="inlineStr">
        <is>
          <t>最新行情</t>
        </is>
      </c>
      <c r="E303" t="inlineStr">
        <is>
          <t>东方财富</t>
        </is>
      </c>
      <c r="F303" t="inlineStr">
        <is>
          <t>push2 ulist.np/get f2,f20（按指定证券分批）</t>
        </is>
      </c>
      <c r="G303" s="32" t="n">
        <v>46263.25725224894</v>
      </c>
      <c r="H303" t="inlineStr">
        <is>
          <t>HKD</t>
        </is>
      </c>
      <c r="I303" t="inlineStr">
        <is>
          <t>HKD</t>
        </is>
      </c>
      <c r="J303" t="inlineStr">
        <is>
          <t>ok</t>
        </is>
      </c>
      <c r="L303" t="b">
        <v>0</v>
      </c>
      <c r="M303" t="inlineStr">
        <is>
          <t>东方财富</t>
        </is>
      </c>
      <c r="N303" t="b">
        <v>1</v>
      </c>
    </row>
    <row r="304">
      <c r="A304" t="inlineStr">
        <is>
          <t>港股</t>
        </is>
      </c>
      <c r="B304" t="inlineStr">
        <is>
          <t>00035</t>
        </is>
      </c>
      <c r="C304" t="inlineStr">
        <is>
          <t>FE CONSORT INTL</t>
        </is>
      </c>
      <c r="D304" t="inlineStr">
        <is>
          <t>大宗交易</t>
        </is>
      </c>
      <c r="E304" t="inlineStr">
        <is>
          <t>东方财富</t>
        </is>
      </c>
      <c r="F304" t="inlineStr">
        <is>
          <t>not-applicable-hk</t>
        </is>
      </c>
      <c r="G304" s="32" t="n">
        <v>46263.25725433244</v>
      </c>
      <c r="I304" t="inlineStr">
        <is>
          <t>HKD</t>
        </is>
      </c>
      <c r="J304" t="inlineStr">
        <is>
          <t>optional_missing</t>
        </is>
      </c>
      <c r="K304" t="inlineStr">
        <is>
          <t>港股大宗交易按允许缺失规则留空</t>
        </is>
      </c>
      <c r="L304" t="b">
        <v>0</v>
      </c>
      <c r="M304" t="inlineStr">
        <is>
          <t>东方财富</t>
        </is>
      </c>
      <c r="N304" t="b">
        <v>1</v>
      </c>
    </row>
    <row r="305">
      <c r="A305" t="inlineStr">
        <is>
          <t>港股</t>
        </is>
      </c>
      <c r="B305" t="inlineStr">
        <is>
          <t>00035</t>
        </is>
      </c>
      <c r="C305" t="inlineStr">
        <is>
          <t>FE CONSORT INTL</t>
        </is>
      </c>
      <c r="D305" t="inlineStr">
        <is>
          <t>年度财务</t>
        </is>
      </c>
      <c r="E305" t="inlineStr">
        <is>
          <t>东方财富</t>
        </is>
      </c>
      <c r="F305" t="inlineStr">
        <is>
          <t>RPT_HKF10_FN_MAININDICATOR</t>
        </is>
      </c>
      <c r="G305" s="32" t="n">
        <v>46263.25729589388</v>
      </c>
      <c r="H305" t="inlineStr">
        <is>
          <t>HKD</t>
        </is>
      </c>
      <c r="I305" t="inlineStr">
        <is>
          <t>HKD</t>
        </is>
      </c>
      <c r="J305" t="inlineStr">
        <is>
          <t>ok</t>
        </is>
      </c>
      <c r="L305" t="b">
        <v>0</v>
      </c>
      <c r="M305" t="inlineStr">
        <is>
          <t>东方财富</t>
        </is>
      </c>
      <c r="N305" t="b">
        <v>1</v>
      </c>
    </row>
    <row r="306">
      <c r="A306" t="inlineStr">
        <is>
          <t>港股</t>
        </is>
      </c>
      <c r="B306" t="inlineStr">
        <is>
          <t>00035</t>
        </is>
      </c>
      <c r="C306" t="inlineStr">
        <is>
          <t>FE CONSORT INTL</t>
        </is>
      </c>
      <c r="D306" t="inlineStr">
        <is>
          <t>上市与发行信息</t>
        </is>
      </c>
      <c r="E306" t="inlineStr">
        <is>
          <t>东方财富</t>
        </is>
      </c>
      <c r="F306" t="inlineStr">
        <is>
          <t>RPT_HKF10_INFO_SECURITYINFO</t>
        </is>
      </c>
      <c r="G306" s="32" t="n">
        <v>46263.25735641256</v>
      </c>
      <c r="H306" t="inlineStr">
        <is>
          <t>HKD</t>
        </is>
      </c>
      <c r="I306" t="inlineStr">
        <is>
          <t>HKD</t>
        </is>
      </c>
      <c r="J306" t="inlineStr">
        <is>
          <t>ok</t>
        </is>
      </c>
      <c r="L306" t="b">
        <v>0</v>
      </c>
      <c r="M306" t="inlineStr">
        <is>
          <t>东方财富</t>
        </is>
      </c>
      <c r="N306" t="b">
        <v>1</v>
      </c>
    </row>
    <row r="307">
      <c r="A307" t="inlineStr">
        <is>
          <t>港股</t>
        </is>
      </c>
      <c r="B307" t="inlineStr">
        <is>
          <t>00035</t>
        </is>
      </c>
      <c r="C307" t="inlineStr">
        <is>
          <t>FE CONSORT INTL</t>
        </is>
      </c>
      <c r="D307" t="inlineStr">
        <is>
          <t>资金流</t>
        </is>
      </c>
      <c r="E307" t="inlineStr">
        <is>
          <t>配置</t>
        </is>
      </c>
      <c r="F307" t="inlineStr">
        <is>
          <t>flow-mode-off</t>
        </is>
      </c>
      <c r="G307" s="32" t="n">
        <v>46263.25754607147</v>
      </c>
      <c r="I307" t="inlineStr">
        <is>
          <t>HKD</t>
        </is>
      </c>
      <c r="J307" t="inlineStr">
        <is>
          <t>optional_missing</t>
        </is>
      </c>
      <c r="K307" t="inlineStr">
        <is>
          <t>用户选择不抓取资金流</t>
        </is>
      </c>
      <c r="L307" t="b">
        <v>0</v>
      </c>
      <c r="M307" t="inlineStr">
        <is>
          <t>配置</t>
        </is>
      </c>
      <c r="N307" t="b">
        <v>0</v>
      </c>
    </row>
    <row r="308">
      <c r="A308" t="inlineStr">
        <is>
          <t>A股</t>
        </is>
      </c>
      <c r="B308" t="inlineStr">
        <is>
          <t>000049</t>
        </is>
      </c>
      <c r="C308" t="inlineStr">
        <is>
          <t>德赛电池</t>
        </is>
      </c>
      <c r="D308" t="inlineStr">
        <is>
          <t>最新行情</t>
        </is>
      </c>
      <c r="E308" t="inlineStr">
        <is>
          <t>东方财富</t>
        </is>
      </c>
      <c r="F308" t="inlineStr">
        <is>
          <t>push2 ulist.np/get f2,f20（按指定证券分批）</t>
        </is>
      </c>
      <c r="G308" s="32" t="n">
        <v>46263.25725224894</v>
      </c>
      <c r="H308" t="inlineStr">
        <is>
          <t>CNY</t>
        </is>
      </c>
      <c r="I308" t="inlineStr">
        <is>
          <t>CNY</t>
        </is>
      </c>
      <c r="J308" t="inlineStr">
        <is>
          <t>ok</t>
        </is>
      </c>
      <c r="L308" t="b">
        <v>0</v>
      </c>
      <c r="M308" t="inlineStr">
        <is>
          <t>东方财富</t>
        </is>
      </c>
      <c r="N308" t="b">
        <v>1</v>
      </c>
    </row>
    <row r="309">
      <c r="A309" t="inlineStr">
        <is>
          <t>A股</t>
        </is>
      </c>
      <c r="B309" t="inlineStr">
        <is>
          <t>000049</t>
        </is>
      </c>
      <c r="C309" t="inlineStr">
        <is>
          <t>德赛电池</t>
        </is>
      </c>
      <c r="D309" t="inlineStr">
        <is>
          <t>大宗交易</t>
        </is>
      </c>
      <c r="E309" t="inlineStr">
        <is>
          <t>东方财富</t>
        </is>
      </c>
      <c r="F309" t="inlineStr">
        <is>
          <t>RPT_DATA_BLOCKTRADE 2026（全市场分页后本地聚合）</t>
        </is>
      </c>
      <c r="G309" s="32" t="n">
        <v>46263.25725717999</v>
      </c>
      <c r="H309" t="inlineStr">
        <is>
          <t>CNY</t>
        </is>
      </c>
      <c r="I309" t="inlineStr">
        <is>
          <t>CNY</t>
        </is>
      </c>
      <c r="J309" t="inlineStr">
        <is>
          <t>ok</t>
        </is>
      </c>
      <c r="L309" t="b">
        <v>0</v>
      </c>
      <c r="M309" t="inlineStr">
        <is>
          <t>东方财富</t>
        </is>
      </c>
      <c r="N309" t="b">
        <v>1</v>
      </c>
    </row>
    <row r="310">
      <c r="A310" t="inlineStr">
        <is>
          <t>A股</t>
        </is>
      </c>
      <c r="B310" t="inlineStr">
        <is>
          <t>000049</t>
        </is>
      </c>
      <c r="C310" t="inlineStr">
        <is>
          <t>德赛电池</t>
        </is>
      </c>
      <c r="D310" t="inlineStr">
        <is>
          <t>年度财务</t>
        </is>
      </c>
      <c r="E310" t="inlineStr">
        <is>
          <t>东方财富</t>
        </is>
      </c>
      <c r="F310" t="inlineStr">
        <is>
          <t>RPT_LICO_FN_CPD + RPT_DMSK_FN_CASHFLOW；巨潮回退原因：未配置巨潮官方 API 凭证/端点（CNINFO_ACCESS_TOKEN、CNINFO_INCOME_API_URL、CNINFO_CASHFLOW_API_URL）</t>
        </is>
      </c>
      <c r="G310" s="32" t="n">
        <v>46263.25730312098</v>
      </c>
      <c r="H310" t="inlineStr">
        <is>
          <t>CNY</t>
        </is>
      </c>
      <c r="I310" t="inlineStr">
        <is>
          <t>CNY</t>
        </is>
      </c>
      <c r="J310" t="inlineStr">
        <is>
          <t>ok</t>
        </is>
      </c>
      <c r="L310" t="b">
        <v>1</v>
      </c>
      <c r="M310" t="inlineStr">
        <is>
          <t>巨潮资讯（CNINFO Data Service）</t>
        </is>
      </c>
      <c r="N310" t="b">
        <v>1</v>
      </c>
    </row>
    <row r="311">
      <c r="A311" t="inlineStr">
        <is>
          <t>A股</t>
        </is>
      </c>
      <c r="B311" t="inlineStr">
        <is>
          <t>000049</t>
        </is>
      </c>
      <c r="C311" t="inlineStr">
        <is>
          <t>德赛电池</t>
        </is>
      </c>
      <c r="D311" t="inlineStr">
        <is>
          <t>上市与发行信息</t>
        </is>
      </c>
      <c r="E311" t="inlineStr">
        <is>
          <t>东方财富</t>
        </is>
      </c>
      <c r="F311" t="inlineStr">
        <is>
          <t>RPT_PCF10_ORG_ISSUEINFO</t>
        </is>
      </c>
      <c r="G311" s="32" t="n">
        <v>46263.25735724672</v>
      </c>
      <c r="H311" t="inlineStr">
        <is>
          <t>CNY</t>
        </is>
      </c>
      <c r="I311" t="inlineStr">
        <is>
          <t>CNY</t>
        </is>
      </c>
      <c r="J311" t="inlineStr">
        <is>
          <t>ok</t>
        </is>
      </c>
      <c r="L311" t="b">
        <v>0</v>
      </c>
      <c r="M311" t="inlineStr">
        <is>
          <t>东方财富</t>
        </is>
      </c>
      <c r="N311" t="b">
        <v>1</v>
      </c>
    </row>
    <row r="312">
      <c r="A312" t="inlineStr">
        <is>
          <t>A股</t>
        </is>
      </c>
      <c r="B312" t="inlineStr">
        <is>
          <t>000049</t>
        </is>
      </c>
      <c r="C312" t="inlineStr">
        <is>
          <t>德赛电池</t>
        </is>
      </c>
      <c r="D312" t="inlineStr">
        <is>
          <t>资金流</t>
        </is>
      </c>
      <c r="E312" t="inlineStr">
        <is>
          <t>配置</t>
        </is>
      </c>
      <c r="F312" t="inlineStr">
        <is>
          <t>flow-mode-off</t>
        </is>
      </c>
      <c r="G312" s="32" t="n">
        <v>46263.25754607147</v>
      </c>
      <c r="I312" t="inlineStr">
        <is>
          <t>CNY</t>
        </is>
      </c>
      <c r="J312" t="inlineStr">
        <is>
          <t>optional_missing</t>
        </is>
      </c>
      <c r="K312" t="inlineStr">
        <is>
          <t>用户选择不抓取资金流</t>
        </is>
      </c>
      <c r="L312" t="b">
        <v>0</v>
      </c>
      <c r="M312" t="inlineStr">
        <is>
          <t>配置</t>
        </is>
      </c>
      <c r="N312" t="b">
        <v>0</v>
      </c>
    </row>
    <row r="313">
      <c r="A313" t="inlineStr">
        <is>
          <t>港股</t>
        </is>
      </c>
      <c r="B313" t="inlineStr">
        <is>
          <t>00036</t>
        </is>
      </c>
      <c r="C313" t="inlineStr">
        <is>
          <t>FE HLDGS INTL</t>
        </is>
      </c>
      <c r="D313" t="inlineStr">
        <is>
          <t>最新行情</t>
        </is>
      </c>
      <c r="E313" t="inlineStr">
        <is>
          <t>东方财富</t>
        </is>
      </c>
      <c r="F313" t="inlineStr">
        <is>
          <t>push2 ulist.np/get f2,f20（按指定证券分批）</t>
        </is>
      </c>
      <c r="G313" s="32" t="n">
        <v>46263.25725224894</v>
      </c>
      <c r="H313" t="inlineStr">
        <is>
          <t>HKD</t>
        </is>
      </c>
      <c r="I313" t="inlineStr">
        <is>
          <t>HKD</t>
        </is>
      </c>
      <c r="J313" t="inlineStr">
        <is>
          <t>ok</t>
        </is>
      </c>
      <c r="L313" t="b">
        <v>0</v>
      </c>
      <c r="M313" t="inlineStr">
        <is>
          <t>东方财富</t>
        </is>
      </c>
      <c r="N313" t="b">
        <v>1</v>
      </c>
    </row>
    <row r="314">
      <c r="A314" t="inlineStr">
        <is>
          <t>港股</t>
        </is>
      </c>
      <c r="B314" t="inlineStr">
        <is>
          <t>00036</t>
        </is>
      </c>
      <c r="C314" t="inlineStr">
        <is>
          <t>FE HLDGS INTL</t>
        </is>
      </c>
      <c r="D314" t="inlineStr">
        <is>
          <t>大宗交易</t>
        </is>
      </c>
      <c r="E314" t="inlineStr">
        <is>
          <t>东方财富</t>
        </is>
      </c>
      <c r="F314" t="inlineStr">
        <is>
          <t>not-applicable-hk</t>
        </is>
      </c>
      <c r="G314" s="32" t="n">
        <v>46263.25725433244</v>
      </c>
      <c r="I314" t="inlineStr">
        <is>
          <t>HKD</t>
        </is>
      </c>
      <c r="J314" t="inlineStr">
        <is>
          <t>optional_missing</t>
        </is>
      </c>
      <c r="K314" t="inlineStr">
        <is>
          <t>港股大宗交易按允许缺失规则留空</t>
        </is>
      </c>
      <c r="L314" t="b">
        <v>0</v>
      </c>
      <c r="M314" t="inlineStr">
        <is>
          <t>东方财富</t>
        </is>
      </c>
      <c r="N314" t="b">
        <v>1</v>
      </c>
    </row>
    <row r="315">
      <c r="A315" t="inlineStr">
        <is>
          <t>港股</t>
        </is>
      </c>
      <c r="B315" t="inlineStr">
        <is>
          <t>00036</t>
        </is>
      </c>
      <c r="C315" t="inlineStr">
        <is>
          <t>FE HLDGS INTL</t>
        </is>
      </c>
      <c r="D315" t="inlineStr">
        <is>
          <t>年度财务</t>
        </is>
      </c>
      <c r="E315" t="inlineStr">
        <is>
          <t>东方财富</t>
        </is>
      </c>
      <c r="F315" t="inlineStr">
        <is>
          <t>RPT_HKF10_FN_MAININDICATOR</t>
        </is>
      </c>
      <c r="G315" s="32" t="n">
        <v>46263.25729614498</v>
      </c>
      <c r="H315" t="inlineStr">
        <is>
          <t>HKD</t>
        </is>
      </c>
      <c r="I315" t="inlineStr">
        <is>
          <t>HKD</t>
        </is>
      </c>
      <c r="J315" t="inlineStr">
        <is>
          <t>ok</t>
        </is>
      </c>
      <c r="L315" t="b">
        <v>0</v>
      </c>
      <c r="M315" t="inlineStr">
        <is>
          <t>东方财富</t>
        </is>
      </c>
      <c r="N315" t="b">
        <v>1</v>
      </c>
    </row>
    <row r="316">
      <c r="A316" t="inlineStr">
        <is>
          <t>港股</t>
        </is>
      </c>
      <c r="B316" t="inlineStr">
        <is>
          <t>00036</t>
        </is>
      </c>
      <c r="C316" t="inlineStr">
        <is>
          <t>FE HLDGS INTL</t>
        </is>
      </c>
      <c r="D316" t="inlineStr">
        <is>
          <t>上市与发行信息</t>
        </is>
      </c>
      <c r="E316" t="inlineStr">
        <is>
          <t>东方财富</t>
        </is>
      </c>
      <c r="F316" t="inlineStr">
        <is>
          <t>RPT_HKF10_INFO_SECURITYINFO</t>
        </is>
      </c>
      <c r="G316" s="32" t="n">
        <v>46263.25735770391</v>
      </c>
      <c r="H316" t="inlineStr">
        <is>
          <t>HKD</t>
        </is>
      </c>
      <c r="I316" t="inlineStr">
        <is>
          <t>HKD</t>
        </is>
      </c>
      <c r="J316" t="inlineStr">
        <is>
          <t>ok</t>
        </is>
      </c>
      <c r="L316" t="b">
        <v>0</v>
      </c>
      <c r="M316" t="inlineStr">
        <is>
          <t>东方财富</t>
        </is>
      </c>
      <c r="N316" t="b">
        <v>1</v>
      </c>
    </row>
    <row r="317">
      <c r="A317" t="inlineStr">
        <is>
          <t>港股</t>
        </is>
      </c>
      <c r="B317" t="inlineStr">
        <is>
          <t>00036</t>
        </is>
      </c>
      <c r="C317" t="inlineStr">
        <is>
          <t>FE HLDGS INTL</t>
        </is>
      </c>
      <c r="D317" t="inlineStr">
        <is>
          <t>资金流</t>
        </is>
      </c>
      <c r="E317" t="inlineStr">
        <is>
          <t>配置</t>
        </is>
      </c>
      <c r="F317" t="inlineStr">
        <is>
          <t>flow-mode-off</t>
        </is>
      </c>
      <c r="G317" s="32" t="n">
        <v>46263.25754607147</v>
      </c>
      <c r="I317" t="inlineStr">
        <is>
          <t>HKD</t>
        </is>
      </c>
      <c r="J317" t="inlineStr">
        <is>
          <t>optional_missing</t>
        </is>
      </c>
      <c r="K317" t="inlineStr">
        <is>
          <t>用户选择不抓取资金流</t>
        </is>
      </c>
      <c r="L317" t="b">
        <v>0</v>
      </c>
      <c r="M317" t="inlineStr">
        <is>
          <t>配置</t>
        </is>
      </c>
      <c r="N317" t="b">
        <v>0</v>
      </c>
    </row>
    <row r="318">
      <c r="A318" t="inlineStr">
        <is>
          <t>A股</t>
        </is>
      </c>
      <c r="B318" t="inlineStr">
        <is>
          <t>000050</t>
        </is>
      </c>
      <c r="C318" t="inlineStr">
        <is>
          <t>深天马Ａ</t>
        </is>
      </c>
      <c r="D318" t="inlineStr">
        <is>
          <t>最新行情</t>
        </is>
      </c>
      <c r="E318" t="inlineStr">
        <is>
          <t>东方财富</t>
        </is>
      </c>
      <c r="F318" t="inlineStr">
        <is>
          <t>push2 ulist.np/get f2,f20（按指定证券分批）</t>
        </is>
      </c>
      <c r="G318" s="32" t="n">
        <v>46263.25725224894</v>
      </c>
      <c r="H318" t="inlineStr">
        <is>
          <t>CNY</t>
        </is>
      </c>
      <c r="I318" t="inlineStr">
        <is>
          <t>CNY</t>
        </is>
      </c>
      <c r="J318" t="inlineStr">
        <is>
          <t>ok</t>
        </is>
      </c>
      <c r="L318" t="b">
        <v>0</v>
      </c>
      <c r="M318" t="inlineStr">
        <is>
          <t>东方财富</t>
        </is>
      </c>
      <c r="N318" t="b">
        <v>1</v>
      </c>
    </row>
    <row r="319">
      <c r="A319" t="inlineStr">
        <is>
          <t>A股</t>
        </is>
      </c>
      <c r="B319" t="inlineStr">
        <is>
          <t>000050</t>
        </is>
      </c>
      <c r="C319" t="inlineStr">
        <is>
          <t>深天马Ａ</t>
        </is>
      </c>
      <c r="D319" t="inlineStr">
        <is>
          <t>大宗交易</t>
        </is>
      </c>
      <c r="E319" t="inlineStr">
        <is>
          <t>东方财富</t>
        </is>
      </c>
      <c r="F319" t="inlineStr">
        <is>
          <t>RPT_DATA_BLOCKTRADE 2026（全市场分页后本地聚合）</t>
        </is>
      </c>
      <c r="G319" s="32" t="n">
        <v>46263.25725717999</v>
      </c>
      <c r="H319" t="inlineStr">
        <is>
          <t>CNY</t>
        </is>
      </c>
      <c r="I319" t="inlineStr">
        <is>
          <t>CNY</t>
        </is>
      </c>
      <c r="J319" t="inlineStr">
        <is>
          <t>ok</t>
        </is>
      </c>
      <c r="L319" t="b">
        <v>0</v>
      </c>
      <c r="M319" t="inlineStr">
        <is>
          <t>东方财富</t>
        </is>
      </c>
      <c r="N319" t="b">
        <v>1</v>
      </c>
    </row>
    <row r="320">
      <c r="A320" t="inlineStr">
        <is>
          <t>A股</t>
        </is>
      </c>
      <c r="B320" t="inlineStr">
        <is>
          <t>000050</t>
        </is>
      </c>
      <c r="C320" t="inlineStr">
        <is>
          <t>深天马Ａ</t>
        </is>
      </c>
      <c r="D320" t="inlineStr">
        <is>
          <t>年度财务</t>
        </is>
      </c>
      <c r="E320" t="inlineStr">
        <is>
          <t>东方财富</t>
        </is>
      </c>
      <c r="F320" t="inlineStr">
        <is>
          <t>RPT_LICO_FN_CPD + RPT_DMSK_FN_CASHFLOW；巨潮回退原因：未配置巨潮官方 API 凭证/端点（CNINFO_ACCESS_TOKEN、CNINFO_INCOME_API_URL、CNINFO_CASHFLOW_API_URL）</t>
        </is>
      </c>
      <c r="G320" s="32" t="n">
        <v>46263.25730248331</v>
      </c>
      <c r="H320" t="inlineStr">
        <is>
          <t>CNY</t>
        </is>
      </c>
      <c r="I320" t="inlineStr">
        <is>
          <t>CNY</t>
        </is>
      </c>
      <c r="J320" t="inlineStr">
        <is>
          <t>ok</t>
        </is>
      </c>
      <c r="L320" t="b">
        <v>1</v>
      </c>
      <c r="M320" t="inlineStr">
        <is>
          <t>巨潮资讯（CNINFO Data Service）</t>
        </is>
      </c>
      <c r="N320" t="b">
        <v>1</v>
      </c>
    </row>
    <row r="321">
      <c r="A321" t="inlineStr">
        <is>
          <t>A股</t>
        </is>
      </c>
      <c r="B321" t="inlineStr">
        <is>
          <t>000050</t>
        </is>
      </c>
      <c r="C321" t="inlineStr">
        <is>
          <t>深天马Ａ</t>
        </is>
      </c>
      <c r="D321" t="inlineStr">
        <is>
          <t>上市与发行信息</t>
        </is>
      </c>
      <c r="E321" t="inlineStr">
        <is>
          <t>东方财富</t>
        </is>
      </c>
      <c r="F321" t="inlineStr">
        <is>
          <t>RPT_PCF10_ORG_ISSUEINFO</t>
        </is>
      </c>
      <c r="G321" s="32" t="n">
        <v>46263.25735807746</v>
      </c>
      <c r="H321" t="inlineStr">
        <is>
          <t>CNY</t>
        </is>
      </c>
      <c r="I321" t="inlineStr">
        <is>
          <t>CNY</t>
        </is>
      </c>
      <c r="J321" t="inlineStr">
        <is>
          <t>ok</t>
        </is>
      </c>
      <c r="L321" t="b">
        <v>0</v>
      </c>
      <c r="M321" t="inlineStr">
        <is>
          <t>东方财富</t>
        </is>
      </c>
      <c r="N321" t="b">
        <v>1</v>
      </c>
    </row>
    <row r="322">
      <c r="A322" t="inlineStr">
        <is>
          <t>A股</t>
        </is>
      </c>
      <c r="B322" t="inlineStr">
        <is>
          <t>000050</t>
        </is>
      </c>
      <c r="C322" t="inlineStr">
        <is>
          <t>深天马Ａ</t>
        </is>
      </c>
      <c r="D322" t="inlineStr">
        <is>
          <t>资金流</t>
        </is>
      </c>
      <c r="E322" t="inlineStr">
        <is>
          <t>配置</t>
        </is>
      </c>
      <c r="F322" t="inlineStr">
        <is>
          <t>flow-mode-off</t>
        </is>
      </c>
      <c r="G322" s="32" t="n">
        <v>46263.25754607147</v>
      </c>
      <c r="I322" t="inlineStr">
        <is>
          <t>CNY</t>
        </is>
      </c>
      <c r="J322" t="inlineStr">
        <is>
          <t>optional_missing</t>
        </is>
      </c>
      <c r="K322" t="inlineStr">
        <is>
          <t>用户选择不抓取资金流</t>
        </is>
      </c>
      <c r="L322" t="b">
        <v>0</v>
      </c>
      <c r="M322" t="inlineStr">
        <is>
          <t>配置</t>
        </is>
      </c>
      <c r="N322" t="b">
        <v>0</v>
      </c>
    </row>
    <row r="323">
      <c r="A323" t="inlineStr">
        <is>
          <t>港股</t>
        </is>
      </c>
      <c r="B323" t="inlineStr">
        <is>
          <t>00037</t>
        </is>
      </c>
      <c r="C323" t="inlineStr">
        <is>
          <t>FE HOTELS</t>
        </is>
      </c>
      <c r="D323" t="inlineStr">
        <is>
          <t>最新行情</t>
        </is>
      </c>
      <c r="E323" t="inlineStr">
        <is>
          <t>东方财富</t>
        </is>
      </c>
      <c r="F323" t="inlineStr">
        <is>
          <t>push2 ulist.np/get f2,f20（按指定证券分批）</t>
        </is>
      </c>
      <c r="G323" s="32" t="n">
        <v>46263.25725224894</v>
      </c>
      <c r="H323" t="inlineStr">
        <is>
          <t>HKD</t>
        </is>
      </c>
      <c r="I323" t="inlineStr">
        <is>
          <t>HKD</t>
        </is>
      </c>
      <c r="J323" t="inlineStr">
        <is>
          <t>ok</t>
        </is>
      </c>
      <c r="L323" t="b">
        <v>0</v>
      </c>
      <c r="M323" t="inlineStr">
        <is>
          <t>东方财富</t>
        </is>
      </c>
      <c r="N323" t="b">
        <v>1</v>
      </c>
    </row>
    <row r="324">
      <c r="A324" t="inlineStr">
        <is>
          <t>港股</t>
        </is>
      </c>
      <c r="B324" t="inlineStr">
        <is>
          <t>00037</t>
        </is>
      </c>
      <c r="C324" t="inlineStr">
        <is>
          <t>FE HOTELS</t>
        </is>
      </c>
      <c r="D324" t="inlineStr">
        <is>
          <t>大宗交易</t>
        </is>
      </c>
      <c r="E324" t="inlineStr">
        <is>
          <t>东方财富</t>
        </is>
      </c>
      <c r="F324" t="inlineStr">
        <is>
          <t>not-applicable-hk</t>
        </is>
      </c>
      <c r="G324" s="32" t="n">
        <v>46263.25725433244</v>
      </c>
      <c r="I324" t="inlineStr">
        <is>
          <t>HKD</t>
        </is>
      </c>
      <c r="J324" t="inlineStr">
        <is>
          <t>optional_missing</t>
        </is>
      </c>
      <c r="K324" t="inlineStr">
        <is>
          <t>港股大宗交易按允许缺失规则留空</t>
        </is>
      </c>
      <c r="L324" t="b">
        <v>0</v>
      </c>
      <c r="M324" t="inlineStr">
        <is>
          <t>东方财富</t>
        </is>
      </c>
      <c r="N324" t="b">
        <v>1</v>
      </c>
    </row>
    <row r="325">
      <c r="A325" t="inlineStr">
        <is>
          <t>港股</t>
        </is>
      </c>
      <c r="B325" t="inlineStr">
        <is>
          <t>00037</t>
        </is>
      </c>
      <c r="C325" t="inlineStr">
        <is>
          <t>FE HOTELS</t>
        </is>
      </c>
      <c r="D325" t="inlineStr">
        <is>
          <t>年度财务</t>
        </is>
      </c>
      <c r="E325" t="inlineStr">
        <is>
          <t>东方财富</t>
        </is>
      </c>
      <c r="F325" t="inlineStr">
        <is>
          <t>RPT_HKF10_FN_MAININDICATOR</t>
        </is>
      </c>
      <c r="G325" s="32" t="n">
        <v>46263.25729742381</v>
      </c>
      <c r="H325" t="inlineStr">
        <is>
          <t>HKD</t>
        </is>
      </c>
      <c r="I325" t="inlineStr">
        <is>
          <t>HKD</t>
        </is>
      </c>
      <c r="J325" t="inlineStr">
        <is>
          <t>ok</t>
        </is>
      </c>
      <c r="L325" t="b">
        <v>0</v>
      </c>
      <c r="M325" t="inlineStr">
        <is>
          <t>东方财富</t>
        </is>
      </c>
      <c r="N325" t="b">
        <v>1</v>
      </c>
    </row>
    <row r="326">
      <c r="A326" t="inlineStr">
        <is>
          <t>港股</t>
        </is>
      </c>
      <c r="B326" t="inlineStr">
        <is>
          <t>00037</t>
        </is>
      </c>
      <c r="C326" t="inlineStr">
        <is>
          <t>FE HOTELS</t>
        </is>
      </c>
      <c r="D326" t="inlineStr">
        <is>
          <t>上市与发行信息</t>
        </is>
      </c>
      <c r="E326" t="inlineStr">
        <is>
          <t>东方财富</t>
        </is>
      </c>
      <c r="F326" t="inlineStr">
        <is>
          <t>RPT_HKF10_INFO_SECURITYINFO</t>
        </is>
      </c>
      <c r="G326" s="32" t="n">
        <v>46263.25735870917</v>
      </c>
      <c r="H326" t="inlineStr">
        <is>
          <t>HKD</t>
        </is>
      </c>
      <c r="I326" t="inlineStr">
        <is>
          <t>HKD</t>
        </is>
      </c>
      <c r="J326" t="inlineStr">
        <is>
          <t>ok</t>
        </is>
      </c>
      <c r="L326" t="b">
        <v>0</v>
      </c>
      <c r="M326" t="inlineStr">
        <is>
          <t>东方财富</t>
        </is>
      </c>
      <c r="N326" t="b">
        <v>1</v>
      </c>
    </row>
    <row r="327">
      <c r="A327" t="inlineStr">
        <is>
          <t>港股</t>
        </is>
      </c>
      <c r="B327" t="inlineStr">
        <is>
          <t>00037</t>
        </is>
      </c>
      <c r="C327" t="inlineStr">
        <is>
          <t>FE HOTELS</t>
        </is>
      </c>
      <c r="D327" t="inlineStr">
        <is>
          <t>资金流</t>
        </is>
      </c>
      <c r="E327" t="inlineStr">
        <is>
          <t>配置</t>
        </is>
      </c>
      <c r="F327" t="inlineStr">
        <is>
          <t>flow-mode-off</t>
        </is>
      </c>
      <c r="G327" s="32" t="n">
        <v>46263.25754607147</v>
      </c>
      <c r="I327" t="inlineStr">
        <is>
          <t>HKD</t>
        </is>
      </c>
      <c r="J327" t="inlineStr">
        <is>
          <t>optional_missing</t>
        </is>
      </c>
      <c r="K327" t="inlineStr">
        <is>
          <t>用户选择不抓取资金流</t>
        </is>
      </c>
      <c r="L327" t="b">
        <v>0</v>
      </c>
      <c r="M327" t="inlineStr">
        <is>
          <t>配置</t>
        </is>
      </c>
      <c r="N327" t="b">
        <v>0</v>
      </c>
    </row>
    <row r="328">
      <c r="A328" t="inlineStr">
        <is>
          <t>A股</t>
        </is>
      </c>
      <c r="B328" t="inlineStr">
        <is>
          <t>000055</t>
        </is>
      </c>
      <c r="C328" t="inlineStr">
        <is>
          <t>方大集团</t>
        </is>
      </c>
      <c r="D328" t="inlineStr">
        <is>
          <t>最新行情</t>
        </is>
      </c>
      <c r="E328" t="inlineStr">
        <is>
          <t>东方财富</t>
        </is>
      </c>
      <c r="F328" t="inlineStr">
        <is>
          <t>push2 ulist.np/get f2,f20（按指定证券分批）</t>
        </is>
      </c>
      <c r="G328" s="32" t="n">
        <v>46263.25725224894</v>
      </c>
      <c r="H328" t="inlineStr">
        <is>
          <t>CNY</t>
        </is>
      </c>
      <c r="I328" t="inlineStr">
        <is>
          <t>CNY</t>
        </is>
      </c>
      <c r="J328" t="inlineStr">
        <is>
          <t>ok</t>
        </is>
      </c>
      <c r="L328" t="b">
        <v>0</v>
      </c>
      <c r="M328" t="inlineStr">
        <is>
          <t>东方财富</t>
        </is>
      </c>
      <c r="N328" t="b">
        <v>1</v>
      </c>
    </row>
    <row r="329">
      <c r="A329" t="inlineStr">
        <is>
          <t>A股</t>
        </is>
      </c>
      <c r="B329" t="inlineStr">
        <is>
          <t>000055</t>
        </is>
      </c>
      <c r="C329" t="inlineStr">
        <is>
          <t>方大集团</t>
        </is>
      </c>
      <c r="D329" t="inlineStr">
        <is>
          <t>大宗交易</t>
        </is>
      </c>
      <c r="E329" t="inlineStr">
        <is>
          <t>东方财富</t>
        </is>
      </c>
      <c r="F329" t="inlineStr">
        <is>
          <t>RPT_DATA_BLOCKTRADE 2026（全市场分页后本地聚合）</t>
        </is>
      </c>
      <c r="G329" s="32" t="n">
        <v>46263.25725717999</v>
      </c>
      <c r="H329" t="inlineStr">
        <is>
          <t>CNY</t>
        </is>
      </c>
      <c r="I329" t="inlineStr">
        <is>
          <t>CNY</t>
        </is>
      </c>
      <c r="J329" t="inlineStr">
        <is>
          <t>ok</t>
        </is>
      </c>
      <c r="L329" t="b">
        <v>0</v>
      </c>
      <c r="M329" t="inlineStr">
        <is>
          <t>东方财富</t>
        </is>
      </c>
      <c r="N329" t="b">
        <v>1</v>
      </c>
    </row>
    <row r="330">
      <c r="A330" t="inlineStr">
        <is>
          <t>A股</t>
        </is>
      </c>
      <c r="B330" t="inlineStr">
        <is>
          <t>000055</t>
        </is>
      </c>
      <c r="C330" t="inlineStr">
        <is>
          <t>方大集团</t>
        </is>
      </c>
      <c r="D330" t="inlineStr">
        <is>
          <t>年度财务</t>
        </is>
      </c>
      <c r="E330" t="inlineStr">
        <is>
          <t>东方财富</t>
        </is>
      </c>
      <c r="F330" t="inlineStr">
        <is>
          <t>RPT_LICO_FN_CPD + RPT_DMSK_FN_CASHFLOW；巨潮回退原因：未配置巨潮官方 API 凭证/端点（CNINFO_ACCESS_TOKEN、CNINFO_INCOME_API_URL、CNINFO_CASHFLOW_API_URL）</t>
        </is>
      </c>
      <c r="G330" s="32" t="n">
        <v>46263.25730398783</v>
      </c>
      <c r="H330" t="inlineStr">
        <is>
          <t>CNY</t>
        </is>
      </c>
      <c r="I330" t="inlineStr">
        <is>
          <t>CNY</t>
        </is>
      </c>
      <c r="J330" t="inlineStr">
        <is>
          <t>ok</t>
        </is>
      </c>
      <c r="L330" t="b">
        <v>1</v>
      </c>
      <c r="M330" t="inlineStr">
        <is>
          <t>巨潮资讯（CNINFO Data Service）</t>
        </is>
      </c>
      <c r="N330" t="b">
        <v>1</v>
      </c>
    </row>
    <row r="331">
      <c r="A331" t="inlineStr">
        <is>
          <t>A股</t>
        </is>
      </c>
      <c r="B331" t="inlineStr">
        <is>
          <t>000055</t>
        </is>
      </c>
      <c r="C331" t="inlineStr">
        <is>
          <t>方大集团</t>
        </is>
      </c>
      <c r="D331" t="inlineStr">
        <is>
          <t>上市与发行信息</t>
        </is>
      </c>
      <c r="E331" t="inlineStr">
        <is>
          <t>东方财富</t>
        </is>
      </c>
      <c r="F331" t="inlineStr">
        <is>
          <t>RPT_PCF10_ORG_ISSUEINFO</t>
        </is>
      </c>
      <c r="G331" s="32" t="n">
        <v>46263.25735923418</v>
      </c>
      <c r="H331" t="inlineStr">
        <is>
          <t>CNY</t>
        </is>
      </c>
      <c r="I331" t="inlineStr">
        <is>
          <t>CNY</t>
        </is>
      </c>
      <c r="J331" t="inlineStr">
        <is>
          <t>ok</t>
        </is>
      </c>
      <c r="L331" t="b">
        <v>0</v>
      </c>
      <c r="M331" t="inlineStr">
        <is>
          <t>东方财富</t>
        </is>
      </c>
      <c r="N331" t="b">
        <v>1</v>
      </c>
    </row>
    <row r="332">
      <c r="A332" t="inlineStr">
        <is>
          <t>A股</t>
        </is>
      </c>
      <c r="B332" t="inlineStr">
        <is>
          <t>000055</t>
        </is>
      </c>
      <c r="C332" t="inlineStr">
        <is>
          <t>方大集团</t>
        </is>
      </c>
      <c r="D332" t="inlineStr">
        <is>
          <t>资金流</t>
        </is>
      </c>
      <c r="E332" t="inlineStr">
        <is>
          <t>配置</t>
        </is>
      </c>
      <c r="F332" t="inlineStr">
        <is>
          <t>flow-mode-off</t>
        </is>
      </c>
      <c r="G332" s="32" t="n">
        <v>46263.25754607147</v>
      </c>
      <c r="I332" t="inlineStr">
        <is>
          <t>CNY</t>
        </is>
      </c>
      <c r="J332" t="inlineStr">
        <is>
          <t>optional_missing</t>
        </is>
      </c>
      <c r="K332" t="inlineStr">
        <is>
          <t>用户选择不抓取资金流</t>
        </is>
      </c>
      <c r="L332" t="b">
        <v>0</v>
      </c>
      <c r="M332" t="inlineStr">
        <is>
          <t>配置</t>
        </is>
      </c>
      <c r="N332" t="b">
        <v>0</v>
      </c>
    </row>
    <row r="333">
      <c r="A333" t="inlineStr">
        <is>
          <t>港股</t>
        </is>
      </c>
      <c r="B333" t="inlineStr">
        <is>
          <t>00038</t>
        </is>
      </c>
      <c r="C333" t="inlineStr">
        <is>
          <t>FIRST TRACTOR</t>
        </is>
      </c>
      <c r="D333" t="inlineStr">
        <is>
          <t>最新行情</t>
        </is>
      </c>
      <c r="E333" t="inlineStr">
        <is>
          <t>东方财富</t>
        </is>
      </c>
      <c r="F333" t="inlineStr">
        <is>
          <t>push2 ulist.np/get f2,f20（按指定证券分批）</t>
        </is>
      </c>
      <c r="G333" s="32" t="n">
        <v>46263.25725224894</v>
      </c>
      <c r="H333" t="inlineStr">
        <is>
          <t>HKD</t>
        </is>
      </c>
      <c r="I333" t="inlineStr">
        <is>
          <t>HKD</t>
        </is>
      </c>
      <c r="J333" t="inlineStr">
        <is>
          <t>ok</t>
        </is>
      </c>
      <c r="L333" t="b">
        <v>0</v>
      </c>
      <c r="M333" t="inlineStr">
        <is>
          <t>东方财富</t>
        </is>
      </c>
      <c r="N333" t="b">
        <v>1</v>
      </c>
    </row>
    <row r="334">
      <c r="A334" t="inlineStr">
        <is>
          <t>港股</t>
        </is>
      </c>
      <c r="B334" t="inlineStr">
        <is>
          <t>00038</t>
        </is>
      </c>
      <c r="C334" t="inlineStr">
        <is>
          <t>FIRST TRACTOR</t>
        </is>
      </c>
      <c r="D334" t="inlineStr">
        <is>
          <t>大宗交易</t>
        </is>
      </c>
      <c r="E334" t="inlineStr">
        <is>
          <t>东方财富</t>
        </is>
      </c>
      <c r="F334" t="inlineStr">
        <is>
          <t>not-applicable-hk</t>
        </is>
      </c>
      <c r="G334" s="32" t="n">
        <v>46263.25725433244</v>
      </c>
      <c r="I334" t="inlineStr">
        <is>
          <t>HKD</t>
        </is>
      </c>
      <c r="J334" t="inlineStr">
        <is>
          <t>optional_missing</t>
        </is>
      </c>
      <c r="K334" t="inlineStr">
        <is>
          <t>港股大宗交易按允许缺失规则留空</t>
        </is>
      </c>
      <c r="L334" t="b">
        <v>0</v>
      </c>
      <c r="M334" t="inlineStr">
        <is>
          <t>东方财富</t>
        </is>
      </c>
      <c r="N334" t="b">
        <v>1</v>
      </c>
    </row>
    <row r="335">
      <c r="A335" t="inlineStr">
        <is>
          <t>港股</t>
        </is>
      </c>
      <c r="B335" t="inlineStr">
        <is>
          <t>00038</t>
        </is>
      </c>
      <c r="C335" t="inlineStr">
        <is>
          <t>FIRST TRACTOR</t>
        </is>
      </c>
      <c r="D335" t="inlineStr">
        <is>
          <t>年度财务</t>
        </is>
      </c>
      <c r="E335" t="inlineStr">
        <is>
          <t>东方财富</t>
        </is>
      </c>
      <c r="F335" t="inlineStr">
        <is>
          <t>RPT_HKF10_FN_MAININDICATOR</t>
        </is>
      </c>
      <c r="G335" s="32" t="n">
        <v>46263.2572993901</v>
      </c>
      <c r="H335" t="inlineStr">
        <is>
          <t>HKD</t>
        </is>
      </c>
      <c r="I335" t="inlineStr">
        <is>
          <t>HKD</t>
        </is>
      </c>
      <c r="J335" t="inlineStr">
        <is>
          <t>ok</t>
        </is>
      </c>
      <c r="L335" t="b">
        <v>0</v>
      </c>
      <c r="M335" t="inlineStr">
        <is>
          <t>东方财富</t>
        </is>
      </c>
      <c r="N335" t="b">
        <v>1</v>
      </c>
    </row>
    <row r="336">
      <c r="A336" t="inlineStr">
        <is>
          <t>港股</t>
        </is>
      </c>
      <c r="B336" t="inlineStr">
        <is>
          <t>00038</t>
        </is>
      </c>
      <c r="C336" t="inlineStr">
        <is>
          <t>FIRST TRACTOR</t>
        </is>
      </c>
      <c r="D336" t="inlineStr">
        <is>
          <t>上市与发行信息</t>
        </is>
      </c>
      <c r="E336" t="inlineStr">
        <is>
          <t>东方财富</t>
        </is>
      </c>
      <c r="F336" t="inlineStr">
        <is>
          <t>RPT_HKF10_INFO_SECURITYINFO</t>
        </is>
      </c>
      <c r="G336" s="32" t="n">
        <v>46263.25735991666</v>
      </c>
      <c r="H336" t="inlineStr">
        <is>
          <t>HKD</t>
        </is>
      </c>
      <c r="I336" t="inlineStr">
        <is>
          <t>HKD</t>
        </is>
      </c>
      <c r="J336" t="inlineStr">
        <is>
          <t>ok</t>
        </is>
      </c>
      <c r="L336" t="b">
        <v>1</v>
      </c>
      <c r="M336" t="inlineStr">
        <is>
          <t>东方财富</t>
        </is>
      </c>
      <c r="N336" t="b">
        <v>1</v>
      </c>
    </row>
    <row r="337">
      <c r="A337" t="inlineStr">
        <is>
          <t>港股</t>
        </is>
      </c>
      <c r="B337" t="inlineStr">
        <is>
          <t>00038</t>
        </is>
      </c>
      <c r="C337" t="inlineStr">
        <is>
          <t>FIRST TRACTOR</t>
        </is>
      </c>
      <c r="D337" t="inlineStr">
        <is>
          <t>资金流</t>
        </is>
      </c>
      <c r="E337" t="inlineStr">
        <is>
          <t>配置</t>
        </is>
      </c>
      <c r="F337" t="inlineStr">
        <is>
          <t>flow-mode-off</t>
        </is>
      </c>
      <c r="G337" s="32" t="n">
        <v>46263.25754607147</v>
      </c>
      <c r="I337" t="inlineStr">
        <is>
          <t>HKD</t>
        </is>
      </c>
      <c r="J337" t="inlineStr">
        <is>
          <t>optional_missing</t>
        </is>
      </c>
      <c r="K337" t="inlineStr">
        <is>
          <t>用户选择不抓取资金流</t>
        </is>
      </c>
      <c r="L337" t="b">
        <v>0</v>
      </c>
      <c r="M337" t="inlineStr">
        <is>
          <t>配置</t>
        </is>
      </c>
      <c r="N337" t="b">
        <v>0</v>
      </c>
    </row>
    <row r="338">
      <c r="A338" t="inlineStr">
        <is>
          <t>A股</t>
        </is>
      </c>
      <c r="B338" t="inlineStr">
        <is>
          <t>000056</t>
        </is>
      </c>
      <c r="C338" t="inlineStr">
        <is>
          <t>*ST皇庭</t>
        </is>
      </c>
      <c r="D338" t="inlineStr">
        <is>
          <t>最新行情</t>
        </is>
      </c>
      <c r="E338" t="inlineStr">
        <is>
          <t>东方财富</t>
        </is>
      </c>
      <c r="F338" t="inlineStr">
        <is>
          <t>push2 ulist.np/get f2,f20（按指定证券分批）</t>
        </is>
      </c>
      <c r="G338" s="32" t="n">
        <v>46263.25725224894</v>
      </c>
      <c r="H338" t="inlineStr">
        <is>
          <t>CNY</t>
        </is>
      </c>
      <c r="I338" t="inlineStr">
        <is>
          <t>CNY</t>
        </is>
      </c>
      <c r="J338" t="inlineStr">
        <is>
          <t>ok</t>
        </is>
      </c>
      <c r="L338" t="b">
        <v>0</v>
      </c>
      <c r="M338" t="inlineStr">
        <is>
          <t>东方财富</t>
        </is>
      </c>
      <c r="N338" t="b">
        <v>1</v>
      </c>
    </row>
    <row r="339">
      <c r="A339" t="inlineStr">
        <is>
          <t>A股</t>
        </is>
      </c>
      <c r="B339" t="inlineStr">
        <is>
          <t>000056</t>
        </is>
      </c>
      <c r="C339" t="inlineStr">
        <is>
          <t>*ST皇庭</t>
        </is>
      </c>
      <c r="D339" t="inlineStr">
        <is>
          <t>大宗交易</t>
        </is>
      </c>
      <c r="E339" t="inlineStr">
        <is>
          <t>东方财富</t>
        </is>
      </c>
      <c r="F339" t="inlineStr">
        <is>
          <t>RPT_DATA_BLOCKTRADE 2026（全市场分页后本地聚合）</t>
        </is>
      </c>
      <c r="G339" s="32" t="n">
        <v>46263.25725717999</v>
      </c>
      <c r="H339" t="inlineStr">
        <is>
          <t>CNY</t>
        </is>
      </c>
      <c r="I339" t="inlineStr">
        <is>
          <t>CNY</t>
        </is>
      </c>
      <c r="J339" t="inlineStr">
        <is>
          <t>ok</t>
        </is>
      </c>
      <c r="L339" t="b">
        <v>0</v>
      </c>
      <c r="M339" t="inlineStr">
        <is>
          <t>东方财富</t>
        </is>
      </c>
      <c r="N339" t="b">
        <v>1</v>
      </c>
    </row>
    <row r="340">
      <c r="A340" t="inlineStr">
        <is>
          <t>A股</t>
        </is>
      </c>
      <c r="B340" t="inlineStr">
        <is>
          <t>000056</t>
        </is>
      </c>
      <c r="C340" t="inlineStr">
        <is>
          <t>*ST皇庭</t>
        </is>
      </c>
      <c r="D340" t="inlineStr">
        <is>
          <t>年度财务</t>
        </is>
      </c>
      <c r="E340" t="inlineStr">
        <is>
          <t>东方财富</t>
        </is>
      </c>
      <c r="F340" t="inlineStr">
        <is>
          <t>RPT_LICO_FN_CPD + RPT_DMSK_FN_CASHFLOW；巨潮回退原因：未配置巨潮官方 API 凭证/端点（CNINFO_ACCESS_TOKEN、CNINFO_INCOME_API_URL、CNINFO_CASHFLOW_API_URL）</t>
        </is>
      </c>
      <c r="G340" s="32" t="n">
        <v>46263.25730459707</v>
      </c>
      <c r="H340" t="inlineStr">
        <is>
          <t>CNY</t>
        </is>
      </c>
      <c r="I340" t="inlineStr">
        <is>
          <t>CNY</t>
        </is>
      </c>
      <c r="J340" t="inlineStr">
        <is>
          <t>ok</t>
        </is>
      </c>
      <c r="L340" t="b">
        <v>1</v>
      </c>
      <c r="M340" t="inlineStr">
        <is>
          <t>巨潮资讯（CNINFO Data Service）</t>
        </is>
      </c>
      <c r="N340" t="b">
        <v>1</v>
      </c>
    </row>
    <row r="341">
      <c r="A341" t="inlineStr">
        <is>
          <t>A股</t>
        </is>
      </c>
      <c r="B341" t="inlineStr">
        <is>
          <t>000056</t>
        </is>
      </c>
      <c r="C341" t="inlineStr">
        <is>
          <t>*ST皇庭</t>
        </is>
      </c>
      <c r="D341" t="inlineStr">
        <is>
          <t>上市与发行信息</t>
        </is>
      </c>
      <c r="E341" t="inlineStr">
        <is>
          <t>东方财富</t>
        </is>
      </c>
      <c r="F341" t="inlineStr">
        <is>
          <t>RPT_PCF10_ORG_ISSUEINFO</t>
        </is>
      </c>
      <c r="G341" s="32" t="n">
        <v>46263.25736036712</v>
      </c>
      <c r="H341" t="inlineStr">
        <is>
          <t>CNY</t>
        </is>
      </c>
      <c r="I341" t="inlineStr">
        <is>
          <t>CNY</t>
        </is>
      </c>
      <c r="J341" t="inlineStr">
        <is>
          <t>ok</t>
        </is>
      </c>
      <c r="L341" t="b">
        <v>0</v>
      </c>
      <c r="M341" t="inlineStr">
        <is>
          <t>东方财富</t>
        </is>
      </c>
      <c r="N341" t="b">
        <v>1</v>
      </c>
    </row>
    <row r="342">
      <c r="A342" t="inlineStr">
        <is>
          <t>A股</t>
        </is>
      </c>
      <c r="B342" t="inlineStr">
        <is>
          <t>000056</t>
        </is>
      </c>
      <c r="C342" t="inlineStr">
        <is>
          <t>*ST皇庭</t>
        </is>
      </c>
      <c r="D342" t="inlineStr">
        <is>
          <t>资金流</t>
        </is>
      </c>
      <c r="E342" t="inlineStr">
        <is>
          <t>配置</t>
        </is>
      </c>
      <c r="F342" t="inlineStr">
        <is>
          <t>flow-mode-off</t>
        </is>
      </c>
      <c r="G342" s="32" t="n">
        <v>46263.25754607147</v>
      </c>
      <c r="I342" t="inlineStr">
        <is>
          <t>CNY</t>
        </is>
      </c>
      <c r="J342" t="inlineStr">
        <is>
          <t>optional_missing</t>
        </is>
      </c>
      <c r="K342" t="inlineStr">
        <is>
          <t>用户选择不抓取资金流</t>
        </is>
      </c>
      <c r="L342" t="b">
        <v>0</v>
      </c>
      <c r="M342" t="inlineStr">
        <is>
          <t>配置</t>
        </is>
      </c>
      <c r="N342" t="b">
        <v>0</v>
      </c>
    </row>
    <row r="343">
      <c r="A343" t="inlineStr">
        <is>
          <t>港股</t>
        </is>
      </c>
      <c r="B343" t="inlineStr">
        <is>
          <t>00039</t>
        </is>
      </c>
      <c r="C343" t="inlineStr">
        <is>
          <t>CH BEIDAHUANG</t>
        </is>
      </c>
      <c r="D343" t="inlineStr">
        <is>
          <t>最新行情</t>
        </is>
      </c>
      <c r="E343" t="inlineStr">
        <is>
          <t>东方财富</t>
        </is>
      </c>
      <c r="F343" t="inlineStr">
        <is>
          <t>push2 ulist.np/get f2,f20（按指定证券分批）</t>
        </is>
      </c>
      <c r="G343" s="32" t="n">
        <v>46263.25725224894</v>
      </c>
      <c r="H343" t="inlineStr">
        <is>
          <t>HKD</t>
        </is>
      </c>
      <c r="I343" t="inlineStr">
        <is>
          <t>HKD</t>
        </is>
      </c>
      <c r="J343" t="inlineStr">
        <is>
          <t>ok</t>
        </is>
      </c>
      <c r="L343" t="b">
        <v>0</v>
      </c>
      <c r="M343" t="inlineStr">
        <is>
          <t>东方财富</t>
        </is>
      </c>
      <c r="N343" t="b">
        <v>1</v>
      </c>
    </row>
    <row r="344">
      <c r="A344" t="inlineStr">
        <is>
          <t>港股</t>
        </is>
      </c>
      <c r="B344" t="inlineStr">
        <is>
          <t>00039</t>
        </is>
      </c>
      <c r="C344" t="inlineStr">
        <is>
          <t>CH BEIDAHUANG</t>
        </is>
      </c>
      <c r="D344" t="inlineStr">
        <is>
          <t>大宗交易</t>
        </is>
      </c>
      <c r="E344" t="inlineStr">
        <is>
          <t>东方财富</t>
        </is>
      </c>
      <c r="F344" t="inlineStr">
        <is>
          <t>not-applicable-hk</t>
        </is>
      </c>
      <c r="G344" s="32" t="n">
        <v>46263.25725433244</v>
      </c>
      <c r="I344" t="inlineStr">
        <is>
          <t>HKD</t>
        </is>
      </c>
      <c r="J344" t="inlineStr">
        <is>
          <t>optional_missing</t>
        </is>
      </c>
      <c r="K344" t="inlineStr">
        <is>
          <t>港股大宗交易按允许缺失规则留空</t>
        </is>
      </c>
      <c r="L344" t="b">
        <v>0</v>
      </c>
      <c r="M344" t="inlineStr">
        <is>
          <t>东方财富</t>
        </is>
      </c>
      <c r="N344" t="b">
        <v>1</v>
      </c>
    </row>
    <row r="345">
      <c r="A345" t="inlineStr">
        <is>
          <t>港股</t>
        </is>
      </c>
      <c r="B345" t="inlineStr">
        <is>
          <t>00039</t>
        </is>
      </c>
      <c r="C345" t="inlineStr">
        <is>
          <t>CH BEIDAHUANG</t>
        </is>
      </c>
      <c r="D345" t="inlineStr">
        <is>
          <t>年度财务</t>
        </is>
      </c>
      <c r="E345" t="inlineStr">
        <is>
          <t>东方财富</t>
        </is>
      </c>
      <c r="F345" t="inlineStr">
        <is>
          <t>RPT_HKF10_FN_MAININDICATOR</t>
        </is>
      </c>
      <c r="G345" s="32" t="n">
        <v>46263.25730064366</v>
      </c>
      <c r="H345" t="inlineStr">
        <is>
          <t>HKD</t>
        </is>
      </c>
      <c r="I345" t="inlineStr">
        <is>
          <t>HKD</t>
        </is>
      </c>
      <c r="J345" t="inlineStr">
        <is>
          <t>ok</t>
        </is>
      </c>
      <c r="L345" t="b">
        <v>0</v>
      </c>
      <c r="M345" t="inlineStr">
        <is>
          <t>东方财富</t>
        </is>
      </c>
      <c r="N345" t="b">
        <v>1</v>
      </c>
    </row>
    <row r="346">
      <c r="A346" t="inlineStr">
        <is>
          <t>A股</t>
        </is>
      </c>
      <c r="B346" t="inlineStr">
        <is>
          <t>000058</t>
        </is>
      </c>
      <c r="C346" t="inlineStr">
        <is>
          <t>深赛格</t>
        </is>
      </c>
      <c r="D346" t="inlineStr">
        <is>
          <t>最新行情</t>
        </is>
      </c>
      <c r="E346" t="inlineStr">
        <is>
          <t>东方财富</t>
        </is>
      </c>
      <c r="F346" t="inlineStr">
        <is>
          <t>push2 ulist.np/get f2,f20（按指定证券分批）</t>
        </is>
      </c>
      <c r="G346" s="32" t="n">
        <v>46263.25725226049</v>
      </c>
      <c r="H346" t="inlineStr">
        <is>
          <t>CNY</t>
        </is>
      </c>
      <c r="I346" t="inlineStr">
        <is>
          <t>CNY</t>
        </is>
      </c>
      <c r="J346" t="inlineStr">
        <is>
          <t>ok</t>
        </is>
      </c>
      <c r="L346" t="b">
        <v>0</v>
      </c>
      <c r="M346" t="inlineStr">
        <is>
          <t>东方财富</t>
        </is>
      </c>
      <c r="N346" t="b">
        <v>1</v>
      </c>
    </row>
    <row r="347">
      <c r="A347" t="inlineStr">
        <is>
          <t>A股</t>
        </is>
      </c>
      <c r="B347" t="inlineStr">
        <is>
          <t>000058</t>
        </is>
      </c>
      <c r="C347" t="inlineStr">
        <is>
          <t>深赛格</t>
        </is>
      </c>
      <c r="D347" t="inlineStr">
        <is>
          <t>大宗交易</t>
        </is>
      </c>
      <c r="E347" t="inlineStr">
        <is>
          <t>东方财富</t>
        </is>
      </c>
      <c r="F347" t="inlineStr">
        <is>
          <t>RPT_DATA_BLOCKTRADE 2026（全市场分页后本地聚合）</t>
        </is>
      </c>
      <c r="G347" s="32" t="n">
        <v>46263.25725717999</v>
      </c>
      <c r="H347" t="inlineStr">
        <is>
          <t>CNY</t>
        </is>
      </c>
      <c r="I347" t="inlineStr">
        <is>
          <t>CNY</t>
        </is>
      </c>
      <c r="J347" t="inlineStr">
        <is>
          <t>ok</t>
        </is>
      </c>
      <c r="L347" t="b">
        <v>0</v>
      </c>
      <c r="M347" t="inlineStr">
        <is>
          <t>东方财富</t>
        </is>
      </c>
      <c r="N347" t="b">
        <v>1</v>
      </c>
    </row>
    <row r="348">
      <c r="A348" t="inlineStr">
        <is>
          <t>A股</t>
        </is>
      </c>
      <c r="B348" t="inlineStr">
        <is>
          <t>000058</t>
        </is>
      </c>
      <c r="C348" t="inlineStr">
        <is>
          <t>深赛格</t>
        </is>
      </c>
      <c r="D348" t="inlineStr">
        <is>
          <t>年度财务</t>
        </is>
      </c>
      <c r="E348" t="inlineStr">
        <is>
          <t>东方财富</t>
        </is>
      </c>
      <c r="F348" t="inlineStr">
        <is>
          <t>RPT_LICO_FN_CPD + RPT_DMSK_FN_CASHFLOW；巨潮回退原因：未配置巨潮官方 API 凭证/端点（CNINFO_ACCESS_TOKEN、CNINFO_INCOME_API_URL、CNINFO_CASHFLOW_API_URL）</t>
        </is>
      </c>
      <c r="G348" s="32" t="n">
        <v>46263.25730563349</v>
      </c>
      <c r="H348" t="inlineStr">
        <is>
          <t>CNY</t>
        </is>
      </c>
      <c r="I348" t="inlineStr">
        <is>
          <t>CNY</t>
        </is>
      </c>
      <c r="J348" t="inlineStr">
        <is>
          <t>ok</t>
        </is>
      </c>
      <c r="L348" t="b">
        <v>1</v>
      </c>
      <c r="M348" t="inlineStr">
        <is>
          <t>巨潮资讯（CNINFO Data Service）</t>
        </is>
      </c>
      <c r="N348" t="b">
        <v>1</v>
      </c>
    </row>
    <row r="349">
      <c r="A349" t="inlineStr">
        <is>
          <t>A股</t>
        </is>
      </c>
      <c r="B349" t="inlineStr">
        <is>
          <t>000058</t>
        </is>
      </c>
      <c r="C349" t="inlineStr">
        <is>
          <t>深赛格</t>
        </is>
      </c>
      <c r="D349" t="inlineStr">
        <is>
          <t>上市与发行信息</t>
        </is>
      </c>
      <c r="E349" t="inlineStr">
        <is>
          <t>东方财富</t>
        </is>
      </c>
      <c r="F349" t="inlineStr">
        <is>
          <t>RPT_PCF10_ORG_ISSUEINFO</t>
        </is>
      </c>
      <c r="G349" s="32" t="n">
        <v>46263.25736096431</v>
      </c>
      <c r="H349" t="inlineStr">
        <is>
          <t>CNY</t>
        </is>
      </c>
      <c r="I349" t="inlineStr">
        <is>
          <t>CNY</t>
        </is>
      </c>
      <c r="J349" t="inlineStr">
        <is>
          <t>ok</t>
        </is>
      </c>
      <c r="L349" t="b">
        <v>0</v>
      </c>
      <c r="M349" t="inlineStr">
        <is>
          <t>东方财富</t>
        </is>
      </c>
      <c r="N349" t="b">
        <v>1</v>
      </c>
    </row>
    <row r="350">
      <c r="A350" t="inlineStr">
        <is>
          <t>A股</t>
        </is>
      </c>
      <c r="B350" t="inlineStr">
        <is>
          <t>000058</t>
        </is>
      </c>
      <c r="C350" t="inlineStr">
        <is>
          <t>深赛格</t>
        </is>
      </c>
      <c r="D350" t="inlineStr">
        <is>
          <t>资金流</t>
        </is>
      </c>
      <c r="E350" t="inlineStr">
        <is>
          <t>配置</t>
        </is>
      </c>
      <c r="F350" t="inlineStr">
        <is>
          <t>flow-mode-off</t>
        </is>
      </c>
      <c r="G350" s="32" t="n">
        <v>46263.25754607147</v>
      </c>
      <c r="I350" t="inlineStr">
        <is>
          <t>CNY</t>
        </is>
      </c>
      <c r="J350" t="inlineStr">
        <is>
          <t>optional_missing</t>
        </is>
      </c>
      <c r="K350" t="inlineStr">
        <is>
          <t>用户选择不抓取资金流</t>
        </is>
      </c>
      <c r="L350" t="b">
        <v>0</v>
      </c>
      <c r="M350" t="inlineStr">
        <is>
          <t>配置</t>
        </is>
      </c>
      <c r="N350" t="b">
        <v>0</v>
      </c>
    </row>
    <row r="351">
      <c r="A351" t="inlineStr">
        <is>
          <t>港股</t>
        </is>
      </c>
      <c r="B351" t="inlineStr">
        <is>
          <t>00040</t>
        </is>
      </c>
      <c r="C351" t="inlineStr">
        <is>
          <t>GOLD PEAK</t>
        </is>
      </c>
      <c r="D351" t="inlineStr">
        <is>
          <t>最新行情</t>
        </is>
      </c>
      <c r="E351" t="inlineStr">
        <is>
          <t>东方财富</t>
        </is>
      </c>
      <c r="F351" t="inlineStr">
        <is>
          <t>push2 ulist.np/get f2,f20（按指定证券分批）</t>
        </is>
      </c>
      <c r="G351" s="32" t="n">
        <v>46263.25725226049</v>
      </c>
      <c r="H351" t="inlineStr">
        <is>
          <t>HKD</t>
        </is>
      </c>
      <c r="I351" t="inlineStr">
        <is>
          <t>HKD</t>
        </is>
      </c>
      <c r="J351" t="inlineStr">
        <is>
          <t>ok</t>
        </is>
      </c>
      <c r="L351" t="b">
        <v>0</v>
      </c>
      <c r="M351" t="inlineStr">
        <is>
          <t>东方财富</t>
        </is>
      </c>
      <c r="N351" t="b">
        <v>1</v>
      </c>
    </row>
    <row r="352">
      <c r="A352" t="inlineStr">
        <is>
          <t>港股</t>
        </is>
      </c>
      <c r="B352" t="inlineStr">
        <is>
          <t>00040</t>
        </is>
      </c>
      <c r="C352" t="inlineStr">
        <is>
          <t>GOLD PEAK</t>
        </is>
      </c>
      <c r="D352" t="inlineStr">
        <is>
          <t>大宗交易</t>
        </is>
      </c>
      <c r="E352" t="inlineStr">
        <is>
          <t>东方财富</t>
        </is>
      </c>
      <c r="F352" t="inlineStr">
        <is>
          <t>not-applicable-hk</t>
        </is>
      </c>
      <c r="G352" s="32" t="n">
        <v>46263.25725433244</v>
      </c>
      <c r="I352" t="inlineStr">
        <is>
          <t>HKD</t>
        </is>
      </c>
      <c r="J352" t="inlineStr">
        <is>
          <t>optional_missing</t>
        </is>
      </c>
      <c r="K352" t="inlineStr">
        <is>
          <t>港股大宗交易按允许缺失规则留空</t>
        </is>
      </c>
      <c r="L352" t="b">
        <v>0</v>
      </c>
      <c r="M352" t="inlineStr">
        <is>
          <t>东方财富</t>
        </is>
      </c>
      <c r="N352" t="b">
        <v>1</v>
      </c>
    </row>
    <row r="353">
      <c r="A353" t="inlineStr">
        <is>
          <t>港股</t>
        </is>
      </c>
      <c r="B353" t="inlineStr">
        <is>
          <t>00040</t>
        </is>
      </c>
      <c r="C353" t="inlineStr">
        <is>
          <t>GOLD PEAK</t>
        </is>
      </c>
      <c r="D353" t="inlineStr">
        <is>
          <t>年度财务</t>
        </is>
      </c>
      <c r="E353" t="inlineStr">
        <is>
          <t>东方财富</t>
        </is>
      </c>
      <c r="F353" t="inlineStr">
        <is>
          <t>RPT_HKF10_FN_MAININDICATOR</t>
        </is>
      </c>
      <c r="G353" s="32" t="n">
        <v>46263.25730303471</v>
      </c>
      <c r="H353" t="inlineStr">
        <is>
          <t>HKD</t>
        </is>
      </c>
      <c r="I353" t="inlineStr">
        <is>
          <t>HKD</t>
        </is>
      </c>
      <c r="J353" t="inlineStr">
        <is>
          <t>ok</t>
        </is>
      </c>
      <c r="L353" t="b">
        <v>0</v>
      </c>
      <c r="M353" t="inlineStr">
        <is>
          <t>东方财富</t>
        </is>
      </c>
      <c r="N353" t="b">
        <v>1</v>
      </c>
    </row>
    <row r="354">
      <c r="A354" t="inlineStr">
        <is>
          <t>港股</t>
        </is>
      </c>
      <c r="B354" t="inlineStr">
        <is>
          <t>00040</t>
        </is>
      </c>
      <c r="C354" t="inlineStr">
        <is>
          <t>GOLD PEAK</t>
        </is>
      </c>
      <c r="D354" t="inlineStr">
        <is>
          <t>上市与发行信息</t>
        </is>
      </c>
      <c r="E354" t="inlineStr">
        <is>
          <t>东方财富</t>
        </is>
      </c>
      <c r="F354" t="inlineStr">
        <is>
          <t>RPT_HKF10_INFO_SECURITYINFO</t>
        </is>
      </c>
      <c r="G354" s="32" t="n">
        <v>46263.25736157933</v>
      </c>
      <c r="H354" t="inlineStr">
        <is>
          <t>HKD</t>
        </is>
      </c>
      <c r="I354" t="inlineStr">
        <is>
          <t>HKD</t>
        </is>
      </c>
      <c r="J354" t="inlineStr">
        <is>
          <t>ok</t>
        </is>
      </c>
      <c r="L354" t="b">
        <v>0</v>
      </c>
      <c r="M354" t="inlineStr">
        <is>
          <t>东方财富</t>
        </is>
      </c>
      <c r="N354" t="b">
        <v>1</v>
      </c>
    </row>
    <row r="355">
      <c r="A355" t="inlineStr">
        <is>
          <t>港股</t>
        </is>
      </c>
      <c r="B355" t="inlineStr">
        <is>
          <t>00040</t>
        </is>
      </c>
      <c r="C355" t="inlineStr">
        <is>
          <t>GOLD PEAK</t>
        </is>
      </c>
      <c r="D355" t="inlineStr">
        <is>
          <t>资金流</t>
        </is>
      </c>
      <c r="E355" t="inlineStr">
        <is>
          <t>配置</t>
        </is>
      </c>
      <c r="F355" t="inlineStr">
        <is>
          <t>flow-mode-off</t>
        </is>
      </c>
      <c r="G355" s="32" t="n">
        <v>46263.25754607147</v>
      </c>
      <c r="I355" t="inlineStr">
        <is>
          <t>HKD</t>
        </is>
      </c>
      <c r="J355" t="inlineStr">
        <is>
          <t>optional_missing</t>
        </is>
      </c>
      <c r="K355" t="inlineStr">
        <is>
          <t>用户选择不抓取资金流</t>
        </is>
      </c>
      <c r="L355" t="b">
        <v>0</v>
      </c>
      <c r="M355" t="inlineStr">
        <is>
          <t>配置</t>
        </is>
      </c>
      <c r="N355" t="b">
        <v>0</v>
      </c>
    </row>
    <row r="356">
      <c r="A356" t="inlineStr">
        <is>
          <t>A股</t>
        </is>
      </c>
      <c r="B356" t="inlineStr">
        <is>
          <t>000059</t>
        </is>
      </c>
      <c r="C356" t="inlineStr">
        <is>
          <t>华锦股份</t>
        </is>
      </c>
      <c r="D356" t="inlineStr">
        <is>
          <t>最新行情</t>
        </is>
      </c>
      <c r="E356" t="inlineStr">
        <is>
          <t>东方财富</t>
        </is>
      </c>
      <c r="F356" t="inlineStr">
        <is>
          <t>push2 ulist.np/get f2,f20（按指定证券分批）</t>
        </is>
      </c>
      <c r="G356" s="32" t="n">
        <v>46263.25725226049</v>
      </c>
      <c r="H356" t="inlineStr">
        <is>
          <t>CNY</t>
        </is>
      </c>
      <c r="I356" t="inlineStr">
        <is>
          <t>CNY</t>
        </is>
      </c>
      <c r="J356" t="inlineStr">
        <is>
          <t>ok</t>
        </is>
      </c>
      <c r="L356" t="b">
        <v>0</v>
      </c>
      <c r="M356" t="inlineStr">
        <is>
          <t>东方财富</t>
        </is>
      </c>
      <c r="N356" t="b">
        <v>1</v>
      </c>
    </row>
    <row r="357">
      <c r="A357" t="inlineStr">
        <is>
          <t>A股</t>
        </is>
      </c>
      <c r="B357" t="inlineStr">
        <is>
          <t>000059</t>
        </is>
      </c>
      <c r="C357" t="inlineStr">
        <is>
          <t>华锦股份</t>
        </is>
      </c>
      <c r="D357" t="inlineStr">
        <is>
          <t>大宗交易</t>
        </is>
      </c>
      <c r="E357" t="inlineStr">
        <is>
          <t>东方财富</t>
        </is>
      </c>
      <c r="F357" t="inlineStr">
        <is>
          <t>RPT_DATA_BLOCKTRADE 2026（全市场分页后本地聚合）</t>
        </is>
      </c>
      <c r="G357" s="32" t="n">
        <v>46263.25725717999</v>
      </c>
      <c r="H357" t="inlineStr">
        <is>
          <t>CNY</t>
        </is>
      </c>
      <c r="I357" t="inlineStr">
        <is>
          <t>CNY</t>
        </is>
      </c>
      <c r="J357" t="inlineStr">
        <is>
          <t>ok</t>
        </is>
      </c>
      <c r="L357" t="b">
        <v>0</v>
      </c>
      <c r="M357" t="inlineStr">
        <is>
          <t>东方财富</t>
        </is>
      </c>
      <c r="N357" t="b">
        <v>1</v>
      </c>
    </row>
    <row r="358">
      <c r="A358" t="inlineStr">
        <is>
          <t>A股</t>
        </is>
      </c>
      <c r="B358" t="inlineStr">
        <is>
          <t>000059</t>
        </is>
      </c>
      <c r="C358" t="inlineStr">
        <is>
          <t>华锦股份</t>
        </is>
      </c>
      <c r="D358" t="inlineStr">
        <is>
          <t>年度财务</t>
        </is>
      </c>
      <c r="E358" t="inlineStr">
        <is>
          <t>东方财富</t>
        </is>
      </c>
      <c r="F358" t="inlineStr">
        <is>
          <t>RPT_LICO_FN_CPD + RPT_DMSK_FN_CASHFLOW；巨潮回退原因：未配置巨潮官方 API 凭证/端点（CNINFO_ACCESS_TOKEN、CNINFO_INCOME_API_URL、CNINFO_CASHFLOW_API_URL）</t>
        </is>
      </c>
      <c r="G358" s="32" t="n">
        <v>46263.25730775542</v>
      </c>
      <c r="H358" t="inlineStr">
        <is>
          <t>CNY</t>
        </is>
      </c>
      <c r="I358" t="inlineStr">
        <is>
          <t>CNY</t>
        </is>
      </c>
      <c r="J358" t="inlineStr">
        <is>
          <t>ok</t>
        </is>
      </c>
      <c r="L358" t="b">
        <v>1</v>
      </c>
      <c r="M358" t="inlineStr">
        <is>
          <t>巨潮资讯（CNINFO Data Service）</t>
        </is>
      </c>
      <c r="N358" t="b">
        <v>1</v>
      </c>
    </row>
    <row r="359">
      <c r="A359" t="inlineStr">
        <is>
          <t>A股</t>
        </is>
      </c>
      <c r="B359" t="inlineStr">
        <is>
          <t>000059</t>
        </is>
      </c>
      <c r="C359" t="inlineStr">
        <is>
          <t>华锦股份</t>
        </is>
      </c>
      <c r="D359" t="inlineStr">
        <is>
          <t>上市与发行信息</t>
        </is>
      </c>
      <c r="E359" t="inlineStr">
        <is>
          <t>东方财富</t>
        </is>
      </c>
      <c r="F359" t="inlineStr">
        <is>
          <t>RPT_PCF10_ORG_ISSUEINFO</t>
        </is>
      </c>
      <c r="G359" s="32" t="n">
        <v>46263.25736222909</v>
      </c>
      <c r="H359" t="inlineStr">
        <is>
          <t>CNY</t>
        </is>
      </c>
      <c r="I359" t="inlineStr">
        <is>
          <t>CNY</t>
        </is>
      </c>
      <c r="J359" t="inlineStr">
        <is>
          <t>ok</t>
        </is>
      </c>
      <c r="L359" t="b">
        <v>0</v>
      </c>
      <c r="M359" t="inlineStr">
        <is>
          <t>东方财富</t>
        </is>
      </c>
      <c r="N359" t="b">
        <v>1</v>
      </c>
    </row>
    <row r="360">
      <c r="A360" t="inlineStr">
        <is>
          <t>A股</t>
        </is>
      </c>
      <c r="B360" t="inlineStr">
        <is>
          <t>000059</t>
        </is>
      </c>
      <c r="C360" t="inlineStr">
        <is>
          <t>华锦股份</t>
        </is>
      </c>
      <c r="D360" t="inlineStr">
        <is>
          <t>资金流</t>
        </is>
      </c>
      <c r="E360" t="inlineStr">
        <is>
          <t>配置</t>
        </is>
      </c>
      <c r="F360" t="inlineStr">
        <is>
          <t>flow-mode-off</t>
        </is>
      </c>
      <c r="G360" s="32" t="n">
        <v>46263.25754607147</v>
      </c>
      <c r="I360" t="inlineStr">
        <is>
          <t>CNY</t>
        </is>
      </c>
      <c r="J360" t="inlineStr">
        <is>
          <t>optional_missing</t>
        </is>
      </c>
      <c r="K360" t="inlineStr">
        <is>
          <t>用户选择不抓取资金流</t>
        </is>
      </c>
      <c r="L360" t="b">
        <v>0</v>
      </c>
      <c r="M360" t="inlineStr">
        <is>
          <t>配置</t>
        </is>
      </c>
      <c r="N360" t="b">
        <v>0</v>
      </c>
    </row>
    <row r="361">
      <c r="A361" t="inlineStr">
        <is>
          <t>港股</t>
        </is>
      </c>
      <c r="B361" t="inlineStr">
        <is>
          <t>00041</t>
        </is>
      </c>
      <c r="C361" t="inlineStr">
        <is>
          <t>GREAT EAGLE H</t>
        </is>
      </c>
      <c r="D361" t="inlineStr">
        <is>
          <t>最新行情</t>
        </is>
      </c>
      <c r="E361" t="inlineStr">
        <is>
          <t>东方财富</t>
        </is>
      </c>
      <c r="F361" t="inlineStr">
        <is>
          <t>push2 ulist.np/get f2,f20（按指定证券分批）</t>
        </is>
      </c>
      <c r="G361" s="32" t="n">
        <v>46263.25725226049</v>
      </c>
      <c r="H361" t="inlineStr">
        <is>
          <t>HKD</t>
        </is>
      </c>
      <c r="I361" t="inlineStr">
        <is>
          <t>HKD</t>
        </is>
      </c>
      <c r="J361" t="inlineStr">
        <is>
          <t>ok</t>
        </is>
      </c>
      <c r="L361" t="b">
        <v>0</v>
      </c>
      <c r="M361" t="inlineStr">
        <is>
          <t>东方财富</t>
        </is>
      </c>
      <c r="N361" t="b">
        <v>1</v>
      </c>
    </row>
    <row r="362">
      <c r="A362" t="inlineStr">
        <is>
          <t>港股</t>
        </is>
      </c>
      <c r="B362" t="inlineStr">
        <is>
          <t>00041</t>
        </is>
      </c>
      <c r="C362" t="inlineStr">
        <is>
          <t>GREAT EAGLE H</t>
        </is>
      </c>
      <c r="D362" t="inlineStr">
        <is>
          <t>大宗交易</t>
        </is>
      </c>
      <c r="E362" t="inlineStr">
        <is>
          <t>东方财富</t>
        </is>
      </c>
      <c r="F362" t="inlineStr">
        <is>
          <t>not-applicable-hk</t>
        </is>
      </c>
      <c r="G362" s="32" t="n">
        <v>46263.25725433244</v>
      </c>
      <c r="I362" t="inlineStr">
        <is>
          <t>HKD</t>
        </is>
      </c>
      <c r="J362" t="inlineStr">
        <is>
          <t>optional_missing</t>
        </is>
      </c>
      <c r="K362" t="inlineStr">
        <is>
          <t>港股大宗交易按允许缺失规则留空</t>
        </is>
      </c>
      <c r="L362" t="b">
        <v>0</v>
      </c>
      <c r="M362" t="inlineStr">
        <is>
          <t>东方财富</t>
        </is>
      </c>
      <c r="N362" t="b">
        <v>1</v>
      </c>
    </row>
    <row r="363">
      <c r="A363" t="inlineStr">
        <is>
          <t>港股</t>
        </is>
      </c>
      <c r="B363" t="inlineStr">
        <is>
          <t>00041</t>
        </is>
      </c>
      <c r="C363" t="inlineStr">
        <is>
          <t>GREAT EAGLE H</t>
        </is>
      </c>
      <c r="D363" t="inlineStr">
        <is>
          <t>年度财务</t>
        </is>
      </c>
      <c r="E363" t="inlineStr">
        <is>
          <t>东方财富</t>
        </is>
      </c>
      <c r="F363" t="inlineStr">
        <is>
          <t>RPT_HKF10_FN_MAININDICATOR</t>
        </is>
      </c>
      <c r="G363" s="32" t="n">
        <v>46263.25730223687</v>
      </c>
      <c r="H363" t="inlineStr">
        <is>
          <t>HKD</t>
        </is>
      </c>
      <c r="I363" t="inlineStr">
        <is>
          <t>HKD</t>
        </is>
      </c>
      <c r="J363" t="inlineStr">
        <is>
          <t>ok</t>
        </is>
      </c>
      <c r="L363" t="b">
        <v>0</v>
      </c>
      <c r="M363" t="inlineStr">
        <is>
          <t>东方财富</t>
        </is>
      </c>
      <c r="N363" t="b">
        <v>1</v>
      </c>
    </row>
    <row r="364">
      <c r="A364" t="inlineStr">
        <is>
          <t>港股</t>
        </is>
      </c>
      <c r="B364" t="inlineStr">
        <is>
          <t>00041</t>
        </is>
      </c>
      <c r="C364" t="inlineStr">
        <is>
          <t>GREAT EAGLE H</t>
        </is>
      </c>
      <c r="D364" t="inlineStr">
        <is>
          <t>上市与发行信息</t>
        </is>
      </c>
      <c r="E364" t="inlineStr">
        <is>
          <t>东方财富</t>
        </is>
      </c>
      <c r="F364" t="inlineStr">
        <is>
          <t>RPT_HKF10_INFO_SECURITYINFO</t>
        </is>
      </c>
      <c r="G364" s="32" t="n">
        <v>46263.25736287091</v>
      </c>
      <c r="H364" t="inlineStr">
        <is>
          <t>HKD</t>
        </is>
      </c>
      <c r="I364" t="inlineStr">
        <is>
          <t>HKD</t>
        </is>
      </c>
      <c r="J364" t="inlineStr">
        <is>
          <t>ok</t>
        </is>
      </c>
      <c r="L364" t="b">
        <v>0</v>
      </c>
      <c r="M364" t="inlineStr">
        <is>
          <t>东方财富</t>
        </is>
      </c>
      <c r="N364" t="b">
        <v>1</v>
      </c>
    </row>
    <row r="365">
      <c r="A365" t="inlineStr">
        <is>
          <t>港股</t>
        </is>
      </c>
      <c r="B365" t="inlineStr">
        <is>
          <t>00041</t>
        </is>
      </c>
      <c r="C365" t="inlineStr">
        <is>
          <t>GREAT EAGLE H</t>
        </is>
      </c>
      <c r="D365" t="inlineStr">
        <is>
          <t>资金流</t>
        </is>
      </c>
      <c r="E365" t="inlineStr">
        <is>
          <t>配置</t>
        </is>
      </c>
      <c r="F365" t="inlineStr">
        <is>
          <t>flow-mode-off</t>
        </is>
      </c>
      <c r="G365" s="32" t="n">
        <v>46263.25754607147</v>
      </c>
      <c r="I365" t="inlineStr">
        <is>
          <t>HKD</t>
        </is>
      </c>
      <c r="J365" t="inlineStr">
        <is>
          <t>optional_missing</t>
        </is>
      </c>
      <c r="K365" t="inlineStr">
        <is>
          <t>用户选择不抓取资金流</t>
        </is>
      </c>
      <c r="L365" t="b">
        <v>0</v>
      </c>
      <c r="M365" t="inlineStr">
        <is>
          <t>配置</t>
        </is>
      </c>
      <c r="N365" t="b">
        <v>0</v>
      </c>
    </row>
    <row r="366">
      <c r="A366" t="inlineStr">
        <is>
          <t>A股</t>
        </is>
      </c>
      <c r="B366" t="inlineStr">
        <is>
          <t>000060</t>
        </is>
      </c>
      <c r="C366" t="inlineStr">
        <is>
          <t>中金岭南</t>
        </is>
      </c>
      <c r="D366" t="inlineStr">
        <is>
          <t>最新行情</t>
        </is>
      </c>
      <c r="E366" t="inlineStr">
        <is>
          <t>东方财富</t>
        </is>
      </c>
      <c r="F366" t="inlineStr">
        <is>
          <t>push2 ulist.np/get f2,f20（按指定证券分批）</t>
        </is>
      </c>
      <c r="G366" s="32" t="n">
        <v>46263.25725226049</v>
      </c>
      <c r="H366" t="inlineStr">
        <is>
          <t>CNY</t>
        </is>
      </c>
      <c r="I366" t="inlineStr">
        <is>
          <t>CNY</t>
        </is>
      </c>
      <c r="J366" t="inlineStr">
        <is>
          <t>ok</t>
        </is>
      </c>
      <c r="L366" t="b">
        <v>0</v>
      </c>
      <c r="M366" t="inlineStr">
        <is>
          <t>东方财富</t>
        </is>
      </c>
      <c r="N366" t="b">
        <v>1</v>
      </c>
    </row>
    <row r="367">
      <c r="A367" t="inlineStr">
        <is>
          <t>A股</t>
        </is>
      </c>
      <c r="B367" t="inlineStr">
        <is>
          <t>000060</t>
        </is>
      </c>
      <c r="C367" t="inlineStr">
        <is>
          <t>中金岭南</t>
        </is>
      </c>
      <c r="D367" t="inlineStr">
        <is>
          <t>大宗交易</t>
        </is>
      </c>
      <c r="E367" t="inlineStr">
        <is>
          <t>东方财富</t>
        </is>
      </c>
      <c r="F367" t="inlineStr">
        <is>
          <t>RPT_DATA_BLOCKTRADE 2026（全市场分页后本地聚合）</t>
        </is>
      </c>
      <c r="G367" s="32" t="n">
        <v>46263.25725717999</v>
      </c>
      <c r="H367" t="inlineStr">
        <is>
          <t>CNY</t>
        </is>
      </c>
      <c r="I367" t="inlineStr">
        <is>
          <t>CNY</t>
        </is>
      </c>
      <c r="J367" t="inlineStr">
        <is>
          <t>ok</t>
        </is>
      </c>
      <c r="L367" t="b">
        <v>0</v>
      </c>
      <c r="M367" t="inlineStr">
        <is>
          <t>东方财富</t>
        </is>
      </c>
      <c r="N367" t="b">
        <v>1</v>
      </c>
    </row>
    <row r="368">
      <c r="A368" t="inlineStr">
        <is>
          <t>A股</t>
        </is>
      </c>
      <c r="B368" t="inlineStr">
        <is>
          <t>000060</t>
        </is>
      </c>
      <c r="C368" t="inlineStr">
        <is>
          <t>中金岭南</t>
        </is>
      </c>
      <c r="D368" t="inlineStr">
        <is>
          <t>年度财务</t>
        </is>
      </c>
      <c r="E368" t="inlineStr">
        <is>
          <t>东方财富</t>
        </is>
      </c>
      <c r="F368" t="inlineStr">
        <is>
          <t>RPT_LICO_FN_CPD + RPT_DMSK_FN_CASHFLOW；巨潮回退原因：未配置巨潮官方 API 凭证/端点（CNINFO_ACCESS_TOKEN、CNINFO_INCOME_API_URL、CNINFO_CASHFLOW_API_URL）</t>
        </is>
      </c>
      <c r="G368" s="32" t="n">
        <v>46263.25730872035</v>
      </c>
      <c r="H368" t="inlineStr">
        <is>
          <t>CNY</t>
        </is>
      </c>
      <c r="I368" t="inlineStr">
        <is>
          <t>CNY</t>
        </is>
      </c>
      <c r="J368" t="inlineStr">
        <is>
          <t>ok</t>
        </is>
      </c>
      <c r="L368" t="b">
        <v>1</v>
      </c>
      <c r="M368" t="inlineStr">
        <is>
          <t>巨潮资讯（CNINFO Data Service）</t>
        </is>
      </c>
      <c r="N368" t="b">
        <v>1</v>
      </c>
    </row>
    <row r="369">
      <c r="A369" t="inlineStr">
        <is>
          <t>A股</t>
        </is>
      </c>
      <c r="B369" t="inlineStr">
        <is>
          <t>000060</t>
        </is>
      </c>
      <c r="C369" t="inlineStr">
        <is>
          <t>中金岭南</t>
        </is>
      </c>
      <c r="D369" t="inlineStr">
        <is>
          <t>上市与发行信息</t>
        </is>
      </c>
      <c r="E369" t="inlineStr">
        <is>
          <t>东方财富</t>
        </is>
      </c>
      <c r="F369" t="inlineStr">
        <is>
          <t>RPT_PCF10_ORG_ISSUEINFO</t>
        </is>
      </c>
      <c r="G369" s="32" t="n">
        <v>46263.25736327221</v>
      </c>
      <c r="H369" t="inlineStr">
        <is>
          <t>CNY</t>
        </is>
      </c>
      <c r="I369" t="inlineStr">
        <is>
          <t>CNY</t>
        </is>
      </c>
      <c r="J369" t="inlineStr">
        <is>
          <t>ok</t>
        </is>
      </c>
      <c r="L369" t="b">
        <v>0</v>
      </c>
      <c r="M369" t="inlineStr">
        <is>
          <t>东方财富</t>
        </is>
      </c>
      <c r="N369" t="b">
        <v>1</v>
      </c>
    </row>
    <row r="370">
      <c r="A370" t="inlineStr">
        <is>
          <t>A股</t>
        </is>
      </c>
      <c r="B370" t="inlineStr">
        <is>
          <t>000060</t>
        </is>
      </c>
      <c r="C370" t="inlineStr">
        <is>
          <t>中金岭南</t>
        </is>
      </c>
      <c r="D370" t="inlineStr">
        <is>
          <t>资金流</t>
        </is>
      </c>
      <c r="E370" t="inlineStr">
        <is>
          <t>配置</t>
        </is>
      </c>
      <c r="F370" t="inlineStr">
        <is>
          <t>flow-mode-off</t>
        </is>
      </c>
      <c r="G370" s="32" t="n">
        <v>46263.25754607147</v>
      </c>
      <c r="I370" t="inlineStr">
        <is>
          <t>CNY</t>
        </is>
      </c>
      <c r="J370" t="inlineStr">
        <is>
          <t>optional_missing</t>
        </is>
      </c>
      <c r="K370" t="inlineStr">
        <is>
          <t>用户选择不抓取资金流</t>
        </is>
      </c>
      <c r="L370" t="b">
        <v>0</v>
      </c>
      <c r="M370" t="inlineStr">
        <is>
          <t>配置</t>
        </is>
      </c>
      <c r="N370" t="b">
        <v>0</v>
      </c>
    </row>
    <row r="371">
      <c r="A371" t="inlineStr">
        <is>
          <t>港股</t>
        </is>
      </c>
      <c r="B371" t="inlineStr">
        <is>
          <t>00042</t>
        </is>
      </c>
      <c r="C371" t="inlineStr">
        <is>
          <t>NE ELECTRIC</t>
        </is>
      </c>
      <c r="D371" t="inlineStr">
        <is>
          <t>最新行情</t>
        </is>
      </c>
      <c r="E371" t="inlineStr">
        <is>
          <t>东方财富</t>
        </is>
      </c>
      <c r="F371" t="inlineStr">
        <is>
          <t>push2 ulist.np/get f2,f20（按指定证券分批）</t>
        </is>
      </c>
      <c r="G371" s="32" t="n">
        <v>46263.25725226049</v>
      </c>
      <c r="H371" t="inlineStr">
        <is>
          <t>HKD</t>
        </is>
      </c>
      <c r="I371" t="inlineStr">
        <is>
          <t>HKD</t>
        </is>
      </c>
      <c r="J371" t="inlineStr">
        <is>
          <t>ok</t>
        </is>
      </c>
      <c r="L371" t="b">
        <v>0</v>
      </c>
      <c r="M371" t="inlineStr">
        <is>
          <t>东方财富</t>
        </is>
      </c>
      <c r="N371" t="b">
        <v>1</v>
      </c>
    </row>
    <row r="372">
      <c r="A372" t="inlineStr">
        <is>
          <t>港股</t>
        </is>
      </c>
      <c r="B372" t="inlineStr">
        <is>
          <t>00042</t>
        </is>
      </c>
      <c r="C372" t="inlineStr">
        <is>
          <t>NE ELECTRIC</t>
        </is>
      </c>
      <c r="D372" t="inlineStr">
        <is>
          <t>大宗交易</t>
        </is>
      </c>
      <c r="E372" t="inlineStr">
        <is>
          <t>东方财富</t>
        </is>
      </c>
      <c r="F372" t="inlineStr">
        <is>
          <t>not-applicable-hk</t>
        </is>
      </c>
      <c r="G372" s="32" t="n">
        <v>46263.25725433244</v>
      </c>
      <c r="I372" t="inlineStr">
        <is>
          <t>HKD</t>
        </is>
      </c>
      <c r="J372" t="inlineStr">
        <is>
          <t>optional_missing</t>
        </is>
      </c>
      <c r="K372" t="inlineStr">
        <is>
          <t>港股大宗交易按允许缺失规则留空</t>
        </is>
      </c>
      <c r="L372" t="b">
        <v>0</v>
      </c>
      <c r="M372" t="inlineStr">
        <is>
          <t>东方财富</t>
        </is>
      </c>
      <c r="N372" t="b">
        <v>1</v>
      </c>
    </row>
    <row r="373">
      <c r="A373" t="inlineStr">
        <is>
          <t>港股</t>
        </is>
      </c>
      <c r="B373" t="inlineStr">
        <is>
          <t>00042</t>
        </is>
      </c>
      <c r="C373" t="inlineStr">
        <is>
          <t>NE ELECTRIC</t>
        </is>
      </c>
      <c r="D373" t="inlineStr">
        <is>
          <t>年度财务</t>
        </is>
      </c>
      <c r="E373" t="inlineStr">
        <is>
          <t>东方财富</t>
        </is>
      </c>
      <c r="F373" t="inlineStr">
        <is>
          <t>RPT_HKF10_FN_MAININDICATOR</t>
        </is>
      </c>
      <c r="G373" s="32" t="n">
        <v>46263.25730431044</v>
      </c>
      <c r="H373" t="inlineStr">
        <is>
          <t>HKD</t>
        </is>
      </c>
      <c r="I373" t="inlineStr">
        <is>
          <t>HKD</t>
        </is>
      </c>
      <c r="J373" t="inlineStr">
        <is>
          <t>ok</t>
        </is>
      </c>
      <c r="L373" t="b">
        <v>0</v>
      </c>
      <c r="M373" t="inlineStr">
        <is>
          <t>东方财富</t>
        </is>
      </c>
      <c r="N373" t="b">
        <v>1</v>
      </c>
    </row>
    <row r="374">
      <c r="A374" t="inlineStr">
        <is>
          <t>港股</t>
        </is>
      </c>
      <c r="B374" t="inlineStr">
        <is>
          <t>00042</t>
        </is>
      </c>
      <c r="C374" t="inlineStr">
        <is>
          <t>NE ELECTRIC</t>
        </is>
      </c>
      <c r="D374" t="inlineStr">
        <is>
          <t>上市与发行信息</t>
        </is>
      </c>
      <c r="E374" t="inlineStr">
        <is>
          <t>东方财富</t>
        </is>
      </c>
      <c r="F374" t="inlineStr">
        <is>
          <t>RPT_HKF10_INFO_SECURITYINFO</t>
        </is>
      </c>
      <c r="G374" s="32" t="n">
        <v>46263.25736382633</v>
      </c>
      <c r="H374" t="inlineStr">
        <is>
          <t>HKD</t>
        </is>
      </c>
      <c r="I374" t="inlineStr">
        <is>
          <t>HKD</t>
        </is>
      </c>
      <c r="J374" t="inlineStr">
        <is>
          <t>ok</t>
        </is>
      </c>
      <c r="L374" t="b">
        <v>1</v>
      </c>
      <c r="M374" t="inlineStr">
        <is>
          <t>东方财富</t>
        </is>
      </c>
      <c r="N374" t="b">
        <v>1</v>
      </c>
    </row>
    <row r="375">
      <c r="A375" t="inlineStr">
        <is>
          <t>港股</t>
        </is>
      </c>
      <c r="B375" t="inlineStr">
        <is>
          <t>00042</t>
        </is>
      </c>
      <c r="C375" t="inlineStr">
        <is>
          <t>NE ELECTRIC</t>
        </is>
      </c>
      <c r="D375" t="inlineStr">
        <is>
          <t>资金流</t>
        </is>
      </c>
      <c r="E375" t="inlineStr">
        <is>
          <t>配置</t>
        </is>
      </c>
      <c r="F375" t="inlineStr">
        <is>
          <t>flow-mode-off</t>
        </is>
      </c>
      <c r="G375" s="32" t="n">
        <v>46263.25754607147</v>
      </c>
      <c r="I375" t="inlineStr">
        <is>
          <t>HKD</t>
        </is>
      </c>
      <c r="J375" t="inlineStr">
        <is>
          <t>optional_missing</t>
        </is>
      </c>
      <c r="K375" t="inlineStr">
        <is>
          <t>用户选择不抓取资金流</t>
        </is>
      </c>
      <c r="L375" t="b">
        <v>0</v>
      </c>
      <c r="M375" t="inlineStr">
        <is>
          <t>配置</t>
        </is>
      </c>
      <c r="N375" t="b">
        <v>0</v>
      </c>
    </row>
    <row r="376">
      <c r="A376" t="inlineStr">
        <is>
          <t>A股</t>
        </is>
      </c>
      <c r="B376" t="inlineStr">
        <is>
          <t>000061</t>
        </is>
      </c>
      <c r="C376" t="inlineStr">
        <is>
          <t>农产品</t>
        </is>
      </c>
      <c r="D376" t="inlineStr">
        <is>
          <t>最新行情</t>
        </is>
      </c>
      <c r="E376" t="inlineStr">
        <is>
          <t>东方财富</t>
        </is>
      </c>
      <c r="F376" t="inlineStr">
        <is>
          <t>push2 ulist.np/get f2,f20（按指定证券分批）</t>
        </is>
      </c>
      <c r="G376" s="32" t="n">
        <v>46263.25725226049</v>
      </c>
      <c r="H376" t="inlineStr">
        <is>
          <t>CNY</t>
        </is>
      </c>
      <c r="I376" t="inlineStr">
        <is>
          <t>CNY</t>
        </is>
      </c>
      <c r="J376" t="inlineStr">
        <is>
          <t>ok</t>
        </is>
      </c>
      <c r="L376" t="b">
        <v>0</v>
      </c>
      <c r="M376" t="inlineStr">
        <is>
          <t>东方财富</t>
        </is>
      </c>
      <c r="N376" t="b">
        <v>1</v>
      </c>
    </row>
    <row r="377">
      <c r="A377" t="inlineStr">
        <is>
          <t>A股</t>
        </is>
      </c>
      <c r="B377" t="inlineStr">
        <is>
          <t>000061</t>
        </is>
      </c>
      <c r="C377" t="inlineStr">
        <is>
          <t>农产品</t>
        </is>
      </c>
      <c r="D377" t="inlineStr">
        <is>
          <t>大宗交易</t>
        </is>
      </c>
      <c r="E377" t="inlineStr">
        <is>
          <t>东方财富</t>
        </is>
      </c>
      <c r="F377" t="inlineStr">
        <is>
          <t>RPT_DATA_BLOCKTRADE 2026（全市场分页后本地聚合）</t>
        </is>
      </c>
      <c r="G377" s="32" t="n">
        <v>46263.25725717999</v>
      </c>
      <c r="H377" t="inlineStr">
        <is>
          <t>CNY</t>
        </is>
      </c>
      <c r="I377" t="inlineStr">
        <is>
          <t>CNY</t>
        </is>
      </c>
      <c r="J377" t="inlineStr">
        <is>
          <t>ok</t>
        </is>
      </c>
      <c r="L377" t="b">
        <v>0</v>
      </c>
      <c r="M377" t="inlineStr">
        <is>
          <t>东方财富</t>
        </is>
      </c>
      <c r="N377" t="b">
        <v>1</v>
      </c>
    </row>
    <row r="378">
      <c r="A378" t="inlineStr">
        <is>
          <t>A股</t>
        </is>
      </c>
      <c r="B378" t="inlineStr">
        <is>
          <t>000061</t>
        </is>
      </c>
      <c r="C378" t="inlineStr">
        <is>
          <t>农产品</t>
        </is>
      </c>
      <c r="D378" t="inlineStr">
        <is>
          <t>年度财务</t>
        </is>
      </c>
      <c r="E378" t="inlineStr">
        <is>
          <t>东方财富</t>
        </is>
      </c>
      <c r="F378" t="inlineStr">
        <is>
          <t>RPT_LICO_FN_CPD + RPT_DMSK_FN_CASHFLOW；巨潮回退原因：未配置巨潮官方 API 凭证/端点（CNINFO_ACCESS_TOKEN、CNINFO_INCOME_API_URL、CNINFO_CASHFLOW_API_URL）</t>
        </is>
      </c>
      <c r="G378" s="32" t="n">
        <v>46263.25731094469</v>
      </c>
      <c r="H378" t="inlineStr">
        <is>
          <t>CNY</t>
        </is>
      </c>
      <c r="I378" t="inlineStr">
        <is>
          <t>CNY</t>
        </is>
      </c>
      <c r="J378" t="inlineStr">
        <is>
          <t>ok</t>
        </is>
      </c>
      <c r="L378" t="b">
        <v>1</v>
      </c>
      <c r="M378" t="inlineStr">
        <is>
          <t>巨潮资讯（CNINFO Data Service）</t>
        </is>
      </c>
      <c r="N378" t="b">
        <v>1</v>
      </c>
    </row>
    <row r="379">
      <c r="A379" t="inlineStr">
        <is>
          <t>A股</t>
        </is>
      </c>
      <c r="B379" t="inlineStr">
        <is>
          <t>000061</t>
        </is>
      </c>
      <c r="C379" t="inlineStr">
        <is>
          <t>农产品</t>
        </is>
      </c>
      <c r="D379" t="inlineStr">
        <is>
          <t>上市与发行信息</t>
        </is>
      </c>
      <c r="E379" t="inlineStr">
        <is>
          <t>东方财富</t>
        </is>
      </c>
      <c r="F379" t="inlineStr">
        <is>
          <t>RPT_PCF10_ORG_ISSUEINFO</t>
        </is>
      </c>
      <c r="G379" s="32" t="n">
        <v>46263.25736586036</v>
      </c>
      <c r="H379" t="inlineStr">
        <is>
          <t>CNY</t>
        </is>
      </c>
      <c r="I379" t="inlineStr">
        <is>
          <t>CNY</t>
        </is>
      </c>
      <c r="J379" t="inlineStr">
        <is>
          <t>ok</t>
        </is>
      </c>
      <c r="L379" t="b">
        <v>0</v>
      </c>
      <c r="M379" t="inlineStr">
        <is>
          <t>东方财富</t>
        </is>
      </c>
      <c r="N379" t="b">
        <v>1</v>
      </c>
    </row>
    <row r="380">
      <c r="A380" t="inlineStr">
        <is>
          <t>A股</t>
        </is>
      </c>
      <c r="B380" t="inlineStr">
        <is>
          <t>000061</t>
        </is>
      </c>
      <c r="C380" t="inlineStr">
        <is>
          <t>农产品</t>
        </is>
      </c>
      <c r="D380" t="inlineStr">
        <is>
          <t>资金流</t>
        </is>
      </c>
      <c r="E380" t="inlineStr">
        <is>
          <t>配置</t>
        </is>
      </c>
      <c r="F380" t="inlineStr">
        <is>
          <t>flow-mode-off</t>
        </is>
      </c>
      <c r="G380" s="32" t="n">
        <v>46263.25754607147</v>
      </c>
      <c r="I380" t="inlineStr">
        <is>
          <t>CNY</t>
        </is>
      </c>
      <c r="J380" t="inlineStr">
        <is>
          <t>optional_missing</t>
        </is>
      </c>
      <c r="K380" t="inlineStr">
        <is>
          <t>用户选择不抓取资金流</t>
        </is>
      </c>
      <c r="L380" t="b">
        <v>0</v>
      </c>
      <c r="M380" t="inlineStr">
        <is>
          <t>配置</t>
        </is>
      </c>
      <c r="N380" t="b">
        <v>0</v>
      </c>
    </row>
    <row r="381">
      <c r="A381" t="inlineStr">
        <is>
          <t>港股</t>
        </is>
      </c>
      <c r="B381" t="inlineStr">
        <is>
          <t>00045</t>
        </is>
      </c>
      <c r="C381" t="inlineStr">
        <is>
          <t>HK&amp;S HOTELS</t>
        </is>
      </c>
      <c r="D381" t="inlineStr">
        <is>
          <t>最新行情</t>
        </is>
      </c>
      <c r="E381" t="inlineStr">
        <is>
          <t>东方财富</t>
        </is>
      </c>
      <c r="F381" t="inlineStr">
        <is>
          <t>push2 ulist.np/get f2,f20（按指定证券分批）</t>
        </is>
      </c>
      <c r="G381" s="32" t="n">
        <v>46263.25725226049</v>
      </c>
      <c r="H381" t="inlineStr">
        <is>
          <t>HKD</t>
        </is>
      </c>
      <c r="I381" t="inlineStr">
        <is>
          <t>HKD</t>
        </is>
      </c>
      <c r="J381" t="inlineStr">
        <is>
          <t>ok</t>
        </is>
      </c>
      <c r="L381" t="b">
        <v>0</v>
      </c>
      <c r="M381" t="inlineStr">
        <is>
          <t>东方财富</t>
        </is>
      </c>
      <c r="N381" t="b">
        <v>1</v>
      </c>
    </row>
    <row r="382">
      <c r="A382" t="inlineStr">
        <is>
          <t>港股</t>
        </is>
      </c>
      <c r="B382" t="inlineStr">
        <is>
          <t>00045</t>
        </is>
      </c>
      <c r="C382" t="inlineStr">
        <is>
          <t>HK&amp;S HOTELS</t>
        </is>
      </c>
      <c r="D382" t="inlineStr">
        <is>
          <t>大宗交易</t>
        </is>
      </c>
      <c r="E382" t="inlineStr">
        <is>
          <t>东方财富</t>
        </is>
      </c>
      <c r="F382" t="inlineStr">
        <is>
          <t>not-applicable-hk</t>
        </is>
      </c>
      <c r="G382" s="32" t="n">
        <v>46263.25725433244</v>
      </c>
      <c r="I382" t="inlineStr">
        <is>
          <t>HKD</t>
        </is>
      </c>
      <c r="J382" t="inlineStr">
        <is>
          <t>optional_missing</t>
        </is>
      </c>
      <c r="K382" t="inlineStr">
        <is>
          <t>港股大宗交易按允许缺失规则留空</t>
        </is>
      </c>
      <c r="L382" t="b">
        <v>0</v>
      </c>
      <c r="M382" t="inlineStr">
        <is>
          <t>东方财富</t>
        </is>
      </c>
      <c r="N382" t="b">
        <v>1</v>
      </c>
    </row>
    <row r="383">
      <c r="A383" t="inlineStr">
        <is>
          <t>港股</t>
        </is>
      </c>
      <c r="B383" t="inlineStr">
        <is>
          <t>00045</t>
        </is>
      </c>
      <c r="C383" t="inlineStr">
        <is>
          <t>HK&amp;S HOTELS</t>
        </is>
      </c>
      <c r="D383" t="inlineStr">
        <is>
          <t>年度财务</t>
        </is>
      </c>
      <c r="E383" t="inlineStr">
        <is>
          <t>东方财富</t>
        </is>
      </c>
      <c r="F383" t="inlineStr">
        <is>
          <t>RPT_HKF10_FN_MAININDICATOR</t>
        </is>
      </c>
      <c r="G383" s="32" t="n">
        <v>46263.25730465971</v>
      </c>
      <c r="H383" t="inlineStr">
        <is>
          <t>HKD</t>
        </is>
      </c>
      <c r="I383" t="inlineStr">
        <is>
          <t>HKD</t>
        </is>
      </c>
      <c r="J383" t="inlineStr">
        <is>
          <t>ok</t>
        </is>
      </c>
      <c r="L383" t="b">
        <v>0</v>
      </c>
      <c r="M383" t="inlineStr">
        <is>
          <t>东方财富</t>
        </is>
      </c>
      <c r="N383" t="b">
        <v>1</v>
      </c>
    </row>
    <row r="384">
      <c r="A384" t="inlineStr">
        <is>
          <t>港股</t>
        </is>
      </c>
      <c r="B384" t="inlineStr">
        <is>
          <t>00045</t>
        </is>
      </c>
      <c r="C384" t="inlineStr">
        <is>
          <t>HK&amp;S HOTELS</t>
        </is>
      </c>
      <c r="D384" t="inlineStr">
        <is>
          <t>上市与发行信息</t>
        </is>
      </c>
      <c r="E384" t="inlineStr">
        <is>
          <t>东方财富</t>
        </is>
      </c>
      <c r="F384" t="inlineStr">
        <is>
          <t>RPT_HKF10_INFO_SECURITYINFO</t>
        </is>
      </c>
      <c r="G384" s="32" t="n">
        <v>46263.25736509086</v>
      </c>
      <c r="H384" t="inlineStr">
        <is>
          <t>HKD</t>
        </is>
      </c>
      <c r="I384" t="inlineStr">
        <is>
          <t>HKD</t>
        </is>
      </c>
      <c r="J384" t="inlineStr">
        <is>
          <t>ok</t>
        </is>
      </c>
      <c r="L384" t="b">
        <v>0</v>
      </c>
      <c r="M384" t="inlineStr">
        <is>
          <t>东方财富</t>
        </is>
      </c>
      <c r="N384" t="b">
        <v>1</v>
      </c>
    </row>
    <row r="385">
      <c r="A385" t="inlineStr">
        <is>
          <t>港股</t>
        </is>
      </c>
      <c r="B385" t="inlineStr">
        <is>
          <t>00045</t>
        </is>
      </c>
      <c r="C385" t="inlineStr">
        <is>
          <t>HK&amp;S HOTELS</t>
        </is>
      </c>
      <c r="D385" t="inlineStr">
        <is>
          <t>资金流</t>
        </is>
      </c>
      <c r="E385" t="inlineStr">
        <is>
          <t>配置</t>
        </is>
      </c>
      <c r="F385" t="inlineStr">
        <is>
          <t>flow-mode-off</t>
        </is>
      </c>
      <c r="G385" s="32" t="n">
        <v>46263.25754607147</v>
      </c>
      <c r="I385" t="inlineStr">
        <is>
          <t>HKD</t>
        </is>
      </c>
      <c r="J385" t="inlineStr">
        <is>
          <t>optional_missing</t>
        </is>
      </c>
      <c r="K385" t="inlineStr">
        <is>
          <t>用户选择不抓取资金流</t>
        </is>
      </c>
      <c r="L385" t="b">
        <v>0</v>
      </c>
      <c r="M385" t="inlineStr">
        <is>
          <t>配置</t>
        </is>
      </c>
      <c r="N385" t="b">
        <v>0</v>
      </c>
    </row>
    <row r="386">
      <c r="A386" t="inlineStr">
        <is>
          <t>A股</t>
        </is>
      </c>
      <c r="B386" t="inlineStr">
        <is>
          <t>000062</t>
        </is>
      </c>
      <c r="C386" t="inlineStr">
        <is>
          <t>深圳华强</t>
        </is>
      </c>
      <c r="D386" t="inlineStr">
        <is>
          <t>最新行情</t>
        </is>
      </c>
      <c r="E386" t="inlineStr">
        <is>
          <t>东方财富</t>
        </is>
      </c>
      <c r="F386" t="inlineStr">
        <is>
          <t>push2 ulist.np/get f2,f20（按指定证券分批）</t>
        </is>
      </c>
      <c r="G386" s="32" t="n">
        <v>46263.25725226049</v>
      </c>
      <c r="H386" t="inlineStr">
        <is>
          <t>CNY</t>
        </is>
      </c>
      <c r="I386" t="inlineStr">
        <is>
          <t>CNY</t>
        </is>
      </c>
      <c r="J386" t="inlineStr">
        <is>
          <t>ok</t>
        </is>
      </c>
      <c r="L386" t="b">
        <v>0</v>
      </c>
      <c r="M386" t="inlineStr">
        <is>
          <t>东方财富</t>
        </is>
      </c>
      <c r="N386" t="b">
        <v>1</v>
      </c>
    </row>
    <row r="387">
      <c r="A387" t="inlineStr">
        <is>
          <t>A股</t>
        </is>
      </c>
      <c r="B387" t="inlineStr">
        <is>
          <t>000062</t>
        </is>
      </c>
      <c r="C387" t="inlineStr">
        <is>
          <t>深圳华强</t>
        </is>
      </c>
      <c r="D387" t="inlineStr">
        <is>
          <t>大宗交易</t>
        </is>
      </c>
      <c r="E387" t="inlineStr">
        <is>
          <t>东方财富</t>
        </is>
      </c>
      <c r="F387" t="inlineStr">
        <is>
          <t>RPT_DATA_BLOCKTRADE 2026（全市场分页后本地聚合）</t>
        </is>
      </c>
      <c r="G387" s="32" t="n">
        <v>46263.25725717999</v>
      </c>
      <c r="H387" t="inlineStr">
        <is>
          <t>CNY</t>
        </is>
      </c>
      <c r="I387" t="inlineStr">
        <is>
          <t>CNY</t>
        </is>
      </c>
      <c r="J387" t="inlineStr">
        <is>
          <t>ok</t>
        </is>
      </c>
      <c r="L387" t="b">
        <v>0</v>
      </c>
      <c r="M387" t="inlineStr">
        <is>
          <t>东方财富</t>
        </is>
      </c>
      <c r="N387" t="b">
        <v>1</v>
      </c>
    </row>
    <row r="388">
      <c r="A388" t="inlineStr">
        <is>
          <t>A股</t>
        </is>
      </c>
      <c r="B388" t="inlineStr">
        <is>
          <t>000062</t>
        </is>
      </c>
      <c r="C388" t="inlineStr">
        <is>
          <t>深圳华强</t>
        </is>
      </c>
      <c r="D388" t="inlineStr">
        <is>
          <t>年度财务</t>
        </is>
      </c>
      <c r="E388" t="inlineStr">
        <is>
          <t>东方财富</t>
        </is>
      </c>
      <c r="F388" t="inlineStr">
        <is>
          <t>RPT_LICO_FN_CPD + RPT_DMSK_FN_CASHFLOW；巨潮回退原因：未配置巨潮官方 API 凭证/端点（CNINFO_ACCESS_TOKEN、CNINFO_INCOME_API_URL、CNINFO_CASHFLOW_API_URL）</t>
        </is>
      </c>
      <c r="G388" s="32" t="n">
        <v>46263.25731101938</v>
      </c>
      <c r="H388" t="inlineStr">
        <is>
          <t>CNY</t>
        </is>
      </c>
      <c r="I388" t="inlineStr">
        <is>
          <t>CNY</t>
        </is>
      </c>
      <c r="J388" t="inlineStr">
        <is>
          <t>ok</t>
        </is>
      </c>
      <c r="L388" t="b">
        <v>1</v>
      </c>
      <c r="M388" t="inlineStr">
        <is>
          <t>巨潮资讯（CNINFO Data Service）</t>
        </is>
      </c>
      <c r="N388" t="b">
        <v>1</v>
      </c>
    </row>
    <row r="389">
      <c r="A389" t="inlineStr">
        <is>
          <t>A股</t>
        </is>
      </c>
      <c r="B389" t="inlineStr">
        <is>
          <t>000062</t>
        </is>
      </c>
      <c r="C389" t="inlineStr">
        <is>
          <t>深圳华强</t>
        </is>
      </c>
      <c r="D389" t="inlineStr">
        <is>
          <t>上市与发行信息</t>
        </is>
      </c>
      <c r="E389" t="inlineStr">
        <is>
          <t>东方财富</t>
        </is>
      </c>
      <c r="F389" t="inlineStr">
        <is>
          <t>RPT_PCF10_ORG_ISSUEINFO</t>
        </is>
      </c>
      <c r="G389" s="32" t="n">
        <v>46263.25736599071</v>
      </c>
      <c r="H389" t="inlineStr">
        <is>
          <t>CNY</t>
        </is>
      </c>
      <c r="I389" t="inlineStr">
        <is>
          <t>CNY</t>
        </is>
      </c>
      <c r="J389" t="inlineStr">
        <is>
          <t>ok</t>
        </is>
      </c>
      <c r="L389" t="b">
        <v>0</v>
      </c>
      <c r="M389" t="inlineStr">
        <is>
          <t>东方财富</t>
        </is>
      </c>
      <c r="N389" t="b">
        <v>1</v>
      </c>
    </row>
    <row r="390">
      <c r="A390" t="inlineStr">
        <is>
          <t>A股</t>
        </is>
      </c>
      <c r="B390" t="inlineStr">
        <is>
          <t>000062</t>
        </is>
      </c>
      <c r="C390" t="inlineStr">
        <is>
          <t>深圳华强</t>
        </is>
      </c>
      <c r="D390" t="inlineStr">
        <is>
          <t>资金流</t>
        </is>
      </c>
      <c r="E390" t="inlineStr">
        <is>
          <t>配置</t>
        </is>
      </c>
      <c r="F390" t="inlineStr">
        <is>
          <t>flow-mode-off</t>
        </is>
      </c>
      <c r="G390" s="32" t="n">
        <v>46263.25754607147</v>
      </c>
      <c r="I390" t="inlineStr">
        <is>
          <t>CNY</t>
        </is>
      </c>
      <c r="J390" t="inlineStr">
        <is>
          <t>optional_missing</t>
        </is>
      </c>
      <c r="K390" t="inlineStr">
        <is>
          <t>用户选择不抓取资金流</t>
        </is>
      </c>
      <c r="L390" t="b">
        <v>0</v>
      </c>
      <c r="M390" t="inlineStr">
        <is>
          <t>配置</t>
        </is>
      </c>
      <c r="N390" t="b">
        <v>0</v>
      </c>
    </row>
    <row r="391">
      <c r="A391" t="inlineStr">
        <is>
          <t>港股</t>
        </is>
      </c>
      <c r="B391" t="inlineStr">
        <is>
          <t>00046</t>
        </is>
      </c>
      <c r="C391" t="inlineStr">
        <is>
          <t>COMPUTER &amp; TECH</t>
        </is>
      </c>
      <c r="D391" t="inlineStr">
        <is>
          <t>最新行情</t>
        </is>
      </c>
      <c r="E391" t="inlineStr">
        <is>
          <t>东方财富</t>
        </is>
      </c>
      <c r="F391" t="inlineStr">
        <is>
          <t>push2 ulist.np/get f2,f20（按指定证券分批）</t>
        </is>
      </c>
      <c r="G391" s="32" t="n">
        <v>46263.25725226049</v>
      </c>
      <c r="H391" t="inlineStr">
        <is>
          <t>HKD</t>
        </is>
      </c>
      <c r="I391" t="inlineStr">
        <is>
          <t>HKD</t>
        </is>
      </c>
      <c r="J391" t="inlineStr">
        <is>
          <t>ok</t>
        </is>
      </c>
      <c r="L391" t="b">
        <v>0</v>
      </c>
      <c r="M391" t="inlineStr">
        <is>
          <t>东方财富</t>
        </is>
      </c>
      <c r="N391" t="b">
        <v>1</v>
      </c>
    </row>
    <row r="392">
      <c r="A392" t="inlineStr">
        <is>
          <t>港股</t>
        </is>
      </c>
      <c r="B392" t="inlineStr">
        <is>
          <t>00046</t>
        </is>
      </c>
      <c r="C392" t="inlineStr">
        <is>
          <t>COMPUTER &amp; TECH</t>
        </is>
      </c>
      <c r="D392" t="inlineStr">
        <is>
          <t>大宗交易</t>
        </is>
      </c>
      <c r="E392" t="inlineStr">
        <is>
          <t>东方财富</t>
        </is>
      </c>
      <c r="F392" t="inlineStr">
        <is>
          <t>not-applicable-hk</t>
        </is>
      </c>
      <c r="G392" s="32" t="n">
        <v>46263.25725433244</v>
      </c>
      <c r="I392" t="inlineStr">
        <is>
          <t>HKD</t>
        </is>
      </c>
      <c r="J392" t="inlineStr">
        <is>
          <t>optional_missing</t>
        </is>
      </c>
      <c r="K392" t="inlineStr">
        <is>
          <t>港股大宗交易按允许缺失规则留空</t>
        </is>
      </c>
      <c r="L392" t="b">
        <v>0</v>
      </c>
      <c r="M392" t="inlineStr">
        <is>
          <t>东方财富</t>
        </is>
      </c>
      <c r="N392" t="b">
        <v>1</v>
      </c>
    </row>
    <row r="393">
      <c r="A393" t="inlineStr">
        <is>
          <t>港股</t>
        </is>
      </c>
      <c r="B393" t="inlineStr">
        <is>
          <t>00046</t>
        </is>
      </c>
      <c r="C393" t="inlineStr">
        <is>
          <t>COMPUTER &amp; TECH</t>
        </is>
      </c>
      <c r="D393" t="inlineStr">
        <is>
          <t>年度财务</t>
        </is>
      </c>
      <c r="E393" t="inlineStr">
        <is>
          <t>东方财富</t>
        </is>
      </c>
      <c r="F393" t="inlineStr">
        <is>
          <t>RPT_HKF10_FN_MAININDICATOR</t>
        </is>
      </c>
      <c r="G393" s="32" t="n">
        <v>46263.25730598683</v>
      </c>
      <c r="H393" t="inlineStr">
        <is>
          <t>HKD</t>
        </is>
      </c>
      <c r="I393" t="inlineStr">
        <is>
          <t>HKD</t>
        </is>
      </c>
      <c r="J393" t="inlineStr">
        <is>
          <t>ok</t>
        </is>
      </c>
      <c r="L393" t="b">
        <v>0</v>
      </c>
      <c r="M393" t="inlineStr">
        <is>
          <t>东方财富</t>
        </is>
      </c>
      <c r="N393" t="b">
        <v>1</v>
      </c>
    </row>
    <row r="394">
      <c r="A394" t="inlineStr">
        <is>
          <t>港股</t>
        </is>
      </c>
      <c r="B394" t="inlineStr">
        <is>
          <t>00046</t>
        </is>
      </c>
      <c r="C394" t="inlineStr">
        <is>
          <t>COMPUTER &amp; TECH</t>
        </is>
      </c>
      <c r="D394" t="inlineStr">
        <is>
          <t>上市与发行信息</t>
        </is>
      </c>
      <c r="E394" t="inlineStr">
        <is>
          <t>东方财富</t>
        </is>
      </c>
      <c r="F394" t="inlineStr">
        <is>
          <t>RPT_HKF10_INFO_SECURITYINFO</t>
        </is>
      </c>
      <c r="G394" s="32" t="n">
        <v>46263.2573688457</v>
      </c>
      <c r="H394" t="inlineStr">
        <is>
          <t>HKD</t>
        </is>
      </c>
      <c r="I394" t="inlineStr">
        <is>
          <t>HKD</t>
        </is>
      </c>
      <c r="J394" t="inlineStr">
        <is>
          <t>ok</t>
        </is>
      </c>
      <c r="L394" t="b">
        <v>1</v>
      </c>
      <c r="M394" t="inlineStr">
        <is>
          <t>东方财富</t>
        </is>
      </c>
      <c r="N394" t="b">
        <v>1</v>
      </c>
    </row>
    <row r="395">
      <c r="A395" t="inlineStr">
        <is>
          <t>港股</t>
        </is>
      </c>
      <c r="B395" t="inlineStr">
        <is>
          <t>00046</t>
        </is>
      </c>
      <c r="C395" t="inlineStr">
        <is>
          <t>COMPUTER &amp; TECH</t>
        </is>
      </c>
      <c r="D395" t="inlineStr">
        <is>
          <t>资金流</t>
        </is>
      </c>
      <c r="E395" t="inlineStr">
        <is>
          <t>配置</t>
        </is>
      </c>
      <c r="F395" t="inlineStr">
        <is>
          <t>flow-mode-off</t>
        </is>
      </c>
      <c r="G395" s="32" t="n">
        <v>46263.25754607147</v>
      </c>
      <c r="I395" t="inlineStr">
        <is>
          <t>HKD</t>
        </is>
      </c>
      <c r="J395" t="inlineStr">
        <is>
          <t>optional_missing</t>
        </is>
      </c>
      <c r="K395" t="inlineStr">
        <is>
          <t>用户选择不抓取资金流</t>
        </is>
      </c>
      <c r="L395" t="b">
        <v>0</v>
      </c>
      <c r="M395" t="inlineStr">
        <is>
          <t>配置</t>
        </is>
      </c>
      <c r="N395" t="b">
        <v>0</v>
      </c>
    </row>
    <row r="396">
      <c r="A396" t="inlineStr">
        <is>
          <t>A股</t>
        </is>
      </c>
      <c r="B396" t="inlineStr">
        <is>
          <t>000063</t>
        </is>
      </c>
      <c r="C396" t="inlineStr">
        <is>
          <t>中兴通讯</t>
        </is>
      </c>
      <c r="D396" t="inlineStr">
        <is>
          <t>最新行情</t>
        </is>
      </c>
      <c r="E396" t="inlineStr">
        <is>
          <t>东方财富</t>
        </is>
      </c>
      <c r="F396" t="inlineStr">
        <is>
          <t>push2 ulist.np/get f2,f20（按指定证券分批）</t>
        </is>
      </c>
      <c r="G396" s="32" t="n">
        <v>46263.25725226049</v>
      </c>
      <c r="H396" t="inlineStr">
        <is>
          <t>CNY</t>
        </is>
      </c>
      <c r="I396" t="inlineStr">
        <is>
          <t>CNY</t>
        </is>
      </c>
      <c r="J396" t="inlineStr">
        <is>
          <t>ok</t>
        </is>
      </c>
      <c r="L396" t="b">
        <v>0</v>
      </c>
      <c r="M396" t="inlineStr">
        <is>
          <t>东方财富</t>
        </is>
      </c>
      <c r="N396" t="b">
        <v>1</v>
      </c>
    </row>
    <row r="397">
      <c r="A397" t="inlineStr">
        <is>
          <t>A股</t>
        </is>
      </c>
      <c r="B397" t="inlineStr">
        <is>
          <t>000063</t>
        </is>
      </c>
      <c r="C397" t="inlineStr">
        <is>
          <t>中兴通讯</t>
        </is>
      </c>
      <c r="D397" t="inlineStr">
        <is>
          <t>大宗交易</t>
        </is>
      </c>
      <c r="E397" t="inlineStr">
        <is>
          <t>东方财富</t>
        </is>
      </c>
      <c r="F397" t="inlineStr">
        <is>
          <t>RPT_DATA_BLOCKTRADE 2026（全市场分页后本地聚合）</t>
        </is>
      </c>
      <c r="G397" s="32" t="n">
        <v>46263.25725717999</v>
      </c>
      <c r="H397" t="inlineStr">
        <is>
          <t>CNY</t>
        </is>
      </c>
      <c r="I397" t="inlineStr">
        <is>
          <t>CNY</t>
        </is>
      </c>
      <c r="J397" t="inlineStr">
        <is>
          <t>ok</t>
        </is>
      </c>
      <c r="L397" t="b">
        <v>0</v>
      </c>
      <c r="M397" t="inlineStr">
        <is>
          <t>东方财富</t>
        </is>
      </c>
      <c r="N397" t="b">
        <v>1</v>
      </c>
    </row>
    <row r="398">
      <c r="A398" t="inlineStr">
        <is>
          <t>A股</t>
        </is>
      </c>
      <c r="B398" t="inlineStr">
        <is>
          <t>000063</t>
        </is>
      </c>
      <c r="C398" t="inlineStr">
        <is>
          <t>中兴通讯</t>
        </is>
      </c>
      <c r="D398" t="inlineStr">
        <is>
          <t>年度财务</t>
        </is>
      </c>
      <c r="E398" t="inlineStr">
        <is>
          <t>东方财富</t>
        </is>
      </c>
      <c r="F398" t="inlineStr">
        <is>
          <t>RPT_LICO_FN_CPD + RPT_DMSK_FN_CASHFLOW；巨潮回退原因：未配置巨潮官方 API 凭证/端点（CNINFO_ACCESS_TOKEN、CNINFO_INCOME_API_URL、CNINFO_CASHFLOW_API_URL）</t>
        </is>
      </c>
      <c r="G398" s="32" t="n">
        <v>46263.25731232305</v>
      </c>
      <c r="H398" t="inlineStr">
        <is>
          <t>CNY</t>
        </is>
      </c>
      <c r="I398" t="inlineStr">
        <is>
          <t>CNY</t>
        </is>
      </c>
      <c r="J398" t="inlineStr">
        <is>
          <t>ok</t>
        </is>
      </c>
      <c r="L398" t="b">
        <v>1</v>
      </c>
      <c r="M398" t="inlineStr">
        <is>
          <t>巨潮资讯（CNINFO Data Service）</t>
        </is>
      </c>
      <c r="N398" t="b">
        <v>1</v>
      </c>
    </row>
    <row r="399">
      <c r="A399" t="inlineStr">
        <is>
          <t>A股</t>
        </is>
      </c>
      <c r="B399" t="inlineStr">
        <is>
          <t>000063</t>
        </is>
      </c>
      <c r="C399" t="inlineStr">
        <is>
          <t>中兴通讯</t>
        </is>
      </c>
      <c r="D399" t="inlineStr">
        <is>
          <t>上市与发行信息</t>
        </is>
      </c>
      <c r="E399" t="inlineStr">
        <is>
          <t>东方财富</t>
        </is>
      </c>
      <c r="F399" t="inlineStr">
        <is>
          <t>RPT_PCF10_ORG_ISSUEINFO</t>
        </is>
      </c>
      <c r="G399" s="32" t="n">
        <v>46263.25736681459</v>
      </c>
      <c r="H399" t="inlineStr">
        <is>
          <t>CNY</t>
        </is>
      </c>
      <c r="I399" t="inlineStr">
        <is>
          <t>CNY</t>
        </is>
      </c>
      <c r="J399" t="inlineStr">
        <is>
          <t>ok</t>
        </is>
      </c>
      <c r="L399" t="b">
        <v>0</v>
      </c>
      <c r="M399" t="inlineStr">
        <is>
          <t>东方财富</t>
        </is>
      </c>
      <c r="N399" t="b">
        <v>1</v>
      </c>
    </row>
    <row r="400">
      <c r="A400" t="inlineStr">
        <is>
          <t>A股</t>
        </is>
      </c>
      <c r="B400" t="inlineStr">
        <is>
          <t>000063</t>
        </is>
      </c>
      <c r="C400" t="inlineStr">
        <is>
          <t>中兴通讯</t>
        </is>
      </c>
      <c r="D400" t="inlineStr">
        <is>
          <t>资金流</t>
        </is>
      </c>
      <c r="E400" t="inlineStr">
        <is>
          <t>配置</t>
        </is>
      </c>
      <c r="F400" t="inlineStr">
        <is>
          <t>flow-mode-off</t>
        </is>
      </c>
      <c r="G400" s="32" t="n">
        <v>46263.25754607147</v>
      </c>
      <c r="I400" t="inlineStr">
        <is>
          <t>CNY</t>
        </is>
      </c>
      <c r="J400" t="inlineStr">
        <is>
          <t>optional_missing</t>
        </is>
      </c>
      <c r="K400" t="inlineStr">
        <is>
          <t>用户选择不抓取资金流</t>
        </is>
      </c>
      <c r="L400" t="b">
        <v>0</v>
      </c>
      <c r="M400" t="inlineStr">
        <is>
          <t>配置</t>
        </is>
      </c>
      <c r="N400" t="b">
        <v>0</v>
      </c>
    </row>
    <row r="401">
      <c r="A401" t="inlineStr">
        <is>
          <t>港股</t>
        </is>
      </c>
      <c r="B401" t="inlineStr">
        <is>
          <t>00048</t>
        </is>
      </c>
      <c r="C401" t="inlineStr">
        <is>
          <t>C AUTO INT DECO</t>
        </is>
      </c>
      <c r="D401" t="inlineStr">
        <is>
          <t>最新行情</t>
        </is>
      </c>
      <c r="E401" t="inlineStr">
        <is>
          <t>东方财富</t>
        </is>
      </c>
      <c r="F401" t="inlineStr">
        <is>
          <t>push2 ulist.np/get f2,f20（按指定证券分批）</t>
        </is>
      </c>
      <c r="G401" s="32" t="n">
        <v>46263.25725226049</v>
      </c>
      <c r="H401" t="inlineStr">
        <is>
          <t>HKD</t>
        </is>
      </c>
      <c r="I401" t="inlineStr">
        <is>
          <t>HKD</t>
        </is>
      </c>
      <c r="J401" t="inlineStr">
        <is>
          <t>ok</t>
        </is>
      </c>
      <c r="L401" t="b">
        <v>0</v>
      </c>
      <c r="M401" t="inlineStr">
        <is>
          <t>东方财富</t>
        </is>
      </c>
      <c r="N401" t="b">
        <v>1</v>
      </c>
    </row>
    <row r="402">
      <c r="A402" t="inlineStr">
        <is>
          <t>港股</t>
        </is>
      </c>
      <c r="B402" t="inlineStr">
        <is>
          <t>00048</t>
        </is>
      </c>
      <c r="C402" t="inlineStr">
        <is>
          <t>C AUTO INT DECO</t>
        </is>
      </c>
      <c r="D402" t="inlineStr">
        <is>
          <t>大宗交易</t>
        </is>
      </c>
      <c r="E402" t="inlineStr">
        <is>
          <t>东方财富</t>
        </is>
      </c>
      <c r="F402" t="inlineStr">
        <is>
          <t>not-applicable-hk</t>
        </is>
      </c>
      <c r="G402" s="32" t="n">
        <v>46263.25725433244</v>
      </c>
      <c r="I402" t="inlineStr">
        <is>
          <t>HKD</t>
        </is>
      </c>
      <c r="J402" t="inlineStr">
        <is>
          <t>optional_missing</t>
        </is>
      </c>
      <c r="K402" t="inlineStr">
        <is>
          <t>港股大宗交易按允许缺失规则留空</t>
        </is>
      </c>
      <c r="L402" t="b">
        <v>0</v>
      </c>
      <c r="M402" t="inlineStr">
        <is>
          <t>东方财富</t>
        </is>
      </c>
      <c r="N402" t="b">
        <v>1</v>
      </c>
    </row>
    <row r="403">
      <c r="A403" t="inlineStr">
        <is>
          <t>港股</t>
        </is>
      </c>
      <c r="B403" t="inlineStr">
        <is>
          <t>00048</t>
        </is>
      </c>
      <c r="C403" t="inlineStr">
        <is>
          <t>C AUTO INT DECO</t>
        </is>
      </c>
      <c r="D403" t="inlineStr">
        <is>
          <t>年度财务</t>
        </is>
      </c>
      <c r="E403" t="inlineStr">
        <is>
          <t>东方财富</t>
        </is>
      </c>
      <c r="F403" t="inlineStr">
        <is>
          <t>RPT_HKF10_FN_MAININDICATOR</t>
        </is>
      </c>
      <c r="G403" s="32" t="n">
        <v>46263.25730650801</v>
      </c>
      <c r="H403" t="inlineStr">
        <is>
          <t>HKD</t>
        </is>
      </c>
      <c r="I403" t="inlineStr">
        <is>
          <t>HKD</t>
        </is>
      </c>
      <c r="J403" t="inlineStr">
        <is>
          <t>ok</t>
        </is>
      </c>
      <c r="L403" t="b">
        <v>0</v>
      </c>
      <c r="M403" t="inlineStr">
        <is>
          <t>东方财富</t>
        </is>
      </c>
      <c r="N403" t="b">
        <v>1</v>
      </c>
    </row>
    <row r="404">
      <c r="A404" t="inlineStr">
        <is>
          <t>港股</t>
        </is>
      </c>
      <c r="B404" t="inlineStr">
        <is>
          <t>00048</t>
        </is>
      </c>
      <c r="C404" t="inlineStr">
        <is>
          <t>C AUTO INT DECO</t>
        </is>
      </c>
      <c r="D404" t="inlineStr">
        <is>
          <t>上市与发行信息</t>
        </is>
      </c>
      <c r="E404" t="inlineStr">
        <is>
          <t>东方财富</t>
        </is>
      </c>
      <c r="F404" t="inlineStr">
        <is>
          <t>RPT_HKF10_INFO_SECURITYINFO</t>
        </is>
      </c>
      <c r="G404" s="32" t="n">
        <v>46263.25736829624</v>
      </c>
      <c r="H404" t="inlineStr">
        <is>
          <t>HKD</t>
        </is>
      </c>
      <c r="I404" t="inlineStr">
        <is>
          <t>HKD</t>
        </is>
      </c>
      <c r="J404" t="inlineStr">
        <is>
          <t>ok</t>
        </is>
      </c>
      <c r="L404" t="b">
        <v>0</v>
      </c>
      <c r="M404" t="inlineStr">
        <is>
          <t>东方财富</t>
        </is>
      </c>
      <c r="N404" t="b">
        <v>1</v>
      </c>
    </row>
    <row r="405">
      <c r="A405" t="inlineStr">
        <is>
          <t>港股</t>
        </is>
      </c>
      <c r="B405" t="inlineStr">
        <is>
          <t>00048</t>
        </is>
      </c>
      <c r="C405" t="inlineStr">
        <is>
          <t>C AUTO INT DECO</t>
        </is>
      </c>
      <c r="D405" t="inlineStr">
        <is>
          <t>资金流</t>
        </is>
      </c>
      <c r="E405" t="inlineStr">
        <is>
          <t>配置</t>
        </is>
      </c>
      <c r="F405" t="inlineStr">
        <is>
          <t>flow-mode-off</t>
        </is>
      </c>
      <c r="G405" s="32" t="n">
        <v>46263.25754607147</v>
      </c>
      <c r="I405" t="inlineStr">
        <is>
          <t>HKD</t>
        </is>
      </c>
      <c r="J405" t="inlineStr">
        <is>
          <t>optional_missing</t>
        </is>
      </c>
      <c r="K405" t="inlineStr">
        <is>
          <t>用户选择不抓取资金流</t>
        </is>
      </c>
      <c r="L405" t="b">
        <v>0</v>
      </c>
      <c r="M405" t="inlineStr">
        <is>
          <t>配置</t>
        </is>
      </c>
      <c r="N405" t="b">
        <v>0</v>
      </c>
    </row>
    <row r="406">
      <c r="A406" t="inlineStr">
        <is>
          <t>A股</t>
        </is>
      </c>
      <c r="B406" t="inlineStr">
        <is>
          <t>000065</t>
        </is>
      </c>
      <c r="C406" t="inlineStr">
        <is>
          <t>北方国际</t>
        </is>
      </c>
      <c r="D406" t="inlineStr">
        <is>
          <t>最新行情</t>
        </is>
      </c>
      <c r="E406" t="inlineStr">
        <is>
          <t>东方财富</t>
        </is>
      </c>
      <c r="F406" t="inlineStr">
        <is>
          <t>push2 ulist.np/get f2,f20（按指定证券分批）</t>
        </is>
      </c>
      <c r="G406" s="32" t="n">
        <v>46263.25725226049</v>
      </c>
      <c r="H406" t="inlineStr">
        <is>
          <t>CNY</t>
        </is>
      </c>
      <c r="I406" t="inlineStr">
        <is>
          <t>CNY</t>
        </is>
      </c>
      <c r="J406" t="inlineStr">
        <is>
          <t>ok</t>
        </is>
      </c>
      <c r="L406" t="b">
        <v>0</v>
      </c>
      <c r="M406" t="inlineStr">
        <is>
          <t>东方财富</t>
        </is>
      </c>
      <c r="N406" t="b">
        <v>1</v>
      </c>
    </row>
    <row r="407">
      <c r="A407" t="inlineStr">
        <is>
          <t>A股</t>
        </is>
      </c>
      <c r="B407" t="inlineStr">
        <is>
          <t>000065</t>
        </is>
      </c>
      <c r="C407" t="inlineStr">
        <is>
          <t>北方国际</t>
        </is>
      </c>
      <c r="D407" t="inlineStr">
        <is>
          <t>大宗交易</t>
        </is>
      </c>
      <c r="E407" t="inlineStr">
        <is>
          <t>东方财富</t>
        </is>
      </c>
      <c r="F407" t="inlineStr">
        <is>
          <t>RPT_DATA_BLOCKTRADE 2026（全市场分页后本地聚合）</t>
        </is>
      </c>
      <c r="G407" s="32" t="n">
        <v>46263.25725717999</v>
      </c>
      <c r="H407" t="inlineStr">
        <is>
          <t>CNY</t>
        </is>
      </c>
      <c r="I407" t="inlineStr">
        <is>
          <t>CNY</t>
        </is>
      </c>
      <c r="J407" t="inlineStr">
        <is>
          <t>ok</t>
        </is>
      </c>
      <c r="L407" t="b">
        <v>0</v>
      </c>
      <c r="M407" t="inlineStr">
        <is>
          <t>东方财富</t>
        </is>
      </c>
      <c r="N407" t="b">
        <v>1</v>
      </c>
    </row>
    <row r="408">
      <c r="A408" t="inlineStr">
        <is>
          <t>A股</t>
        </is>
      </c>
      <c r="B408" t="inlineStr">
        <is>
          <t>000065</t>
        </is>
      </c>
      <c r="C408" t="inlineStr">
        <is>
          <t>北方国际</t>
        </is>
      </c>
      <c r="D408" t="inlineStr">
        <is>
          <t>年度财务</t>
        </is>
      </c>
      <c r="E408" t="inlineStr">
        <is>
          <t>东方财富</t>
        </is>
      </c>
      <c r="F408" t="inlineStr">
        <is>
          <t>RPT_LICO_FN_CPD + RPT_DMSK_FN_CASHFLOW；巨潮回退原因：未配置巨潮官方 API 凭证/端点（CNINFO_ACCESS_TOKEN、CNINFO_INCOME_API_URL、CNINFO_CASHFLOW_API_URL）</t>
        </is>
      </c>
      <c r="G408" s="32" t="n">
        <v>46263.25731302358</v>
      </c>
      <c r="H408" t="inlineStr">
        <is>
          <t>CNY</t>
        </is>
      </c>
      <c r="I408" t="inlineStr">
        <is>
          <t>CNY</t>
        </is>
      </c>
      <c r="J408" t="inlineStr">
        <is>
          <t>ok</t>
        </is>
      </c>
      <c r="L408" t="b">
        <v>1</v>
      </c>
      <c r="M408" t="inlineStr">
        <is>
          <t>巨潮资讯（CNINFO Data Service）</t>
        </is>
      </c>
      <c r="N408" t="b">
        <v>1</v>
      </c>
    </row>
    <row r="409">
      <c r="A409" t="inlineStr">
        <is>
          <t>A股</t>
        </is>
      </c>
      <c r="B409" t="inlineStr">
        <is>
          <t>000065</t>
        </is>
      </c>
      <c r="C409" t="inlineStr">
        <is>
          <t>北方国际</t>
        </is>
      </c>
      <c r="D409" t="inlineStr">
        <is>
          <t>上市与发行信息</t>
        </is>
      </c>
      <c r="E409" t="inlineStr">
        <is>
          <t>东方财富</t>
        </is>
      </c>
      <c r="F409" t="inlineStr">
        <is>
          <t>RPT_PCF10_ORG_ISSUEINFO</t>
        </is>
      </c>
      <c r="G409" s="32" t="n">
        <v>46263.25736798158</v>
      </c>
      <c r="H409" t="inlineStr">
        <is>
          <t>CNY</t>
        </is>
      </c>
      <c r="I409" t="inlineStr">
        <is>
          <t>CNY</t>
        </is>
      </c>
      <c r="J409" t="inlineStr">
        <is>
          <t>ok</t>
        </is>
      </c>
      <c r="L409" t="b">
        <v>0</v>
      </c>
      <c r="M409" t="inlineStr">
        <is>
          <t>东方财富</t>
        </is>
      </c>
      <c r="N409" t="b">
        <v>1</v>
      </c>
    </row>
    <row r="410">
      <c r="A410" t="inlineStr">
        <is>
          <t>A股</t>
        </is>
      </c>
      <c r="B410" t="inlineStr">
        <is>
          <t>000065</t>
        </is>
      </c>
      <c r="C410" t="inlineStr">
        <is>
          <t>北方国际</t>
        </is>
      </c>
      <c r="D410" t="inlineStr">
        <is>
          <t>资金流</t>
        </is>
      </c>
      <c r="E410" t="inlineStr">
        <is>
          <t>配置</t>
        </is>
      </c>
      <c r="F410" t="inlineStr">
        <is>
          <t>flow-mode-off</t>
        </is>
      </c>
      <c r="G410" s="32" t="n">
        <v>46263.25754607147</v>
      </c>
      <c r="I410" t="inlineStr">
        <is>
          <t>CNY</t>
        </is>
      </c>
      <c r="J410" t="inlineStr">
        <is>
          <t>optional_missing</t>
        </is>
      </c>
      <c r="K410" t="inlineStr">
        <is>
          <t>用户选择不抓取资金流</t>
        </is>
      </c>
      <c r="L410" t="b">
        <v>0</v>
      </c>
      <c r="M410" t="inlineStr">
        <is>
          <t>配置</t>
        </is>
      </c>
      <c r="N410" t="b">
        <v>0</v>
      </c>
    </row>
    <row r="411">
      <c r="A411" t="inlineStr">
        <is>
          <t>港股</t>
        </is>
      </c>
      <c r="B411" t="inlineStr">
        <is>
          <t>00050</t>
        </is>
      </c>
      <c r="C411" t="inlineStr">
        <is>
          <t>HK FERRY (HOLD)</t>
        </is>
      </c>
      <c r="D411" t="inlineStr">
        <is>
          <t>最新行情</t>
        </is>
      </c>
      <c r="E411" t="inlineStr">
        <is>
          <t>东方财富</t>
        </is>
      </c>
      <c r="F411" t="inlineStr">
        <is>
          <t>push2 ulist.np/get f2,f20（按指定证券分批）</t>
        </is>
      </c>
      <c r="G411" s="32" t="n">
        <v>46263.25725226049</v>
      </c>
      <c r="H411" t="inlineStr">
        <is>
          <t>HKD</t>
        </is>
      </c>
      <c r="I411" t="inlineStr">
        <is>
          <t>HKD</t>
        </is>
      </c>
      <c r="J411" t="inlineStr">
        <is>
          <t>ok</t>
        </is>
      </c>
      <c r="L411" t="b">
        <v>0</v>
      </c>
      <c r="M411" t="inlineStr">
        <is>
          <t>东方财富</t>
        </is>
      </c>
      <c r="N411" t="b">
        <v>1</v>
      </c>
    </row>
    <row r="412">
      <c r="A412" t="inlineStr">
        <is>
          <t>港股</t>
        </is>
      </c>
      <c r="B412" t="inlineStr">
        <is>
          <t>00050</t>
        </is>
      </c>
      <c r="C412" t="inlineStr">
        <is>
          <t>HK FERRY (HOLD)</t>
        </is>
      </c>
      <c r="D412" t="inlineStr">
        <is>
          <t>大宗交易</t>
        </is>
      </c>
      <c r="E412" t="inlineStr">
        <is>
          <t>东方财富</t>
        </is>
      </c>
      <c r="F412" t="inlineStr">
        <is>
          <t>not-applicable-hk</t>
        </is>
      </c>
      <c r="G412" s="32" t="n">
        <v>46263.25725433244</v>
      </c>
      <c r="I412" t="inlineStr">
        <is>
          <t>HKD</t>
        </is>
      </c>
      <c r="J412" t="inlineStr">
        <is>
          <t>optional_missing</t>
        </is>
      </c>
      <c r="K412" t="inlineStr">
        <is>
          <t>港股大宗交易按允许缺失规则留空</t>
        </is>
      </c>
      <c r="L412" t="b">
        <v>0</v>
      </c>
      <c r="M412" t="inlineStr">
        <is>
          <t>东方财富</t>
        </is>
      </c>
      <c r="N412" t="b">
        <v>1</v>
      </c>
    </row>
    <row r="413">
      <c r="A413" t="inlineStr">
        <is>
          <t>港股</t>
        </is>
      </c>
      <c r="B413" t="inlineStr">
        <is>
          <t>00050</t>
        </is>
      </c>
      <c r="C413" t="inlineStr">
        <is>
          <t>HK FERRY (HOLD)</t>
        </is>
      </c>
      <c r="D413" t="inlineStr">
        <is>
          <t>年度财务</t>
        </is>
      </c>
      <c r="E413" t="inlineStr">
        <is>
          <t>东方财富</t>
        </is>
      </c>
      <c r="F413" t="inlineStr">
        <is>
          <t>RPT_HKF10_FN_MAININDICATOR</t>
        </is>
      </c>
      <c r="G413" s="32" t="n">
        <v>46263.25730895998</v>
      </c>
      <c r="H413" t="inlineStr">
        <is>
          <t>HKD</t>
        </is>
      </c>
      <c r="I413" t="inlineStr">
        <is>
          <t>HKD</t>
        </is>
      </c>
      <c r="J413" t="inlineStr">
        <is>
          <t>ok</t>
        </is>
      </c>
      <c r="L413" t="b">
        <v>0</v>
      </c>
      <c r="M413" t="inlineStr">
        <is>
          <t>东方财富</t>
        </is>
      </c>
      <c r="N413" t="b">
        <v>1</v>
      </c>
    </row>
    <row r="414">
      <c r="A414" t="inlineStr">
        <is>
          <t>港股</t>
        </is>
      </c>
      <c r="B414" t="inlineStr">
        <is>
          <t>00050</t>
        </is>
      </c>
      <c r="C414" t="inlineStr">
        <is>
          <t>HK FERRY (HOLD)</t>
        </is>
      </c>
      <c r="D414" t="inlineStr">
        <is>
          <t>上市与发行信息</t>
        </is>
      </c>
      <c r="E414" t="inlineStr">
        <is>
          <t>东方财富</t>
        </is>
      </c>
      <c r="F414" t="inlineStr">
        <is>
          <t>RPT_HKF10_INFO_SECURITYINFO</t>
        </is>
      </c>
      <c r="G414" s="32" t="n">
        <v>46263.25736896635</v>
      </c>
      <c r="H414" t="inlineStr">
        <is>
          <t>HKD</t>
        </is>
      </c>
      <c r="I414" t="inlineStr">
        <is>
          <t>HKD</t>
        </is>
      </c>
      <c r="J414" t="inlineStr">
        <is>
          <t>ok</t>
        </is>
      </c>
      <c r="L414" t="b">
        <v>0</v>
      </c>
      <c r="M414" t="inlineStr">
        <is>
          <t>东方财富</t>
        </is>
      </c>
      <c r="N414" t="b">
        <v>1</v>
      </c>
    </row>
    <row r="415">
      <c r="A415" t="inlineStr">
        <is>
          <t>港股</t>
        </is>
      </c>
      <c r="B415" t="inlineStr">
        <is>
          <t>00050</t>
        </is>
      </c>
      <c r="C415" t="inlineStr">
        <is>
          <t>HK FERRY (HOLD)</t>
        </is>
      </c>
      <c r="D415" t="inlineStr">
        <is>
          <t>资金流</t>
        </is>
      </c>
      <c r="E415" t="inlineStr">
        <is>
          <t>配置</t>
        </is>
      </c>
      <c r="F415" t="inlineStr">
        <is>
          <t>flow-mode-off</t>
        </is>
      </c>
      <c r="G415" s="32" t="n">
        <v>46263.25754607147</v>
      </c>
      <c r="I415" t="inlineStr">
        <is>
          <t>HKD</t>
        </is>
      </c>
      <c r="J415" t="inlineStr">
        <is>
          <t>optional_missing</t>
        </is>
      </c>
      <c r="K415" t="inlineStr">
        <is>
          <t>用户选择不抓取资金流</t>
        </is>
      </c>
      <c r="L415" t="b">
        <v>0</v>
      </c>
      <c r="M415" t="inlineStr">
        <is>
          <t>配置</t>
        </is>
      </c>
      <c r="N415" t="b">
        <v>0</v>
      </c>
    </row>
    <row r="416">
      <c r="A416" t="inlineStr">
        <is>
          <t>A股</t>
        </is>
      </c>
      <c r="B416" t="inlineStr">
        <is>
          <t>000066</t>
        </is>
      </c>
      <c r="C416" t="inlineStr">
        <is>
          <t>中国长城</t>
        </is>
      </c>
      <c r="D416" t="inlineStr">
        <is>
          <t>最新行情</t>
        </is>
      </c>
      <c r="E416" t="inlineStr">
        <is>
          <t>东方财富</t>
        </is>
      </c>
      <c r="F416" t="inlineStr">
        <is>
          <t>push2 ulist.np/get f2,f20（按指定证券分批）</t>
        </is>
      </c>
      <c r="G416" s="32" t="n">
        <v>46263.25725226049</v>
      </c>
      <c r="H416" t="inlineStr">
        <is>
          <t>CNY</t>
        </is>
      </c>
      <c r="I416" t="inlineStr">
        <is>
          <t>CNY</t>
        </is>
      </c>
      <c r="J416" t="inlineStr">
        <is>
          <t>ok</t>
        </is>
      </c>
      <c r="L416" t="b">
        <v>0</v>
      </c>
      <c r="M416" t="inlineStr">
        <is>
          <t>东方财富</t>
        </is>
      </c>
      <c r="N416" t="b">
        <v>1</v>
      </c>
    </row>
    <row r="417">
      <c r="A417" t="inlineStr">
        <is>
          <t>A股</t>
        </is>
      </c>
      <c r="B417" t="inlineStr">
        <is>
          <t>000066</t>
        </is>
      </c>
      <c r="C417" t="inlineStr">
        <is>
          <t>中国长城</t>
        </is>
      </c>
      <c r="D417" t="inlineStr">
        <is>
          <t>大宗交易</t>
        </is>
      </c>
      <c r="E417" t="inlineStr">
        <is>
          <t>东方财富</t>
        </is>
      </c>
      <c r="F417" t="inlineStr">
        <is>
          <t>RPT_DATA_BLOCKTRADE 2026（全市场分页后本地聚合）</t>
        </is>
      </c>
      <c r="G417" s="32" t="n">
        <v>46263.25725717999</v>
      </c>
      <c r="H417" t="inlineStr">
        <is>
          <t>CNY</t>
        </is>
      </c>
      <c r="I417" t="inlineStr">
        <is>
          <t>CNY</t>
        </is>
      </c>
      <c r="J417" t="inlineStr">
        <is>
          <t>ok</t>
        </is>
      </c>
      <c r="L417" t="b">
        <v>0</v>
      </c>
      <c r="M417" t="inlineStr">
        <is>
          <t>东方财富</t>
        </is>
      </c>
      <c r="N417" t="b">
        <v>1</v>
      </c>
    </row>
    <row r="418">
      <c r="A418" t="inlineStr">
        <is>
          <t>A股</t>
        </is>
      </c>
      <c r="B418" t="inlineStr">
        <is>
          <t>000066</t>
        </is>
      </c>
      <c r="C418" t="inlineStr">
        <is>
          <t>中国长城</t>
        </is>
      </c>
      <c r="D418" t="inlineStr">
        <is>
          <t>年度财务</t>
        </is>
      </c>
      <c r="E418" t="inlineStr">
        <is>
          <t>东方财富</t>
        </is>
      </c>
      <c r="F418" t="inlineStr">
        <is>
          <t>RPT_LICO_FN_CPD + RPT_DMSK_FN_CASHFLOW；巨潮回退原因：未配置巨潮官方 API 凭证/端点（CNINFO_ACCESS_TOKEN、CNINFO_INCOME_API_URL、CNINFO_CASHFLOW_API_URL）</t>
        </is>
      </c>
      <c r="G418" s="32" t="n">
        <v>46263.25731398261</v>
      </c>
      <c r="H418" t="inlineStr">
        <is>
          <t>CNY</t>
        </is>
      </c>
      <c r="I418" t="inlineStr">
        <is>
          <t>CNY</t>
        </is>
      </c>
      <c r="J418" t="inlineStr">
        <is>
          <t>ok</t>
        </is>
      </c>
      <c r="L418" t="b">
        <v>1</v>
      </c>
      <c r="M418" t="inlineStr">
        <is>
          <t>巨潮资讯（CNINFO Data Service）</t>
        </is>
      </c>
      <c r="N418" t="b">
        <v>1</v>
      </c>
    </row>
    <row r="419">
      <c r="A419" t="inlineStr">
        <is>
          <t>A股</t>
        </is>
      </c>
      <c r="B419" t="inlineStr">
        <is>
          <t>000066</t>
        </is>
      </c>
      <c r="C419" t="inlineStr">
        <is>
          <t>中国长城</t>
        </is>
      </c>
      <c r="D419" t="inlineStr">
        <is>
          <t>上市与发行信息</t>
        </is>
      </c>
      <c r="E419" t="inlineStr">
        <is>
          <t>东方财富</t>
        </is>
      </c>
      <c r="F419" t="inlineStr">
        <is>
          <t>RPT_PCF10_ORG_ISSUEINFO</t>
        </is>
      </c>
      <c r="G419" s="32" t="n">
        <v>46263.25736915058</v>
      </c>
      <c r="H419" t="inlineStr">
        <is>
          <t>CNY</t>
        </is>
      </c>
      <c r="I419" t="inlineStr">
        <is>
          <t>CNY</t>
        </is>
      </c>
      <c r="J419" t="inlineStr">
        <is>
          <t>ok</t>
        </is>
      </c>
      <c r="L419" t="b">
        <v>0</v>
      </c>
      <c r="M419" t="inlineStr">
        <is>
          <t>东方财富</t>
        </is>
      </c>
      <c r="N419" t="b">
        <v>1</v>
      </c>
    </row>
    <row r="420">
      <c r="A420" t="inlineStr">
        <is>
          <t>A股</t>
        </is>
      </c>
      <c r="B420" t="inlineStr">
        <is>
          <t>000066</t>
        </is>
      </c>
      <c r="C420" t="inlineStr">
        <is>
          <t>中国长城</t>
        </is>
      </c>
      <c r="D420" t="inlineStr">
        <is>
          <t>资金流</t>
        </is>
      </c>
      <c r="E420" t="inlineStr">
        <is>
          <t>配置</t>
        </is>
      </c>
      <c r="F420" t="inlineStr">
        <is>
          <t>flow-mode-off</t>
        </is>
      </c>
      <c r="G420" s="32" t="n">
        <v>46263.25754607147</v>
      </c>
      <c r="I420" t="inlineStr">
        <is>
          <t>CNY</t>
        </is>
      </c>
      <c r="J420" t="inlineStr">
        <is>
          <t>optional_missing</t>
        </is>
      </c>
      <c r="K420" t="inlineStr">
        <is>
          <t>用户选择不抓取资金流</t>
        </is>
      </c>
      <c r="L420" t="b">
        <v>0</v>
      </c>
      <c r="M420" t="inlineStr">
        <is>
          <t>配置</t>
        </is>
      </c>
      <c r="N420" t="b">
        <v>0</v>
      </c>
    </row>
    <row r="421">
      <c r="A421" t="inlineStr">
        <is>
          <t>港股</t>
        </is>
      </c>
      <c r="B421" t="inlineStr">
        <is>
          <t>00051</t>
        </is>
      </c>
      <c r="C421" t="inlineStr">
        <is>
          <t>HARBOUR CENTRE</t>
        </is>
      </c>
      <c r="D421" t="inlineStr">
        <is>
          <t>最新行情</t>
        </is>
      </c>
      <c r="E421" t="inlineStr">
        <is>
          <t>东方财富</t>
        </is>
      </c>
      <c r="F421" t="inlineStr">
        <is>
          <t>push2 ulist.np/get f2,f20（按指定证券分批）</t>
        </is>
      </c>
      <c r="G421" s="32" t="n">
        <v>46263.25725226049</v>
      </c>
      <c r="H421" t="inlineStr">
        <is>
          <t>HKD</t>
        </is>
      </c>
      <c r="I421" t="inlineStr">
        <is>
          <t>HKD</t>
        </is>
      </c>
      <c r="J421" t="inlineStr">
        <is>
          <t>ok</t>
        </is>
      </c>
      <c r="L421" t="b">
        <v>0</v>
      </c>
      <c r="M421" t="inlineStr">
        <is>
          <t>东方财富</t>
        </is>
      </c>
      <c r="N421" t="b">
        <v>1</v>
      </c>
    </row>
    <row r="422">
      <c r="A422" t="inlineStr">
        <is>
          <t>港股</t>
        </is>
      </c>
      <c r="B422" t="inlineStr">
        <is>
          <t>00051</t>
        </is>
      </c>
      <c r="C422" t="inlineStr">
        <is>
          <t>HARBOUR CENTRE</t>
        </is>
      </c>
      <c r="D422" t="inlineStr">
        <is>
          <t>大宗交易</t>
        </is>
      </c>
      <c r="E422" t="inlineStr">
        <is>
          <t>东方财富</t>
        </is>
      </c>
      <c r="F422" t="inlineStr">
        <is>
          <t>not-applicable-hk</t>
        </is>
      </c>
      <c r="G422" s="32" t="n">
        <v>46263.25725433244</v>
      </c>
      <c r="I422" t="inlineStr">
        <is>
          <t>HKD</t>
        </is>
      </c>
      <c r="J422" t="inlineStr">
        <is>
          <t>optional_missing</t>
        </is>
      </c>
      <c r="K422" t="inlineStr">
        <is>
          <t>港股大宗交易按允许缺失规则留空</t>
        </is>
      </c>
      <c r="L422" t="b">
        <v>0</v>
      </c>
      <c r="M422" t="inlineStr">
        <is>
          <t>东方财富</t>
        </is>
      </c>
      <c r="N422" t="b">
        <v>1</v>
      </c>
    </row>
    <row r="423">
      <c r="A423" t="inlineStr">
        <is>
          <t>港股</t>
        </is>
      </c>
      <c r="B423" t="inlineStr">
        <is>
          <t>00051</t>
        </is>
      </c>
      <c r="C423" t="inlineStr">
        <is>
          <t>HARBOUR CENTRE</t>
        </is>
      </c>
      <c r="D423" t="inlineStr">
        <is>
          <t>年度财务</t>
        </is>
      </c>
      <c r="E423" t="inlineStr">
        <is>
          <t>东方财富</t>
        </is>
      </c>
      <c r="F423" t="inlineStr">
        <is>
          <t>RPT_HKF10_FN_MAININDICATOR</t>
        </is>
      </c>
      <c r="G423" s="32" t="n">
        <v>46263.25730918567</v>
      </c>
      <c r="H423" t="inlineStr">
        <is>
          <t>HKD</t>
        </is>
      </c>
      <c r="I423" t="inlineStr">
        <is>
          <t>HKD</t>
        </is>
      </c>
      <c r="J423" t="inlineStr">
        <is>
          <t>ok</t>
        </is>
      </c>
      <c r="L423" t="b">
        <v>0</v>
      </c>
      <c r="M423" t="inlineStr">
        <is>
          <t>东方财富</t>
        </is>
      </c>
      <c r="N423" t="b">
        <v>1</v>
      </c>
    </row>
    <row r="424">
      <c r="A424" t="inlineStr">
        <is>
          <t>港股</t>
        </is>
      </c>
      <c r="B424" t="inlineStr">
        <is>
          <t>00051</t>
        </is>
      </c>
      <c r="C424" t="inlineStr">
        <is>
          <t>HARBOUR CENTRE</t>
        </is>
      </c>
      <c r="D424" t="inlineStr">
        <is>
          <t>上市与发行信息</t>
        </is>
      </c>
      <c r="E424" t="inlineStr">
        <is>
          <t>东方财富</t>
        </is>
      </c>
      <c r="F424" t="inlineStr">
        <is>
          <t>RPT_HKF10_INFO_SECURITYINFO</t>
        </is>
      </c>
      <c r="G424" s="32" t="n">
        <v>46263.25736963559</v>
      </c>
      <c r="H424" t="inlineStr">
        <is>
          <t>HKD</t>
        </is>
      </c>
      <c r="I424" t="inlineStr">
        <is>
          <t>HKD</t>
        </is>
      </c>
      <c r="J424" t="inlineStr">
        <is>
          <t>ok</t>
        </is>
      </c>
      <c r="L424" t="b">
        <v>0</v>
      </c>
      <c r="M424" t="inlineStr">
        <is>
          <t>东方财富</t>
        </is>
      </c>
      <c r="N424" t="b">
        <v>1</v>
      </c>
    </row>
    <row r="425">
      <c r="A425" t="inlineStr">
        <is>
          <t>港股</t>
        </is>
      </c>
      <c r="B425" t="inlineStr">
        <is>
          <t>00051</t>
        </is>
      </c>
      <c r="C425" t="inlineStr">
        <is>
          <t>HARBOUR CENTRE</t>
        </is>
      </c>
      <c r="D425" t="inlineStr">
        <is>
          <t>资金流</t>
        </is>
      </c>
      <c r="E425" t="inlineStr">
        <is>
          <t>配置</t>
        </is>
      </c>
      <c r="F425" t="inlineStr">
        <is>
          <t>flow-mode-off</t>
        </is>
      </c>
      <c r="G425" s="32" t="n">
        <v>46263.25754607147</v>
      </c>
      <c r="I425" t="inlineStr">
        <is>
          <t>HKD</t>
        </is>
      </c>
      <c r="J425" t="inlineStr">
        <is>
          <t>optional_missing</t>
        </is>
      </c>
      <c r="K425" t="inlineStr">
        <is>
          <t>用户选择不抓取资金流</t>
        </is>
      </c>
      <c r="L425" t="b">
        <v>0</v>
      </c>
      <c r="M425" t="inlineStr">
        <is>
          <t>配置</t>
        </is>
      </c>
      <c r="N425" t="b">
        <v>0</v>
      </c>
    </row>
    <row r="426">
      <c r="A426" t="inlineStr">
        <is>
          <t>A股</t>
        </is>
      </c>
      <c r="B426" t="inlineStr">
        <is>
          <t>000068</t>
        </is>
      </c>
      <c r="C426" t="inlineStr">
        <is>
          <t>华控赛格</t>
        </is>
      </c>
      <c r="D426" t="inlineStr">
        <is>
          <t>最新行情</t>
        </is>
      </c>
      <c r="E426" t="inlineStr">
        <is>
          <t>东方财富</t>
        </is>
      </c>
      <c r="F426" t="inlineStr">
        <is>
          <t>push2 ulist.np/get f2,f20（按指定证券分批）</t>
        </is>
      </c>
      <c r="G426" s="32" t="n">
        <v>46263.25725226049</v>
      </c>
      <c r="H426" t="inlineStr">
        <is>
          <t>CNY</t>
        </is>
      </c>
      <c r="I426" t="inlineStr">
        <is>
          <t>CNY</t>
        </is>
      </c>
      <c r="J426" t="inlineStr">
        <is>
          <t>ok</t>
        </is>
      </c>
      <c r="L426" t="b">
        <v>0</v>
      </c>
      <c r="M426" t="inlineStr">
        <is>
          <t>东方财富</t>
        </is>
      </c>
      <c r="N426" t="b">
        <v>1</v>
      </c>
    </row>
    <row r="427">
      <c r="A427" t="inlineStr">
        <is>
          <t>A股</t>
        </is>
      </c>
      <c r="B427" t="inlineStr">
        <is>
          <t>000068</t>
        </is>
      </c>
      <c r="C427" t="inlineStr">
        <is>
          <t>华控赛格</t>
        </is>
      </c>
      <c r="D427" t="inlineStr">
        <is>
          <t>大宗交易</t>
        </is>
      </c>
      <c r="E427" t="inlineStr">
        <is>
          <t>东方财富</t>
        </is>
      </c>
      <c r="F427" t="inlineStr">
        <is>
          <t>RPT_DATA_BLOCKTRADE 2026（全市场分页后本地聚合）</t>
        </is>
      </c>
      <c r="G427" s="32" t="n">
        <v>46263.25725717999</v>
      </c>
      <c r="H427" t="inlineStr">
        <is>
          <t>CNY</t>
        </is>
      </c>
      <c r="I427" t="inlineStr">
        <is>
          <t>CNY</t>
        </is>
      </c>
      <c r="J427" t="inlineStr">
        <is>
          <t>ok</t>
        </is>
      </c>
      <c r="L427" t="b">
        <v>0</v>
      </c>
      <c r="M427" t="inlineStr">
        <is>
          <t>东方财富</t>
        </is>
      </c>
      <c r="N427" t="b">
        <v>1</v>
      </c>
    </row>
    <row r="428">
      <c r="A428" t="inlineStr">
        <is>
          <t>A股</t>
        </is>
      </c>
      <c r="B428" t="inlineStr">
        <is>
          <t>000068</t>
        </is>
      </c>
      <c r="C428" t="inlineStr">
        <is>
          <t>华控赛格</t>
        </is>
      </c>
      <c r="D428" t="inlineStr">
        <is>
          <t>年度财务</t>
        </is>
      </c>
      <c r="E428" t="inlineStr">
        <is>
          <t>东方财富</t>
        </is>
      </c>
      <c r="F428" t="inlineStr">
        <is>
          <t>RPT_LICO_FN_CPD + RPT_DMSK_FN_CASHFLOW；巨潮回退原因：未配置巨潮官方 API 凭证/端点（CNINFO_ACCESS_TOKEN、CNINFO_INCOME_API_URL、CNINFO_CASHFLOW_API_URL）</t>
        </is>
      </c>
      <c r="G428" s="32" t="n">
        <v>46263.25731559845</v>
      </c>
      <c r="H428" t="inlineStr">
        <is>
          <t>CNY</t>
        </is>
      </c>
      <c r="I428" t="inlineStr">
        <is>
          <t>CNY</t>
        </is>
      </c>
      <c r="J428" t="inlineStr">
        <is>
          <t>ok</t>
        </is>
      </c>
      <c r="L428" t="b">
        <v>1</v>
      </c>
      <c r="M428" t="inlineStr">
        <is>
          <t>巨潮资讯（CNINFO Data Service）</t>
        </is>
      </c>
      <c r="N428" t="b">
        <v>1</v>
      </c>
    </row>
    <row r="429">
      <c r="A429" t="inlineStr">
        <is>
          <t>A股</t>
        </is>
      </c>
      <c r="B429" t="inlineStr">
        <is>
          <t>000068</t>
        </is>
      </c>
      <c r="C429" t="inlineStr">
        <is>
          <t>华控赛格</t>
        </is>
      </c>
      <c r="D429" t="inlineStr">
        <is>
          <t>上市与发行信息</t>
        </is>
      </c>
      <c r="E429" t="inlineStr">
        <is>
          <t>东方财富</t>
        </is>
      </c>
      <c r="F429" t="inlineStr">
        <is>
          <t>RPT_PCF10_ORG_ISSUEINFO</t>
        </is>
      </c>
      <c r="G429" s="32" t="n">
        <v>46263.25737022032</v>
      </c>
      <c r="H429" t="inlineStr">
        <is>
          <t>CNY</t>
        </is>
      </c>
      <c r="I429" t="inlineStr">
        <is>
          <t>CNY</t>
        </is>
      </c>
      <c r="J429" t="inlineStr">
        <is>
          <t>ok</t>
        </is>
      </c>
      <c r="L429" t="b">
        <v>0</v>
      </c>
      <c r="M429" t="inlineStr">
        <is>
          <t>东方财富</t>
        </is>
      </c>
      <c r="N429" t="b">
        <v>1</v>
      </c>
    </row>
    <row r="430">
      <c r="A430" t="inlineStr">
        <is>
          <t>A股</t>
        </is>
      </c>
      <c r="B430" t="inlineStr">
        <is>
          <t>000068</t>
        </is>
      </c>
      <c r="C430" t="inlineStr">
        <is>
          <t>华控赛格</t>
        </is>
      </c>
      <c r="D430" t="inlineStr">
        <is>
          <t>资金流</t>
        </is>
      </c>
      <c r="E430" t="inlineStr">
        <is>
          <t>配置</t>
        </is>
      </c>
      <c r="F430" t="inlineStr">
        <is>
          <t>flow-mode-off</t>
        </is>
      </c>
      <c r="G430" s="32" t="n">
        <v>46263.25754607147</v>
      </c>
      <c r="I430" t="inlineStr">
        <is>
          <t>CNY</t>
        </is>
      </c>
      <c r="J430" t="inlineStr">
        <is>
          <t>optional_missing</t>
        </is>
      </c>
      <c r="K430" t="inlineStr">
        <is>
          <t>用户选择不抓取资金流</t>
        </is>
      </c>
      <c r="L430" t="b">
        <v>0</v>
      </c>
      <c r="M430" t="inlineStr">
        <is>
          <t>配置</t>
        </is>
      </c>
      <c r="N430" t="b">
        <v>0</v>
      </c>
    </row>
    <row r="431">
      <c r="A431" t="inlineStr">
        <is>
          <t>港股</t>
        </is>
      </c>
      <c r="B431" t="inlineStr">
        <is>
          <t>00052</t>
        </is>
      </c>
      <c r="C431" t="inlineStr">
        <is>
          <t>FAIRWOOD HOLD</t>
        </is>
      </c>
      <c r="D431" t="inlineStr">
        <is>
          <t>最新行情</t>
        </is>
      </c>
      <c r="E431" t="inlineStr">
        <is>
          <t>东方财富</t>
        </is>
      </c>
      <c r="F431" t="inlineStr">
        <is>
          <t>push2 ulist.np/get f2,f20（按指定证券分批）</t>
        </is>
      </c>
      <c r="G431" s="32" t="n">
        <v>46263.25725226049</v>
      </c>
      <c r="H431" t="inlineStr">
        <is>
          <t>HKD</t>
        </is>
      </c>
      <c r="I431" t="inlineStr">
        <is>
          <t>HKD</t>
        </is>
      </c>
      <c r="J431" t="inlineStr">
        <is>
          <t>ok</t>
        </is>
      </c>
      <c r="L431" t="b">
        <v>0</v>
      </c>
      <c r="M431" t="inlineStr">
        <is>
          <t>东方财富</t>
        </is>
      </c>
      <c r="N431" t="b">
        <v>1</v>
      </c>
    </row>
    <row r="432">
      <c r="A432" t="inlineStr">
        <is>
          <t>港股</t>
        </is>
      </c>
      <c r="B432" t="inlineStr">
        <is>
          <t>00052</t>
        </is>
      </c>
      <c r="C432" t="inlineStr">
        <is>
          <t>FAIRWOOD HOLD</t>
        </is>
      </c>
      <c r="D432" t="inlineStr">
        <is>
          <t>大宗交易</t>
        </is>
      </c>
      <c r="E432" t="inlineStr">
        <is>
          <t>东方财富</t>
        </is>
      </c>
      <c r="F432" t="inlineStr">
        <is>
          <t>not-applicable-hk</t>
        </is>
      </c>
      <c r="G432" s="32" t="n">
        <v>46263.25725433244</v>
      </c>
      <c r="I432" t="inlineStr">
        <is>
          <t>HKD</t>
        </is>
      </c>
      <c r="J432" t="inlineStr">
        <is>
          <t>optional_missing</t>
        </is>
      </c>
      <c r="K432" t="inlineStr">
        <is>
          <t>港股大宗交易按允许缺失规则留空</t>
        </is>
      </c>
      <c r="L432" t="b">
        <v>0</v>
      </c>
      <c r="M432" t="inlineStr">
        <is>
          <t>东方财富</t>
        </is>
      </c>
      <c r="N432" t="b">
        <v>1</v>
      </c>
    </row>
    <row r="433">
      <c r="A433" t="inlineStr">
        <is>
          <t>港股</t>
        </is>
      </c>
      <c r="B433" t="inlineStr">
        <is>
          <t>00052</t>
        </is>
      </c>
      <c r="C433" t="inlineStr">
        <is>
          <t>FAIRWOOD HOLD</t>
        </is>
      </c>
      <c r="D433" t="inlineStr">
        <is>
          <t>年度财务</t>
        </is>
      </c>
      <c r="E433" t="inlineStr">
        <is>
          <t>东方财富</t>
        </is>
      </c>
      <c r="F433" t="inlineStr">
        <is>
          <t>RPT_HKF10_FN_MAININDICATOR</t>
        </is>
      </c>
      <c r="G433" s="32" t="n">
        <v>46263.25731023337</v>
      </c>
      <c r="H433" t="inlineStr">
        <is>
          <t>HKD</t>
        </is>
      </c>
      <c r="I433" t="inlineStr">
        <is>
          <t>HKD</t>
        </is>
      </c>
      <c r="J433" t="inlineStr">
        <is>
          <t>ok</t>
        </is>
      </c>
      <c r="L433" t="b">
        <v>0</v>
      </c>
      <c r="M433" t="inlineStr">
        <is>
          <t>东方财富</t>
        </is>
      </c>
      <c r="N433" t="b">
        <v>1</v>
      </c>
    </row>
    <row r="434">
      <c r="A434" t="inlineStr">
        <is>
          <t>港股</t>
        </is>
      </c>
      <c r="B434" t="inlineStr">
        <is>
          <t>00052</t>
        </is>
      </c>
      <c r="C434" t="inlineStr">
        <is>
          <t>FAIRWOOD HOLD</t>
        </is>
      </c>
      <c r="D434" t="inlineStr">
        <is>
          <t>上市与发行信息</t>
        </is>
      </c>
      <c r="E434" t="inlineStr">
        <is>
          <t>东方财富</t>
        </is>
      </c>
      <c r="F434" t="inlineStr">
        <is>
          <t>RPT_HKF10_INFO_SECURITYINFO</t>
        </is>
      </c>
      <c r="G434" s="32" t="n">
        <v>46263.25737084293</v>
      </c>
      <c r="H434" t="inlineStr">
        <is>
          <t>HKD</t>
        </is>
      </c>
      <c r="I434" t="inlineStr">
        <is>
          <t>HKD</t>
        </is>
      </c>
      <c r="J434" t="inlineStr">
        <is>
          <t>ok</t>
        </is>
      </c>
      <c r="L434" t="b">
        <v>1</v>
      </c>
      <c r="M434" t="inlineStr">
        <is>
          <t>东方财富</t>
        </is>
      </c>
      <c r="N434" t="b">
        <v>1</v>
      </c>
    </row>
    <row r="435">
      <c r="A435" t="inlineStr">
        <is>
          <t>港股</t>
        </is>
      </c>
      <c r="B435" t="inlineStr">
        <is>
          <t>00052</t>
        </is>
      </c>
      <c r="C435" t="inlineStr">
        <is>
          <t>FAIRWOOD HOLD</t>
        </is>
      </c>
      <c r="D435" t="inlineStr">
        <is>
          <t>资金流</t>
        </is>
      </c>
      <c r="E435" t="inlineStr">
        <is>
          <t>配置</t>
        </is>
      </c>
      <c r="F435" t="inlineStr">
        <is>
          <t>flow-mode-off</t>
        </is>
      </c>
      <c r="G435" s="32" t="n">
        <v>46263.25754607147</v>
      </c>
      <c r="I435" t="inlineStr">
        <is>
          <t>HKD</t>
        </is>
      </c>
      <c r="J435" t="inlineStr">
        <is>
          <t>optional_missing</t>
        </is>
      </c>
      <c r="K435" t="inlineStr">
        <is>
          <t>用户选择不抓取资金流</t>
        </is>
      </c>
      <c r="L435" t="b">
        <v>0</v>
      </c>
      <c r="M435" t="inlineStr">
        <is>
          <t>配置</t>
        </is>
      </c>
      <c r="N435" t="b">
        <v>0</v>
      </c>
    </row>
    <row r="436">
      <c r="A436" t="inlineStr">
        <is>
          <t>A股</t>
        </is>
      </c>
      <c r="B436" t="inlineStr">
        <is>
          <t>000069</t>
        </is>
      </c>
      <c r="C436" t="inlineStr">
        <is>
          <t>华侨城Ａ</t>
        </is>
      </c>
      <c r="D436" t="inlineStr">
        <is>
          <t>最新行情</t>
        </is>
      </c>
      <c r="E436" t="inlineStr">
        <is>
          <t>东方财富</t>
        </is>
      </c>
      <c r="F436" t="inlineStr">
        <is>
          <t>push2 ulist.np/get f2,f20（按指定证券分批）</t>
        </is>
      </c>
      <c r="G436" s="32" t="n">
        <v>46263.25725226049</v>
      </c>
      <c r="H436" t="inlineStr">
        <is>
          <t>CNY</t>
        </is>
      </c>
      <c r="I436" t="inlineStr">
        <is>
          <t>CNY</t>
        </is>
      </c>
      <c r="J436" t="inlineStr">
        <is>
          <t>ok</t>
        </is>
      </c>
      <c r="L436" t="b">
        <v>0</v>
      </c>
      <c r="M436" t="inlineStr">
        <is>
          <t>东方财富</t>
        </is>
      </c>
      <c r="N436" t="b">
        <v>1</v>
      </c>
    </row>
    <row r="437">
      <c r="A437" t="inlineStr">
        <is>
          <t>A股</t>
        </is>
      </c>
      <c r="B437" t="inlineStr">
        <is>
          <t>000069</t>
        </is>
      </c>
      <c r="C437" t="inlineStr">
        <is>
          <t>华侨城Ａ</t>
        </is>
      </c>
      <c r="D437" t="inlineStr">
        <is>
          <t>大宗交易</t>
        </is>
      </c>
      <c r="E437" t="inlineStr">
        <is>
          <t>东方财富</t>
        </is>
      </c>
      <c r="F437" t="inlineStr">
        <is>
          <t>RPT_DATA_BLOCKTRADE 2026（全市场分页后本地聚合）</t>
        </is>
      </c>
      <c r="G437" s="32" t="n">
        <v>46263.25725717999</v>
      </c>
      <c r="H437" t="inlineStr">
        <is>
          <t>CNY</t>
        </is>
      </c>
      <c r="I437" t="inlineStr">
        <is>
          <t>CNY</t>
        </is>
      </c>
      <c r="J437" t="inlineStr">
        <is>
          <t>ok</t>
        </is>
      </c>
      <c r="L437" t="b">
        <v>0</v>
      </c>
      <c r="M437" t="inlineStr">
        <is>
          <t>东方财富</t>
        </is>
      </c>
      <c r="N437" t="b">
        <v>1</v>
      </c>
    </row>
    <row r="438">
      <c r="A438" t="inlineStr">
        <is>
          <t>A股</t>
        </is>
      </c>
      <c r="B438" t="inlineStr">
        <is>
          <t>000069</t>
        </is>
      </c>
      <c r="C438" t="inlineStr">
        <is>
          <t>华侨城Ａ</t>
        </is>
      </c>
      <c r="D438" t="inlineStr">
        <is>
          <t>年度财务</t>
        </is>
      </c>
      <c r="E438" t="inlineStr">
        <is>
          <t>东方财富</t>
        </is>
      </c>
      <c r="F438" t="inlineStr">
        <is>
          <t>RPT_LICO_FN_CPD + RPT_DMSK_FN_CASHFLOW；巨潮回退原因：未配置巨潮官方 API 凭证/端点（CNINFO_ACCESS_TOKEN、CNINFO_INCOME_API_URL、CNINFO_CASHFLOW_API_URL）</t>
        </is>
      </c>
      <c r="G438" s="32" t="n">
        <v>46263.25731726245</v>
      </c>
      <c r="H438" t="inlineStr">
        <is>
          <t>CNY</t>
        </is>
      </c>
      <c r="I438" t="inlineStr">
        <is>
          <t>CNY</t>
        </is>
      </c>
      <c r="J438" t="inlineStr">
        <is>
          <t>ok</t>
        </is>
      </c>
      <c r="L438" t="b">
        <v>1</v>
      </c>
      <c r="M438" t="inlineStr">
        <is>
          <t>巨潮资讯（CNINFO Data Service）</t>
        </is>
      </c>
      <c r="N438" t="b">
        <v>1</v>
      </c>
    </row>
    <row r="439">
      <c r="A439" t="inlineStr">
        <is>
          <t>A股</t>
        </is>
      </c>
      <c r="B439" t="inlineStr">
        <is>
          <t>000069</t>
        </is>
      </c>
      <c r="C439" t="inlineStr">
        <is>
          <t>华侨城Ａ</t>
        </is>
      </c>
      <c r="D439" t="inlineStr">
        <is>
          <t>上市与发行信息</t>
        </is>
      </c>
      <c r="E439" t="inlineStr">
        <is>
          <t>东方财富</t>
        </is>
      </c>
      <c r="F439" t="inlineStr">
        <is>
          <t>RPT_PCF10_ORG_ISSUEINFO</t>
        </is>
      </c>
      <c r="G439" s="32" t="n">
        <v>46263.25737155771</v>
      </c>
      <c r="H439" t="inlineStr">
        <is>
          <t>CNY</t>
        </is>
      </c>
      <c r="I439" t="inlineStr">
        <is>
          <t>CNY</t>
        </is>
      </c>
      <c r="J439" t="inlineStr">
        <is>
          <t>ok</t>
        </is>
      </c>
      <c r="L439" t="b">
        <v>0</v>
      </c>
      <c r="M439" t="inlineStr">
        <is>
          <t>东方财富</t>
        </is>
      </c>
      <c r="N439" t="b">
        <v>1</v>
      </c>
    </row>
    <row r="440">
      <c r="A440" t="inlineStr">
        <is>
          <t>A股</t>
        </is>
      </c>
      <c r="B440" t="inlineStr">
        <is>
          <t>000069</t>
        </is>
      </c>
      <c r="C440" t="inlineStr">
        <is>
          <t>华侨城Ａ</t>
        </is>
      </c>
      <c r="D440" t="inlineStr">
        <is>
          <t>资金流</t>
        </is>
      </c>
      <c r="E440" t="inlineStr">
        <is>
          <t>配置</t>
        </is>
      </c>
      <c r="F440" t="inlineStr">
        <is>
          <t>flow-mode-off</t>
        </is>
      </c>
      <c r="G440" s="32" t="n">
        <v>46263.25754607147</v>
      </c>
      <c r="I440" t="inlineStr">
        <is>
          <t>CNY</t>
        </is>
      </c>
      <c r="J440" t="inlineStr">
        <is>
          <t>optional_missing</t>
        </is>
      </c>
      <c r="K440" t="inlineStr">
        <is>
          <t>用户选择不抓取资金流</t>
        </is>
      </c>
      <c r="L440" t="b">
        <v>0</v>
      </c>
      <c r="M440" t="inlineStr">
        <is>
          <t>配置</t>
        </is>
      </c>
      <c r="N440" t="b">
        <v>0</v>
      </c>
    </row>
    <row r="441">
      <c r="A441" t="inlineStr">
        <is>
          <t>港股</t>
        </is>
      </c>
      <c r="B441" t="inlineStr">
        <is>
          <t>00053</t>
        </is>
      </c>
      <c r="C441" t="inlineStr">
        <is>
          <t>GUOCO GROUP</t>
        </is>
      </c>
      <c r="D441" t="inlineStr">
        <is>
          <t>最新行情</t>
        </is>
      </c>
      <c r="E441" t="inlineStr">
        <is>
          <t>东方财富</t>
        </is>
      </c>
      <c r="F441" t="inlineStr">
        <is>
          <t>push2 ulist.np/get f2,f20（按指定证券分批）</t>
        </is>
      </c>
      <c r="G441" s="32" t="n">
        <v>46263.25725226049</v>
      </c>
      <c r="H441" t="inlineStr">
        <is>
          <t>HKD</t>
        </is>
      </c>
      <c r="I441" t="inlineStr">
        <is>
          <t>HKD</t>
        </is>
      </c>
      <c r="J441" t="inlineStr">
        <is>
          <t>ok</t>
        </is>
      </c>
      <c r="L441" t="b">
        <v>0</v>
      </c>
      <c r="M441" t="inlineStr">
        <is>
          <t>东方财富</t>
        </is>
      </c>
      <c r="N441" t="b">
        <v>1</v>
      </c>
    </row>
    <row r="442">
      <c r="A442" t="inlineStr">
        <is>
          <t>港股</t>
        </is>
      </c>
      <c r="B442" t="inlineStr">
        <is>
          <t>00053</t>
        </is>
      </c>
      <c r="C442" t="inlineStr">
        <is>
          <t>GUOCO GROUP</t>
        </is>
      </c>
      <c r="D442" t="inlineStr">
        <is>
          <t>大宗交易</t>
        </is>
      </c>
      <c r="E442" t="inlineStr">
        <is>
          <t>东方财富</t>
        </is>
      </c>
      <c r="F442" t="inlineStr">
        <is>
          <t>not-applicable-hk</t>
        </is>
      </c>
      <c r="G442" s="32" t="n">
        <v>46263.25725433244</v>
      </c>
      <c r="I442" t="inlineStr">
        <is>
          <t>HKD</t>
        </is>
      </c>
      <c r="J442" t="inlineStr">
        <is>
          <t>optional_missing</t>
        </is>
      </c>
      <c r="K442" t="inlineStr">
        <is>
          <t>港股大宗交易按允许缺失规则留空</t>
        </is>
      </c>
      <c r="L442" t="b">
        <v>0</v>
      </c>
      <c r="M442" t="inlineStr">
        <is>
          <t>东方财富</t>
        </is>
      </c>
      <c r="N442" t="b">
        <v>1</v>
      </c>
    </row>
    <row r="443">
      <c r="A443" t="inlineStr">
        <is>
          <t>港股</t>
        </is>
      </c>
      <c r="B443" t="inlineStr">
        <is>
          <t>00053</t>
        </is>
      </c>
      <c r="C443" t="inlineStr">
        <is>
          <t>GUOCO GROUP</t>
        </is>
      </c>
      <c r="D443" t="inlineStr">
        <is>
          <t>年度财务</t>
        </is>
      </c>
      <c r="E443" t="inlineStr">
        <is>
          <t>东方财富</t>
        </is>
      </c>
      <c r="F443" t="inlineStr">
        <is>
          <t>RPT_HKF10_FN_MAININDICATOR</t>
        </is>
      </c>
      <c r="G443" s="32" t="n">
        <v>46263.25731127683</v>
      </c>
      <c r="H443" t="inlineStr">
        <is>
          <t>HKD</t>
        </is>
      </c>
      <c r="I443" t="inlineStr">
        <is>
          <t>HKD</t>
        </is>
      </c>
      <c r="J443" t="inlineStr">
        <is>
          <t>ok</t>
        </is>
      </c>
      <c r="L443" t="b">
        <v>0</v>
      </c>
      <c r="M443" t="inlineStr">
        <is>
          <t>东方财富</t>
        </is>
      </c>
      <c r="N443" t="b">
        <v>1</v>
      </c>
    </row>
    <row r="444">
      <c r="A444" t="inlineStr">
        <is>
          <t>港股</t>
        </is>
      </c>
      <c r="B444" t="inlineStr">
        <is>
          <t>00053</t>
        </is>
      </c>
      <c r="C444" t="inlineStr">
        <is>
          <t>GUOCO GROUP</t>
        </is>
      </c>
      <c r="D444" t="inlineStr">
        <is>
          <t>上市与发行信息</t>
        </is>
      </c>
      <c r="E444" t="inlineStr">
        <is>
          <t>东方财富</t>
        </is>
      </c>
      <c r="F444" t="inlineStr">
        <is>
          <t>RPT_HKF10_INFO_SECURITYINFO</t>
        </is>
      </c>
      <c r="G444" s="32" t="n">
        <v>46263.25737206801</v>
      </c>
      <c r="H444" t="inlineStr">
        <is>
          <t>HKD</t>
        </is>
      </c>
      <c r="I444" t="inlineStr">
        <is>
          <t>HKD</t>
        </is>
      </c>
      <c r="J444" t="inlineStr">
        <is>
          <t>ok</t>
        </is>
      </c>
      <c r="L444" t="b">
        <v>0</v>
      </c>
      <c r="M444" t="inlineStr">
        <is>
          <t>东方财富</t>
        </is>
      </c>
      <c r="N444" t="b">
        <v>1</v>
      </c>
    </row>
    <row r="445">
      <c r="A445" t="inlineStr">
        <is>
          <t>港股</t>
        </is>
      </c>
      <c r="B445" t="inlineStr">
        <is>
          <t>00053</t>
        </is>
      </c>
      <c r="C445" t="inlineStr">
        <is>
          <t>GUOCO GROUP</t>
        </is>
      </c>
      <c r="D445" t="inlineStr">
        <is>
          <t>资金流</t>
        </is>
      </c>
      <c r="E445" t="inlineStr">
        <is>
          <t>配置</t>
        </is>
      </c>
      <c r="F445" t="inlineStr">
        <is>
          <t>flow-mode-off</t>
        </is>
      </c>
      <c r="G445" s="32" t="n">
        <v>46263.25754607147</v>
      </c>
      <c r="I445" t="inlineStr">
        <is>
          <t>HKD</t>
        </is>
      </c>
      <c r="J445" t="inlineStr">
        <is>
          <t>optional_missing</t>
        </is>
      </c>
      <c r="K445" t="inlineStr">
        <is>
          <t>用户选择不抓取资金流</t>
        </is>
      </c>
      <c r="L445" t="b">
        <v>0</v>
      </c>
      <c r="M445" t="inlineStr">
        <is>
          <t>配置</t>
        </is>
      </c>
      <c r="N445" t="b">
        <v>0</v>
      </c>
    </row>
    <row r="446">
      <c r="A446" t="inlineStr">
        <is>
          <t>A股</t>
        </is>
      </c>
      <c r="B446" t="inlineStr">
        <is>
          <t>000070</t>
        </is>
      </c>
      <c r="C446" t="inlineStr">
        <is>
          <t>特发信息</t>
        </is>
      </c>
      <c r="D446" t="inlineStr">
        <is>
          <t>最新行情</t>
        </is>
      </c>
      <c r="E446" t="inlineStr">
        <is>
          <t>东方财富</t>
        </is>
      </c>
      <c r="F446" t="inlineStr">
        <is>
          <t>push2 ulist.np/get f2,f20（按指定证券分批）</t>
        </is>
      </c>
      <c r="G446" s="32" t="n">
        <v>46263.25725226049</v>
      </c>
      <c r="H446" t="inlineStr">
        <is>
          <t>CNY</t>
        </is>
      </c>
      <c r="I446" t="inlineStr">
        <is>
          <t>CNY</t>
        </is>
      </c>
      <c r="J446" t="inlineStr">
        <is>
          <t>ok</t>
        </is>
      </c>
      <c r="L446" t="b">
        <v>0</v>
      </c>
      <c r="M446" t="inlineStr">
        <is>
          <t>东方财富</t>
        </is>
      </c>
      <c r="N446" t="b">
        <v>1</v>
      </c>
    </row>
    <row r="447">
      <c r="A447" t="inlineStr">
        <is>
          <t>A股</t>
        </is>
      </c>
      <c r="B447" t="inlineStr">
        <is>
          <t>000070</t>
        </is>
      </c>
      <c r="C447" t="inlineStr">
        <is>
          <t>特发信息</t>
        </is>
      </c>
      <c r="D447" t="inlineStr">
        <is>
          <t>大宗交易</t>
        </is>
      </c>
      <c r="E447" t="inlineStr">
        <is>
          <t>东方财富</t>
        </is>
      </c>
      <c r="F447" t="inlineStr">
        <is>
          <t>RPT_DATA_BLOCKTRADE 2026（全市场分页后本地聚合）</t>
        </is>
      </c>
      <c r="G447" s="32" t="n">
        <v>46263.25725717999</v>
      </c>
      <c r="H447" t="inlineStr">
        <is>
          <t>CNY</t>
        </is>
      </c>
      <c r="I447" t="inlineStr">
        <is>
          <t>CNY</t>
        </is>
      </c>
      <c r="J447" t="inlineStr">
        <is>
          <t>ok</t>
        </is>
      </c>
      <c r="L447" t="b">
        <v>0</v>
      </c>
      <c r="M447" t="inlineStr">
        <is>
          <t>东方财富</t>
        </is>
      </c>
      <c r="N447" t="b">
        <v>1</v>
      </c>
    </row>
    <row r="448">
      <c r="A448" t="inlineStr">
        <is>
          <t>A股</t>
        </is>
      </c>
      <c r="B448" t="inlineStr">
        <is>
          <t>000070</t>
        </is>
      </c>
      <c r="C448" t="inlineStr">
        <is>
          <t>特发信息</t>
        </is>
      </c>
      <c r="D448" t="inlineStr">
        <is>
          <t>年度财务</t>
        </is>
      </c>
      <c r="E448" t="inlineStr">
        <is>
          <t>东方财富</t>
        </is>
      </c>
      <c r="F448" t="inlineStr">
        <is>
          <t>RPT_LICO_FN_CPD + RPT_DMSK_FN_CASHFLOW；巨潮回退原因：未配置巨潮官方 API 凭证/端点（CNINFO_ACCESS_TOKEN、CNINFO_INCOME_API_URL、CNINFO_CASHFLOW_API_URL）</t>
        </is>
      </c>
      <c r="G448" s="32" t="n">
        <v>46263.25731948984</v>
      </c>
      <c r="H448" t="inlineStr">
        <is>
          <t>CNY</t>
        </is>
      </c>
      <c r="I448" t="inlineStr">
        <is>
          <t>CNY</t>
        </is>
      </c>
      <c r="J448" t="inlineStr">
        <is>
          <t>ok</t>
        </is>
      </c>
      <c r="L448" t="b">
        <v>1</v>
      </c>
      <c r="M448" t="inlineStr">
        <is>
          <t>巨潮资讯（CNINFO Data Service）</t>
        </is>
      </c>
      <c r="N448" t="b">
        <v>1</v>
      </c>
    </row>
    <row r="449">
      <c r="A449" t="inlineStr">
        <is>
          <t>A股</t>
        </is>
      </c>
      <c r="B449" t="inlineStr">
        <is>
          <t>000070</t>
        </is>
      </c>
      <c r="C449" t="inlineStr">
        <is>
          <t>特发信息</t>
        </is>
      </c>
      <c r="D449" t="inlineStr">
        <is>
          <t>上市与发行信息</t>
        </is>
      </c>
      <c r="E449" t="inlineStr">
        <is>
          <t>东方财富</t>
        </is>
      </c>
      <c r="F449" t="inlineStr">
        <is>
          <t>RPT_PCF10_ORG_ISSUEINFO</t>
        </is>
      </c>
      <c r="G449" s="32" t="n">
        <v>46263.25737259096</v>
      </c>
      <c r="H449" t="inlineStr">
        <is>
          <t>CNY</t>
        </is>
      </c>
      <c r="I449" t="inlineStr">
        <is>
          <t>CNY</t>
        </is>
      </c>
      <c r="J449" t="inlineStr">
        <is>
          <t>ok</t>
        </is>
      </c>
      <c r="L449" t="b">
        <v>0</v>
      </c>
      <c r="M449" t="inlineStr">
        <is>
          <t>东方财富</t>
        </is>
      </c>
      <c r="N449" t="b">
        <v>1</v>
      </c>
    </row>
    <row r="450">
      <c r="A450" t="inlineStr">
        <is>
          <t>A股</t>
        </is>
      </c>
      <c r="B450" t="inlineStr">
        <is>
          <t>000070</t>
        </is>
      </c>
      <c r="C450" t="inlineStr">
        <is>
          <t>特发信息</t>
        </is>
      </c>
      <c r="D450" t="inlineStr">
        <is>
          <t>资金流</t>
        </is>
      </c>
      <c r="E450" t="inlineStr">
        <is>
          <t>配置</t>
        </is>
      </c>
      <c r="F450" t="inlineStr">
        <is>
          <t>flow-mode-off</t>
        </is>
      </c>
      <c r="G450" s="32" t="n">
        <v>46263.25754607147</v>
      </c>
      <c r="I450" t="inlineStr">
        <is>
          <t>CNY</t>
        </is>
      </c>
      <c r="J450" t="inlineStr">
        <is>
          <t>optional_missing</t>
        </is>
      </c>
      <c r="K450" t="inlineStr">
        <is>
          <t>用户选择不抓取资金流</t>
        </is>
      </c>
      <c r="L450" t="b">
        <v>0</v>
      </c>
      <c r="M450" t="inlineStr">
        <is>
          <t>配置</t>
        </is>
      </c>
      <c r="N450" t="b">
        <v>0</v>
      </c>
    </row>
    <row r="451">
      <c r="A451" t="inlineStr">
        <is>
          <t>港股</t>
        </is>
      </c>
      <c r="B451" t="inlineStr">
        <is>
          <t>00055</t>
        </is>
      </c>
      <c r="C451" t="inlineStr">
        <is>
          <t>NEWAY GROUP</t>
        </is>
      </c>
      <c r="D451" t="inlineStr">
        <is>
          <t>最新行情</t>
        </is>
      </c>
      <c r="E451" t="inlineStr">
        <is>
          <t>东方财富</t>
        </is>
      </c>
      <c r="F451" t="inlineStr">
        <is>
          <t>push2 ulist.np/get f2,f20（按指定证券分批）</t>
        </is>
      </c>
      <c r="G451" s="32" t="n">
        <v>46263.25725226049</v>
      </c>
      <c r="H451" t="inlineStr">
        <is>
          <t>HKD</t>
        </is>
      </c>
      <c r="I451" t="inlineStr">
        <is>
          <t>HKD</t>
        </is>
      </c>
      <c r="J451" t="inlineStr">
        <is>
          <t>ok</t>
        </is>
      </c>
      <c r="L451" t="b">
        <v>0</v>
      </c>
      <c r="M451" t="inlineStr">
        <is>
          <t>东方财富</t>
        </is>
      </c>
      <c r="N451" t="b">
        <v>1</v>
      </c>
    </row>
    <row r="452">
      <c r="A452" t="inlineStr">
        <is>
          <t>港股</t>
        </is>
      </c>
      <c r="B452" t="inlineStr">
        <is>
          <t>00055</t>
        </is>
      </c>
      <c r="C452" t="inlineStr">
        <is>
          <t>NEWAY GROUP</t>
        </is>
      </c>
      <c r="D452" t="inlineStr">
        <is>
          <t>大宗交易</t>
        </is>
      </c>
      <c r="E452" t="inlineStr">
        <is>
          <t>东方财富</t>
        </is>
      </c>
      <c r="F452" t="inlineStr">
        <is>
          <t>not-applicable-hk</t>
        </is>
      </c>
      <c r="G452" s="32" t="n">
        <v>46263.25725433244</v>
      </c>
      <c r="I452" t="inlineStr">
        <is>
          <t>HKD</t>
        </is>
      </c>
      <c r="J452" t="inlineStr">
        <is>
          <t>optional_missing</t>
        </is>
      </c>
      <c r="K452" t="inlineStr">
        <is>
          <t>港股大宗交易按允许缺失规则留空</t>
        </is>
      </c>
      <c r="L452" t="b">
        <v>0</v>
      </c>
      <c r="M452" t="inlineStr">
        <is>
          <t>东方财富</t>
        </is>
      </c>
      <c r="N452" t="b">
        <v>1</v>
      </c>
    </row>
    <row r="453">
      <c r="A453" t="inlineStr">
        <is>
          <t>港股</t>
        </is>
      </c>
      <c r="B453" t="inlineStr">
        <is>
          <t>00055</t>
        </is>
      </c>
      <c r="C453" t="inlineStr">
        <is>
          <t>NEWAY GROUP</t>
        </is>
      </c>
      <c r="D453" t="inlineStr">
        <is>
          <t>年度财务</t>
        </is>
      </c>
      <c r="E453" t="inlineStr">
        <is>
          <t>东方财富</t>
        </is>
      </c>
      <c r="F453" t="inlineStr">
        <is>
          <t>RPT_HKF10_FN_MAININDICATOR</t>
        </is>
      </c>
      <c r="G453" s="32" t="n">
        <v>46263.25731208875</v>
      </c>
      <c r="H453" t="inlineStr">
        <is>
          <t>HKD</t>
        </is>
      </c>
      <c r="I453" t="inlineStr">
        <is>
          <t>HKD</t>
        </is>
      </c>
      <c r="J453" t="inlineStr">
        <is>
          <t>ok</t>
        </is>
      </c>
      <c r="L453" t="b">
        <v>0</v>
      </c>
      <c r="M453" t="inlineStr">
        <is>
          <t>东方财富</t>
        </is>
      </c>
      <c r="N453" t="b">
        <v>1</v>
      </c>
    </row>
    <row r="454">
      <c r="A454" t="inlineStr">
        <is>
          <t>港股</t>
        </is>
      </c>
      <c r="B454" t="inlineStr">
        <is>
          <t>00055</t>
        </is>
      </c>
      <c r="C454" t="inlineStr">
        <is>
          <t>NEWAY GROUP</t>
        </is>
      </c>
      <c r="D454" t="inlineStr">
        <is>
          <t>上市与发行信息</t>
        </is>
      </c>
      <c r="E454" t="inlineStr">
        <is>
          <t>东方财富</t>
        </is>
      </c>
      <c r="F454" t="inlineStr">
        <is>
          <t>RPT_HKF10_INFO_SECURITYINFO</t>
        </is>
      </c>
      <c r="G454" s="32" t="n">
        <v>46263.25737304826</v>
      </c>
      <c r="H454" t="inlineStr">
        <is>
          <t>HKD</t>
        </is>
      </c>
      <c r="I454" t="inlineStr">
        <is>
          <t>HKD</t>
        </is>
      </c>
      <c r="J454" t="inlineStr">
        <is>
          <t>ok</t>
        </is>
      </c>
      <c r="L454" t="b">
        <v>1</v>
      </c>
      <c r="M454" t="inlineStr">
        <is>
          <t>东方财富</t>
        </is>
      </c>
      <c r="N454" t="b">
        <v>1</v>
      </c>
    </row>
    <row r="455">
      <c r="A455" t="inlineStr">
        <is>
          <t>港股</t>
        </is>
      </c>
      <c r="B455" t="inlineStr">
        <is>
          <t>00055</t>
        </is>
      </c>
      <c r="C455" t="inlineStr">
        <is>
          <t>NEWAY GROUP</t>
        </is>
      </c>
      <c r="D455" t="inlineStr">
        <is>
          <t>资金流</t>
        </is>
      </c>
      <c r="E455" t="inlineStr">
        <is>
          <t>配置</t>
        </is>
      </c>
      <c r="F455" t="inlineStr">
        <is>
          <t>flow-mode-off</t>
        </is>
      </c>
      <c r="G455" s="32" t="n">
        <v>46263.25754607147</v>
      </c>
      <c r="I455" t="inlineStr">
        <is>
          <t>HKD</t>
        </is>
      </c>
      <c r="J455" t="inlineStr">
        <is>
          <t>optional_missing</t>
        </is>
      </c>
      <c r="K455" t="inlineStr">
        <is>
          <t>用户选择不抓取资金流</t>
        </is>
      </c>
      <c r="L455" t="b">
        <v>0</v>
      </c>
      <c r="M455" t="inlineStr">
        <is>
          <t>配置</t>
        </is>
      </c>
      <c r="N455" t="b">
        <v>0</v>
      </c>
    </row>
    <row r="456">
      <c r="A456" t="inlineStr">
        <is>
          <t>A股</t>
        </is>
      </c>
      <c r="B456" t="inlineStr">
        <is>
          <t>000078</t>
        </is>
      </c>
      <c r="C456" t="inlineStr">
        <is>
          <t>ST海王</t>
        </is>
      </c>
      <c r="D456" t="inlineStr">
        <is>
          <t>最新行情</t>
        </is>
      </c>
      <c r="E456" t="inlineStr">
        <is>
          <t>东方财富</t>
        </is>
      </c>
      <c r="F456" t="inlineStr">
        <is>
          <t>push2 ulist.np/get f2,f20（按指定证券分批）</t>
        </is>
      </c>
      <c r="G456" s="32" t="n">
        <v>46263.25725226049</v>
      </c>
      <c r="H456" t="inlineStr">
        <is>
          <t>CNY</t>
        </is>
      </c>
      <c r="I456" t="inlineStr">
        <is>
          <t>CNY</t>
        </is>
      </c>
      <c r="J456" t="inlineStr">
        <is>
          <t>ok</t>
        </is>
      </c>
      <c r="L456" t="b">
        <v>0</v>
      </c>
      <c r="M456" t="inlineStr">
        <is>
          <t>东方财富</t>
        </is>
      </c>
      <c r="N456" t="b">
        <v>1</v>
      </c>
    </row>
    <row r="457">
      <c r="A457" t="inlineStr">
        <is>
          <t>A股</t>
        </is>
      </c>
      <c r="B457" t="inlineStr">
        <is>
          <t>000078</t>
        </is>
      </c>
      <c r="C457" t="inlineStr">
        <is>
          <t>ST海王</t>
        </is>
      </c>
      <c r="D457" t="inlineStr">
        <is>
          <t>大宗交易</t>
        </is>
      </c>
      <c r="E457" t="inlineStr">
        <is>
          <t>东方财富</t>
        </is>
      </c>
      <c r="F457" t="inlineStr">
        <is>
          <t>RPT_DATA_BLOCKTRADE 2026（全市场分页后本地聚合）</t>
        </is>
      </c>
      <c r="G457" s="32" t="n">
        <v>46263.25725717999</v>
      </c>
      <c r="H457" t="inlineStr">
        <is>
          <t>CNY</t>
        </is>
      </c>
      <c r="I457" t="inlineStr">
        <is>
          <t>CNY</t>
        </is>
      </c>
      <c r="J457" t="inlineStr">
        <is>
          <t>ok</t>
        </is>
      </c>
      <c r="L457" t="b">
        <v>0</v>
      </c>
      <c r="M457" t="inlineStr">
        <is>
          <t>东方财富</t>
        </is>
      </c>
      <c r="N457" t="b">
        <v>1</v>
      </c>
    </row>
    <row r="458">
      <c r="A458" t="inlineStr">
        <is>
          <t>A股</t>
        </is>
      </c>
      <c r="B458" t="inlineStr">
        <is>
          <t>000078</t>
        </is>
      </c>
      <c r="C458" t="inlineStr">
        <is>
          <t>ST海王</t>
        </is>
      </c>
      <c r="D458" t="inlineStr">
        <is>
          <t>年度财务</t>
        </is>
      </c>
      <c r="E458" t="inlineStr">
        <is>
          <t>东方财富</t>
        </is>
      </c>
      <c r="F458" t="inlineStr">
        <is>
          <t>RPT_LICO_FN_CPD + RPT_DMSK_FN_CASHFLOW；巨潮回退原因：未配置巨潮官方 API 凭证/端点（CNINFO_ACCESS_TOKEN、CNINFO_INCOME_API_URL、CNINFO_CASHFLOW_API_URL）</t>
        </is>
      </c>
      <c r="G458" s="32" t="n">
        <v>46263.2573198976</v>
      </c>
      <c r="H458" t="inlineStr">
        <is>
          <t>CNY</t>
        </is>
      </c>
      <c r="I458" t="inlineStr">
        <is>
          <t>CNY</t>
        </is>
      </c>
      <c r="J458" t="inlineStr">
        <is>
          <t>ok</t>
        </is>
      </c>
      <c r="L458" t="b">
        <v>1</v>
      </c>
      <c r="M458" t="inlineStr">
        <is>
          <t>巨潮资讯（CNINFO Data Service）</t>
        </is>
      </c>
      <c r="N458" t="b">
        <v>1</v>
      </c>
    </row>
    <row r="459">
      <c r="A459" t="inlineStr">
        <is>
          <t>A股</t>
        </is>
      </c>
      <c r="B459" t="inlineStr">
        <is>
          <t>000078</t>
        </is>
      </c>
      <c r="C459" t="inlineStr">
        <is>
          <t>ST海王</t>
        </is>
      </c>
      <c r="D459" t="inlineStr">
        <is>
          <t>上市与发行信息</t>
        </is>
      </c>
      <c r="E459" t="inlineStr">
        <is>
          <t>东方财富</t>
        </is>
      </c>
      <c r="F459" t="inlineStr">
        <is>
          <t>RPT_PCF10_ORG_ISSUEINFO</t>
        </is>
      </c>
      <c r="G459" s="32" t="n">
        <v>46263.25737363085</v>
      </c>
      <c r="H459" t="inlineStr">
        <is>
          <t>CNY</t>
        </is>
      </c>
      <c r="I459" t="inlineStr">
        <is>
          <t>CNY</t>
        </is>
      </c>
      <c r="J459" t="inlineStr">
        <is>
          <t>ok</t>
        </is>
      </c>
      <c r="L459" t="b">
        <v>0</v>
      </c>
      <c r="M459" t="inlineStr">
        <is>
          <t>东方财富</t>
        </is>
      </c>
      <c r="N459" t="b">
        <v>1</v>
      </c>
    </row>
    <row r="460">
      <c r="A460" t="inlineStr">
        <is>
          <t>A股</t>
        </is>
      </c>
      <c r="B460" t="inlineStr">
        <is>
          <t>000078</t>
        </is>
      </c>
      <c r="C460" t="inlineStr">
        <is>
          <t>ST海王</t>
        </is>
      </c>
      <c r="D460" t="inlineStr">
        <is>
          <t>资金流</t>
        </is>
      </c>
      <c r="E460" t="inlineStr">
        <is>
          <t>配置</t>
        </is>
      </c>
      <c r="F460" t="inlineStr">
        <is>
          <t>flow-mode-off</t>
        </is>
      </c>
      <c r="G460" s="32" t="n">
        <v>46263.25754607147</v>
      </c>
      <c r="I460" t="inlineStr">
        <is>
          <t>CNY</t>
        </is>
      </c>
      <c r="J460" t="inlineStr">
        <is>
          <t>optional_missing</t>
        </is>
      </c>
      <c r="K460" t="inlineStr">
        <is>
          <t>用户选择不抓取资金流</t>
        </is>
      </c>
      <c r="L460" t="b">
        <v>0</v>
      </c>
      <c r="M460" t="inlineStr">
        <is>
          <t>配置</t>
        </is>
      </c>
      <c r="N460" t="b">
        <v>0</v>
      </c>
    </row>
    <row r="461">
      <c r="A461" t="inlineStr">
        <is>
          <t>港股</t>
        </is>
      </c>
      <c r="B461" t="inlineStr">
        <is>
          <t>00057</t>
        </is>
      </c>
      <c r="C461" t="inlineStr">
        <is>
          <t>CHEN HSONG HOLD</t>
        </is>
      </c>
      <c r="D461" t="inlineStr">
        <is>
          <t>最新行情</t>
        </is>
      </c>
      <c r="E461" t="inlineStr">
        <is>
          <t>东方财富</t>
        </is>
      </c>
      <c r="F461" t="inlineStr">
        <is>
          <t>push2 ulist.np/get f2,f20（按指定证券分批）</t>
        </is>
      </c>
      <c r="G461" s="32" t="n">
        <v>46263.25725226049</v>
      </c>
      <c r="H461" t="inlineStr">
        <is>
          <t>HKD</t>
        </is>
      </c>
      <c r="I461" t="inlineStr">
        <is>
          <t>HKD</t>
        </is>
      </c>
      <c r="J461" t="inlineStr">
        <is>
          <t>ok</t>
        </is>
      </c>
      <c r="L461" t="b">
        <v>0</v>
      </c>
      <c r="M461" t="inlineStr">
        <is>
          <t>东方财富</t>
        </is>
      </c>
      <c r="N461" t="b">
        <v>1</v>
      </c>
    </row>
    <row r="462">
      <c r="A462" t="inlineStr">
        <is>
          <t>港股</t>
        </is>
      </c>
      <c r="B462" t="inlineStr">
        <is>
          <t>00057</t>
        </is>
      </c>
      <c r="C462" t="inlineStr">
        <is>
          <t>CHEN HSONG HOLD</t>
        </is>
      </c>
      <c r="D462" t="inlineStr">
        <is>
          <t>大宗交易</t>
        </is>
      </c>
      <c r="E462" t="inlineStr">
        <is>
          <t>东方财富</t>
        </is>
      </c>
      <c r="F462" t="inlineStr">
        <is>
          <t>not-applicable-hk</t>
        </is>
      </c>
      <c r="G462" s="32" t="n">
        <v>46263.25725433244</v>
      </c>
      <c r="I462" t="inlineStr">
        <is>
          <t>HKD</t>
        </is>
      </c>
      <c r="J462" t="inlineStr">
        <is>
          <t>optional_missing</t>
        </is>
      </c>
      <c r="K462" t="inlineStr">
        <is>
          <t>港股大宗交易按允许缺失规则留空</t>
        </is>
      </c>
      <c r="L462" t="b">
        <v>0</v>
      </c>
      <c r="M462" t="inlineStr">
        <is>
          <t>东方财富</t>
        </is>
      </c>
      <c r="N462" t="b">
        <v>1</v>
      </c>
    </row>
    <row r="463">
      <c r="A463" t="inlineStr">
        <is>
          <t>港股</t>
        </is>
      </c>
      <c r="B463" t="inlineStr">
        <is>
          <t>00057</t>
        </is>
      </c>
      <c r="C463" t="inlineStr">
        <is>
          <t>CHEN HSONG HOLD</t>
        </is>
      </c>
      <c r="D463" t="inlineStr">
        <is>
          <t>年度财务</t>
        </is>
      </c>
      <c r="E463" t="inlineStr">
        <is>
          <t>东方财富</t>
        </is>
      </c>
      <c r="F463" t="inlineStr">
        <is>
          <t>RPT_HKF10_FN_MAININDICATOR</t>
        </is>
      </c>
      <c r="G463" s="32" t="n">
        <v>46263.25731573593</v>
      </c>
      <c r="H463" t="inlineStr">
        <is>
          <t>HKD</t>
        </is>
      </c>
      <c r="I463" t="inlineStr">
        <is>
          <t>HKD</t>
        </is>
      </c>
      <c r="J463" t="inlineStr">
        <is>
          <t>ok</t>
        </is>
      </c>
      <c r="L463" t="b">
        <v>0</v>
      </c>
      <c r="M463" t="inlineStr">
        <is>
          <t>东方财富</t>
        </is>
      </c>
      <c r="N463" t="b">
        <v>1</v>
      </c>
    </row>
    <row r="464">
      <c r="A464" t="inlineStr">
        <is>
          <t>港股</t>
        </is>
      </c>
      <c r="B464" t="inlineStr">
        <is>
          <t>00057</t>
        </is>
      </c>
      <c r="C464" t="inlineStr">
        <is>
          <t>CHEN HSONG HOLD</t>
        </is>
      </c>
      <c r="D464" t="inlineStr">
        <is>
          <t>上市与发行信息</t>
        </is>
      </c>
      <c r="E464" t="inlineStr">
        <is>
          <t>东方财富</t>
        </is>
      </c>
      <c r="F464" t="inlineStr">
        <is>
          <t>RPT_HKF10_INFO_SECURITYINFO</t>
        </is>
      </c>
      <c r="G464" s="32" t="n">
        <v>46263.25737627487</v>
      </c>
      <c r="H464" t="inlineStr">
        <is>
          <t>HKD</t>
        </is>
      </c>
      <c r="I464" t="inlineStr">
        <is>
          <t>HKD</t>
        </is>
      </c>
      <c r="J464" t="inlineStr">
        <is>
          <t>ok</t>
        </is>
      </c>
      <c r="L464" t="b">
        <v>1</v>
      </c>
      <c r="M464" t="inlineStr">
        <is>
          <t>东方财富</t>
        </is>
      </c>
      <c r="N464" t="b">
        <v>1</v>
      </c>
    </row>
    <row r="465">
      <c r="A465" t="inlineStr">
        <is>
          <t>港股</t>
        </is>
      </c>
      <c r="B465" t="inlineStr">
        <is>
          <t>00057</t>
        </is>
      </c>
      <c r="C465" t="inlineStr">
        <is>
          <t>CHEN HSONG HOLD</t>
        </is>
      </c>
      <c r="D465" t="inlineStr">
        <is>
          <t>资金流</t>
        </is>
      </c>
      <c r="E465" t="inlineStr">
        <is>
          <t>配置</t>
        </is>
      </c>
      <c r="F465" t="inlineStr">
        <is>
          <t>flow-mode-off</t>
        </is>
      </c>
      <c r="G465" s="32" t="n">
        <v>46263.25754607147</v>
      </c>
      <c r="I465" t="inlineStr">
        <is>
          <t>HKD</t>
        </is>
      </c>
      <c r="J465" t="inlineStr">
        <is>
          <t>optional_missing</t>
        </is>
      </c>
      <c r="K465" t="inlineStr">
        <is>
          <t>用户选择不抓取资金流</t>
        </is>
      </c>
      <c r="L465" t="b">
        <v>0</v>
      </c>
      <c r="M465" t="inlineStr">
        <is>
          <t>配置</t>
        </is>
      </c>
      <c r="N465" t="b">
        <v>0</v>
      </c>
    </row>
    <row r="466">
      <c r="A466" t="inlineStr">
        <is>
          <t>A股</t>
        </is>
      </c>
      <c r="B466" t="inlineStr">
        <is>
          <t>000088</t>
        </is>
      </c>
      <c r="C466" t="inlineStr">
        <is>
          <t>盐田港</t>
        </is>
      </c>
      <c r="D466" t="inlineStr">
        <is>
          <t>最新行情</t>
        </is>
      </c>
      <c r="E466" t="inlineStr">
        <is>
          <t>东方财富</t>
        </is>
      </c>
      <c r="F466" t="inlineStr">
        <is>
          <t>push2 ulist.np/get f2,f20（按指定证券分批）</t>
        </is>
      </c>
      <c r="G466" s="32" t="n">
        <v>46263.25725226049</v>
      </c>
      <c r="H466" t="inlineStr">
        <is>
          <t>CNY</t>
        </is>
      </c>
      <c r="I466" t="inlineStr">
        <is>
          <t>CNY</t>
        </is>
      </c>
      <c r="J466" t="inlineStr">
        <is>
          <t>ok</t>
        </is>
      </c>
      <c r="L466" t="b">
        <v>0</v>
      </c>
      <c r="M466" t="inlineStr">
        <is>
          <t>东方财富</t>
        </is>
      </c>
      <c r="N466" t="b">
        <v>1</v>
      </c>
    </row>
    <row r="467">
      <c r="A467" t="inlineStr">
        <is>
          <t>A股</t>
        </is>
      </c>
      <c r="B467" t="inlineStr">
        <is>
          <t>000088</t>
        </is>
      </c>
      <c r="C467" t="inlineStr">
        <is>
          <t>盐田港</t>
        </is>
      </c>
      <c r="D467" t="inlineStr">
        <is>
          <t>大宗交易</t>
        </is>
      </c>
      <c r="E467" t="inlineStr">
        <is>
          <t>东方财富</t>
        </is>
      </c>
      <c r="F467" t="inlineStr">
        <is>
          <t>RPT_DATA_BLOCKTRADE 2026（全市场分页后本地聚合）</t>
        </is>
      </c>
      <c r="G467" s="32" t="n">
        <v>46263.25725717999</v>
      </c>
      <c r="H467" t="inlineStr">
        <is>
          <t>CNY</t>
        </is>
      </c>
      <c r="I467" t="inlineStr">
        <is>
          <t>CNY</t>
        </is>
      </c>
      <c r="J467" t="inlineStr">
        <is>
          <t>ok</t>
        </is>
      </c>
      <c r="L467" t="b">
        <v>0</v>
      </c>
      <c r="M467" t="inlineStr">
        <is>
          <t>东方财富</t>
        </is>
      </c>
      <c r="N467" t="b">
        <v>1</v>
      </c>
    </row>
    <row r="468">
      <c r="A468" t="inlineStr">
        <is>
          <t>A股</t>
        </is>
      </c>
      <c r="B468" t="inlineStr">
        <is>
          <t>000088</t>
        </is>
      </c>
      <c r="C468" t="inlineStr">
        <is>
          <t>盐田港</t>
        </is>
      </c>
      <c r="D468" t="inlineStr">
        <is>
          <t>年度财务</t>
        </is>
      </c>
      <c r="E468" t="inlineStr">
        <is>
          <t>东方财富</t>
        </is>
      </c>
      <c r="F468" t="inlineStr">
        <is>
          <t>RPT_LICO_FN_CPD + RPT_DMSK_FN_CASHFLOW；巨潮回退原因：未配置巨潮官方 API 凭证/端点（CNINFO_ACCESS_TOKEN、CNINFO_INCOME_API_URL、CNINFO_CASHFLOW_API_URL）</t>
        </is>
      </c>
      <c r="G468" s="32" t="n">
        <v>46263.25732006804</v>
      </c>
      <c r="H468" t="inlineStr">
        <is>
          <t>CNY</t>
        </is>
      </c>
      <c r="I468" t="inlineStr">
        <is>
          <t>CNY</t>
        </is>
      </c>
      <c r="J468" t="inlineStr">
        <is>
          <t>ok</t>
        </is>
      </c>
      <c r="L468" t="b">
        <v>1</v>
      </c>
      <c r="M468" t="inlineStr">
        <is>
          <t>巨潮资讯（CNINFO Data Service）</t>
        </is>
      </c>
      <c r="N468" t="b">
        <v>1</v>
      </c>
    </row>
    <row r="469">
      <c r="A469" t="inlineStr">
        <is>
          <t>A股</t>
        </is>
      </c>
      <c r="B469" t="inlineStr">
        <is>
          <t>000088</t>
        </is>
      </c>
      <c r="C469" t="inlineStr">
        <is>
          <t>盐田港</t>
        </is>
      </c>
      <c r="D469" t="inlineStr">
        <is>
          <t>上市与发行信息</t>
        </is>
      </c>
      <c r="E469" t="inlineStr">
        <is>
          <t>东方财富</t>
        </is>
      </c>
      <c r="F469" t="inlineStr">
        <is>
          <t>RPT_PCF10_ORG_ISSUEINFO</t>
        </is>
      </c>
      <c r="G469" s="32" t="n">
        <v>46263.25737559202</v>
      </c>
      <c r="H469" t="inlineStr">
        <is>
          <t>CNY</t>
        </is>
      </c>
      <c r="I469" t="inlineStr">
        <is>
          <t>CNY</t>
        </is>
      </c>
      <c r="J469" t="inlineStr">
        <is>
          <t>ok</t>
        </is>
      </c>
      <c r="L469" t="b">
        <v>0</v>
      </c>
      <c r="M469" t="inlineStr">
        <is>
          <t>东方财富</t>
        </is>
      </c>
      <c r="N469" t="b">
        <v>1</v>
      </c>
    </row>
    <row r="470">
      <c r="A470" t="inlineStr">
        <is>
          <t>A股</t>
        </is>
      </c>
      <c r="B470" t="inlineStr">
        <is>
          <t>000088</t>
        </is>
      </c>
      <c r="C470" t="inlineStr">
        <is>
          <t>盐田港</t>
        </is>
      </c>
      <c r="D470" t="inlineStr">
        <is>
          <t>资金流</t>
        </is>
      </c>
      <c r="E470" t="inlineStr">
        <is>
          <t>配置</t>
        </is>
      </c>
      <c r="F470" t="inlineStr">
        <is>
          <t>flow-mode-off</t>
        </is>
      </c>
      <c r="G470" s="32" t="n">
        <v>46263.25754607147</v>
      </c>
      <c r="I470" t="inlineStr">
        <is>
          <t>CNY</t>
        </is>
      </c>
      <c r="J470" t="inlineStr">
        <is>
          <t>optional_missing</t>
        </is>
      </c>
      <c r="K470" t="inlineStr">
        <is>
          <t>用户选择不抓取资金流</t>
        </is>
      </c>
      <c r="L470" t="b">
        <v>0</v>
      </c>
      <c r="M470" t="inlineStr">
        <is>
          <t>配置</t>
        </is>
      </c>
      <c r="N470" t="b">
        <v>0</v>
      </c>
    </row>
    <row r="471">
      <c r="A471" t="inlineStr">
        <is>
          <t>港股</t>
        </is>
      </c>
      <c r="B471" t="inlineStr">
        <is>
          <t>00058</t>
        </is>
      </c>
      <c r="C471" t="inlineStr">
        <is>
          <t>SUNWAY INT'L</t>
        </is>
      </c>
      <c r="D471" t="inlineStr">
        <is>
          <t>最新行情</t>
        </is>
      </c>
      <c r="E471" t="inlineStr">
        <is>
          <t>东方财富</t>
        </is>
      </c>
      <c r="F471" t="inlineStr">
        <is>
          <t>push2 ulist.np/get f2,f20（按指定证券分批）</t>
        </is>
      </c>
      <c r="G471" s="32" t="n">
        <v>46263.25725226049</v>
      </c>
      <c r="H471" t="inlineStr">
        <is>
          <t>HKD</t>
        </is>
      </c>
      <c r="I471" t="inlineStr">
        <is>
          <t>HKD</t>
        </is>
      </c>
      <c r="J471" t="inlineStr">
        <is>
          <t>ok</t>
        </is>
      </c>
      <c r="L471" t="b">
        <v>0</v>
      </c>
      <c r="M471" t="inlineStr">
        <is>
          <t>东方财富</t>
        </is>
      </c>
      <c r="N471" t="b">
        <v>1</v>
      </c>
    </row>
    <row r="472">
      <c r="A472" t="inlineStr">
        <is>
          <t>港股</t>
        </is>
      </c>
      <c r="B472" t="inlineStr">
        <is>
          <t>00058</t>
        </is>
      </c>
      <c r="C472" t="inlineStr">
        <is>
          <t>SUNWAY INT'L</t>
        </is>
      </c>
      <c r="D472" t="inlineStr">
        <is>
          <t>大宗交易</t>
        </is>
      </c>
      <c r="E472" t="inlineStr">
        <is>
          <t>东方财富</t>
        </is>
      </c>
      <c r="F472" t="inlineStr">
        <is>
          <t>not-applicable-hk</t>
        </is>
      </c>
      <c r="G472" s="32" t="n">
        <v>46263.25725433244</v>
      </c>
      <c r="I472" t="inlineStr">
        <is>
          <t>HKD</t>
        </is>
      </c>
      <c r="J472" t="inlineStr">
        <is>
          <t>optional_missing</t>
        </is>
      </c>
      <c r="K472" t="inlineStr">
        <is>
          <t>港股大宗交易按允许缺失规则留空</t>
        </is>
      </c>
      <c r="L472" t="b">
        <v>0</v>
      </c>
      <c r="M472" t="inlineStr">
        <is>
          <t>东方财富</t>
        </is>
      </c>
      <c r="N472" t="b">
        <v>1</v>
      </c>
    </row>
    <row r="473">
      <c r="A473" t="inlineStr">
        <is>
          <t>港股</t>
        </is>
      </c>
      <c r="B473" t="inlineStr">
        <is>
          <t>00058</t>
        </is>
      </c>
      <c r="C473" t="inlineStr">
        <is>
          <t>SUNWAY INT'L</t>
        </is>
      </c>
      <c r="D473" t="inlineStr">
        <is>
          <t>年度财务</t>
        </is>
      </c>
      <c r="E473" t="inlineStr">
        <is>
          <t>东方财富</t>
        </is>
      </c>
      <c r="F473" t="inlineStr">
        <is>
          <t>RPT_HKF10_FN_MAININDICATOR</t>
        </is>
      </c>
      <c r="G473" s="32" t="n">
        <v>46263.25731412043</v>
      </c>
      <c r="H473" t="inlineStr">
        <is>
          <t>HKD</t>
        </is>
      </c>
      <c r="I473" t="inlineStr">
        <is>
          <t>HKD</t>
        </is>
      </c>
      <c r="J473" t="inlineStr">
        <is>
          <t>ok</t>
        </is>
      </c>
      <c r="L473" t="b">
        <v>0</v>
      </c>
      <c r="M473" t="inlineStr">
        <is>
          <t>东方财富</t>
        </is>
      </c>
      <c r="N473" t="b">
        <v>1</v>
      </c>
    </row>
    <row r="474">
      <c r="A474" t="inlineStr">
        <is>
          <t>港股</t>
        </is>
      </c>
      <c r="B474" t="inlineStr">
        <is>
          <t>00058</t>
        </is>
      </c>
      <c r="C474" t="inlineStr">
        <is>
          <t>SUNWAY INT'L</t>
        </is>
      </c>
      <c r="D474" t="inlineStr">
        <is>
          <t>上市与发行信息</t>
        </is>
      </c>
      <c r="E474" t="inlineStr">
        <is>
          <t>东方财富</t>
        </is>
      </c>
      <c r="F474" t="inlineStr">
        <is>
          <t>RPT_HKF10_INFO_SECURITYINFO</t>
        </is>
      </c>
      <c r="G474" s="32" t="n">
        <v>46263.25737552462</v>
      </c>
      <c r="H474" t="inlineStr">
        <is>
          <t>HKD</t>
        </is>
      </c>
      <c r="I474" t="inlineStr">
        <is>
          <t>HKD</t>
        </is>
      </c>
      <c r="J474" t="inlineStr">
        <is>
          <t>ok</t>
        </is>
      </c>
      <c r="L474" t="b">
        <v>1</v>
      </c>
      <c r="M474" t="inlineStr">
        <is>
          <t>东方财富</t>
        </is>
      </c>
      <c r="N474" t="b">
        <v>1</v>
      </c>
    </row>
    <row r="475">
      <c r="A475" t="inlineStr">
        <is>
          <t>港股</t>
        </is>
      </c>
      <c r="B475" t="inlineStr">
        <is>
          <t>00058</t>
        </is>
      </c>
      <c r="C475" t="inlineStr">
        <is>
          <t>SUNWAY INT'L</t>
        </is>
      </c>
      <c r="D475" t="inlineStr">
        <is>
          <t>资金流</t>
        </is>
      </c>
      <c r="E475" t="inlineStr">
        <is>
          <t>配置</t>
        </is>
      </c>
      <c r="F475" t="inlineStr">
        <is>
          <t>flow-mode-off</t>
        </is>
      </c>
      <c r="G475" s="32" t="n">
        <v>46263.25754607147</v>
      </c>
      <c r="I475" t="inlineStr">
        <is>
          <t>HKD</t>
        </is>
      </c>
      <c r="J475" t="inlineStr">
        <is>
          <t>optional_missing</t>
        </is>
      </c>
      <c r="K475" t="inlineStr">
        <is>
          <t>用户选择不抓取资金流</t>
        </is>
      </c>
      <c r="L475" t="b">
        <v>0</v>
      </c>
      <c r="M475" t="inlineStr">
        <is>
          <t>配置</t>
        </is>
      </c>
      <c r="N475" t="b">
        <v>0</v>
      </c>
    </row>
    <row r="476">
      <c r="A476" t="inlineStr">
        <is>
          <t>A股</t>
        </is>
      </c>
      <c r="B476" t="inlineStr">
        <is>
          <t>000089</t>
        </is>
      </c>
      <c r="C476" t="inlineStr">
        <is>
          <t>深圳机场</t>
        </is>
      </c>
      <c r="D476" t="inlineStr">
        <is>
          <t>最新行情</t>
        </is>
      </c>
      <c r="E476" t="inlineStr">
        <is>
          <t>东方财富</t>
        </is>
      </c>
      <c r="F476" t="inlineStr">
        <is>
          <t>push2 ulist.np/get f2,f20（按指定证券分批）</t>
        </is>
      </c>
      <c r="G476" s="32" t="n">
        <v>46263.25725226049</v>
      </c>
      <c r="H476" t="inlineStr">
        <is>
          <t>CNY</t>
        </is>
      </c>
      <c r="I476" t="inlineStr">
        <is>
          <t>CNY</t>
        </is>
      </c>
      <c r="J476" t="inlineStr">
        <is>
          <t>ok</t>
        </is>
      </c>
      <c r="L476" t="b">
        <v>0</v>
      </c>
      <c r="M476" t="inlineStr">
        <is>
          <t>东方财富</t>
        </is>
      </c>
      <c r="N476" t="b">
        <v>1</v>
      </c>
    </row>
    <row r="477">
      <c r="A477" t="inlineStr">
        <is>
          <t>A股</t>
        </is>
      </c>
      <c r="B477" t="inlineStr">
        <is>
          <t>000089</t>
        </is>
      </c>
      <c r="C477" t="inlineStr">
        <is>
          <t>深圳机场</t>
        </is>
      </c>
      <c r="D477" t="inlineStr">
        <is>
          <t>大宗交易</t>
        </is>
      </c>
      <c r="E477" t="inlineStr">
        <is>
          <t>东方财富</t>
        </is>
      </c>
      <c r="F477" t="inlineStr">
        <is>
          <t>RPT_DATA_BLOCKTRADE 2026（全市场分页后本地聚合）</t>
        </is>
      </c>
      <c r="G477" s="32" t="n">
        <v>46263.25725717999</v>
      </c>
      <c r="H477" t="inlineStr">
        <is>
          <t>CNY</t>
        </is>
      </c>
      <c r="I477" t="inlineStr">
        <is>
          <t>CNY</t>
        </is>
      </c>
      <c r="J477" t="inlineStr">
        <is>
          <t>ok</t>
        </is>
      </c>
      <c r="L477" t="b">
        <v>0</v>
      </c>
      <c r="M477" t="inlineStr">
        <is>
          <t>东方财富</t>
        </is>
      </c>
      <c r="N477" t="b">
        <v>1</v>
      </c>
    </row>
    <row r="478">
      <c r="A478" t="inlineStr">
        <is>
          <t>A股</t>
        </is>
      </c>
      <c r="B478" t="inlineStr">
        <is>
          <t>000089</t>
        </is>
      </c>
      <c r="C478" t="inlineStr">
        <is>
          <t>深圳机场</t>
        </is>
      </c>
      <c r="D478" t="inlineStr">
        <is>
          <t>年度财务</t>
        </is>
      </c>
      <c r="E478" t="inlineStr">
        <is>
          <t>东方财富</t>
        </is>
      </c>
      <c r="F478" t="inlineStr">
        <is>
          <t>RPT_LICO_FN_CPD + RPT_DMSK_FN_CASHFLOW；巨潮回退原因：未配置巨潮官方 API 凭证/端点（CNINFO_ACCESS_TOKEN、CNINFO_INCOME_API_URL、CNINFO_CASHFLOW_API_URL）</t>
        </is>
      </c>
      <c r="G478" s="32" t="n">
        <v>46263.25732056421</v>
      </c>
      <c r="H478" t="inlineStr">
        <is>
          <t>CNY</t>
        </is>
      </c>
      <c r="I478" t="inlineStr">
        <is>
          <t>CNY</t>
        </is>
      </c>
      <c r="J478" t="inlineStr">
        <is>
          <t>ok</t>
        </is>
      </c>
      <c r="L478" t="b">
        <v>1</v>
      </c>
      <c r="M478" t="inlineStr">
        <is>
          <t>巨潮资讯（CNINFO Data Service）</t>
        </is>
      </c>
      <c r="N478" t="b">
        <v>1</v>
      </c>
    </row>
    <row r="479">
      <c r="A479" t="inlineStr">
        <is>
          <t>A股</t>
        </is>
      </c>
      <c r="B479" t="inlineStr">
        <is>
          <t>000089</t>
        </is>
      </c>
      <c r="C479" t="inlineStr">
        <is>
          <t>深圳机场</t>
        </is>
      </c>
      <c r="D479" t="inlineStr">
        <is>
          <t>上市与发行信息</t>
        </is>
      </c>
      <c r="E479" t="inlineStr">
        <is>
          <t>东方财富</t>
        </is>
      </c>
      <c r="F479" t="inlineStr">
        <is>
          <t>RPT_PCF10_ORG_ISSUEINFO</t>
        </is>
      </c>
      <c r="G479" s="32" t="n">
        <v>46263.25737611619</v>
      </c>
      <c r="H479" t="inlineStr">
        <is>
          <t>CNY</t>
        </is>
      </c>
      <c r="I479" t="inlineStr">
        <is>
          <t>CNY</t>
        </is>
      </c>
      <c r="J479" t="inlineStr">
        <is>
          <t>ok</t>
        </is>
      </c>
      <c r="L479" t="b">
        <v>0</v>
      </c>
      <c r="M479" t="inlineStr">
        <is>
          <t>东方财富</t>
        </is>
      </c>
      <c r="N479" t="b">
        <v>1</v>
      </c>
    </row>
    <row r="480">
      <c r="A480" t="inlineStr">
        <is>
          <t>A股</t>
        </is>
      </c>
      <c r="B480" t="inlineStr">
        <is>
          <t>000089</t>
        </is>
      </c>
      <c r="C480" t="inlineStr">
        <is>
          <t>深圳机场</t>
        </is>
      </c>
      <c r="D480" t="inlineStr">
        <is>
          <t>资金流</t>
        </is>
      </c>
      <c r="E480" t="inlineStr">
        <is>
          <t>配置</t>
        </is>
      </c>
      <c r="F480" t="inlineStr">
        <is>
          <t>flow-mode-off</t>
        </is>
      </c>
      <c r="G480" s="32" t="n">
        <v>46263.25754607147</v>
      </c>
      <c r="I480" t="inlineStr">
        <is>
          <t>CNY</t>
        </is>
      </c>
      <c r="J480" t="inlineStr">
        <is>
          <t>optional_missing</t>
        </is>
      </c>
      <c r="K480" t="inlineStr">
        <is>
          <t>用户选择不抓取资金流</t>
        </is>
      </c>
      <c r="L480" t="b">
        <v>0</v>
      </c>
      <c r="M480" t="inlineStr">
        <is>
          <t>配置</t>
        </is>
      </c>
      <c r="N480" t="b">
        <v>0</v>
      </c>
    </row>
    <row r="481">
      <c r="A481" t="inlineStr">
        <is>
          <t>港股</t>
        </is>
      </c>
      <c r="B481" t="inlineStr">
        <is>
          <t>00059</t>
        </is>
      </c>
      <c r="C481" t="inlineStr">
        <is>
          <t>SKYFAME REALTY</t>
        </is>
      </c>
      <c r="D481" t="inlineStr">
        <is>
          <t>最新行情</t>
        </is>
      </c>
      <c r="E481" t="inlineStr">
        <is>
          <t>东方财富</t>
        </is>
      </c>
      <c r="F481" t="inlineStr">
        <is>
          <t>push2 ulist.np/get f2,f20（按指定证券分批）</t>
        </is>
      </c>
      <c r="G481" s="32" t="n">
        <v>46263.25725226049</v>
      </c>
      <c r="H481" t="inlineStr">
        <is>
          <t>HKD</t>
        </is>
      </c>
      <c r="I481" t="inlineStr">
        <is>
          <t>HKD</t>
        </is>
      </c>
      <c r="J481" t="inlineStr">
        <is>
          <t>ok</t>
        </is>
      </c>
      <c r="L481" t="b">
        <v>0</v>
      </c>
      <c r="M481" t="inlineStr">
        <is>
          <t>东方财富</t>
        </is>
      </c>
      <c r="N481" t="b">
        <v>1</v>
      </c>
    </row>
    <row r="482">
      <c r="A482" t="inlineStr">
        <is>
          <t>港股</t>
        </is>
      </c>
      <c r="B482" t="inlineStr">
        <is>
          <t>00059</t>
        </is>
      </c>
      <c r="C482" t="inlineStr">
        <is>
          <t>SKYFAME REALTY</t>
        </is>
      </c>
      <c r="D482" t="inlineStr">
        <is>
          <t>大宗交易</t>
        </is>
      </c>
      <c r="E482" t="inlineStr">
        <is>
          <t>东方财富</t>
        </is>
      </c>
      <c r="F482" t="inlineStr">
        <is>
          <t>not-applicable-hk</t>
        </is>
      </c>
      <c r="G482" s="32" t="n">
        <v>46263.25725433244</v>
      </c>
      <c r="I482" t="inlineStr">
        <is>
          <t>HKD</t>
        </is>
      </c>
      <c r="J482" t="inlineStr">
        <is>
          <t>optional_missing</t>
        </is>
      </c>
      <c r="K482" t="inlineStr">
        <is>
          <t>港股大宗交易按允许缺失规则留空</t>
        </is>
      </c>
      <c r="L482" t="b">
        <v>0</v>
      </c>
      <c r="M482" t="inlineStr">
        <is>
          <t>东方财富</t>
        </is>
      </c>
      <c r="N482" t="b">
        <v>1</v>
      </c>
    </row>
    <row r="483">
      <c r="A483" t="inlineStr">
        <is>
          <t>港股</t>
        </is>
      </c>
      <c r="B483" t="inlineStr">
        <is>
          <t>00059</t>
        </is>
      </c>
      <c r="C483" t="inlineStr">
        <is>
          <t>SKYFAME REALTY</t>
        </is>
      </c>
      <c r="D483" t="inlineStr">
        <is>
          <t>年度财务</t>
        </is>
      </c>
      <c r="E483" t="inlineStr">
        <is>
          <t>东方财富</t>
        </is>
      </c>
      <c r="F483" t="inlineStr">
        <is>
          <t>RPT_HKF10_FN_MAININDICATOR</t>
        </is>
      </c>
      <c r="G483" s="32" t="n">
        <v>46263.25731546665</v>
      </c>
      <c r="H483" t="inlineStr">
        <is>
          <t>HKD</t>
        </is>
      </c>
      <c r="I483" t="inlineStr">
        <is>
          <t>HKD</t>
        </is>
      </c>
      <c r="J483" t="inlineStr">
        <is>
          <t>ok</t>
        </is>
      </c>
      <c r="L483" t="b">
        <v>0</v>
      </c>
      <c r="M483" t="inlineStr">
        <is>
          <t>东方财富</t>
        </is>
      </c>
      <c r="N483" t="b">
        <v>1</v>
      </c>
    </row>
    <row r="484">
      <c r="A484" t="inlineStr">
        <is>
          <t>A股</t>
        </is>
      </c>
      <c r="B484" t="inlineStr">
        <is>
          <t>000090</t>
        </is>
      </c>
      <c r="C484" t="inlineStr">
        <is>
          <t>天健集团</t>
        </is>
      </c>
      <c r="D484" t="inlineStr">
        <is>
          <t>最新行情</t>
        </is>
      </c>
      <c r="E484" t="inlineStr">
        <is>
          <t>东方财富</t>
        </is>
      </c>
      <c r="F484" t="inlineStr">
        <is>
          <t>push2 ulist.np/get f2,f20（按指定证券分批）</t>
        </is>
      </c>
      <c r="G484" s="32" t="n">
        <v>46263.25725226049</v>
      </c>
      <c r="H484" t="inlineStr">
        <is>
          <t>CNY</t>
        </is>
      </c>
      <c r="I484" t="inlineStr">
        <is>
          <t>CNY</t>
        </is>
      </c>
      <c r="J484" t="inlineStr">
        <is>
          <t>ok</t>
        </is>
      </c>
      <c r="L484" t="b">
        <v>0</v>
      </c>
      <c r="M484" t="inlineStr">
        <is>
          <t>东方财富</t>
        </is>
      </c>
      <c r="N484" t="b">
        <v>1</v>
      </c>
    </row>
    <row r="485">
      <c r="A485" t="inlineStr">
        <is>
          <t>A股</t>
        </is>
      </c>
      <c r="B485" t="inlineStr">
        <is>
          <t>000090</t>
        </is>
      </c>
      <c r="C485" t="inlineStr">
        <is>
          <t>天健集团</t>
        </is>
      </c>
      <c r="D485" t="inlineStr">
        <is>
          <t>大宗交易</t>
        </is>
      </c>
      <c r="E485" t="inlineStr">
        <is>
          <t>东方财富</t>
        </is>
      </c>
      <c r="F485" t="inlineStr">
        <is>
          <t>RPT_DATA_BLOCKTRADE 2026（全市场分页后本地聚合）</t>
        </is>
      </c>
      <c r="G485" s="32" t="n">
        <v>46263.25725717999</v>
      </c>
      <c r="H485" t="inlineStr">
        <is>
          <t>CNY</t>
        </is>
      </c>
      <c r="I485" t="inlineStr">
        <is>
          <t>CNY</t>
        </is>
      </c>
      <c r="J485" t="inlineStr">
        <is>
          <t>ok</t>
        </is>
      </c>
      <c r="L485" t="b">
        <v>0</v>
      </c>
      <c r="M485" t="inlineStr">
        <is>
          <t>东方财富</t>
        </is>
      </c>
      <c r="N485" t="b">
        <v>1</v>
      </c>
    </row>
    <row r="486">
      <c r="A486" t="inlineStr">
        <is>
          <t>A股</t>
        </is>
      </c>
      <c r="B486" t="inlineStr">
        <is>
          <t>000090</t>
        </is>
      </c>
      <c r="C486" t="inlineStr">
        <is>
          <t>天健集团</t>
        </is>
      </c>
      <c r="D486" t="inlineStr">
        <is>
          <t>年度财务</t>
        </is>
      </c>
      <c r="E486" t="inlineStr">
        <is>
          <t>东方财富</t>
        </is>
      </c>
      <c r="F486" t="inlineStr">
        <is>
          <t>RPT_LICO_FN_CPD + RPT_DMSK_FN_CASHFLOW；巨潮回退原因：未配置巨潮官方 API 凭证/端点（CNINFO_ACCESS_TOKEN、CNINFO_INCOME_API_URL、CNINFO_CASHFLOW_API_URL）</t>
        </is>
      </c>
      <c r="G486" s="32" t="n">
        <v>46263.25732139183</v>
      </c>
      <c r="H486" t="inlineStr">
        <is>
          <t>CNY</t>
        </is>
      </c>
      <c r="I486" t="inlineStr">
        <is>
          <t>CNY</t>
        </is>
      </c>
      <c r="J486" t="inlineStr">
        <is>
          <t>ok</t>
        </is>
      </c>
      <c r="L486" t="b">
        <v>1</v>
      </c>
      <c r="M486" t="inlineStr">
        <is>
          <t>巨潮资讯（CNINFO Data Service）</t>
        </is>
      </c>
      <c r="N486" t="b">
        <v>1</v>
      </c>
    </row>
    <row r="487">
      <c r="A487" t="inlineStr">
        <is>
          <t>A股</t>
        </is>
      </c>
      <c r="B487" t="inlineStr">
        <is>
          <t>000090</t>
        </is>
      </c>
      <c r="C487" t="inlineStr">
        <is>
          <t>天健集团</t>
        </is>
      </c>
      <c r="D487" t="inlineStr">
        <is>
          <t>上市与发行信息</t>
        </is>
      </c>
      <c r="E487" t="inlineStr">
        <is>
          <t>东方财富</t>
        </is>
      </c>
      <c r="F487" t="inlineStr">
        <is>
          <t>RPT_PCF10_ORG_ISSUEINFO</t>
        </is>
      </c>
      <c r="G487" s="32" t="n">
        <v>46263.2573766063</v>
      </c>
      <c r="H487" t="inlineStr">
        <is>
          <t>CNY</t>
        </is>
      </c>
      <c r="I487" t="inlineStr">
        <is>
          <t>CNY</t>
        </is>
      </c>
      <c r="J487" t="inlineStr">
        <is>
          <t>ok</t>
        </is>
      </c>
      <c r="L487" t="b">
        <v>0</v>
      </c>
      <c r="M487" t="inlineStr">
        <is>
          <t>东方财富</t>
        </is>
      </c>
      <c r="N487" t="b">
        <v>1</v>
      </c>
    </row>
    <row r="488">
      <c r="A488" t="inlineStr">
        <is>
          <t>A股</t>
        </is>
      </c>
      <c r="B488" t="inlineStr">
        <is>
          <t>000090</t>
        </is>
      </c>
      <c r="C488" t="inlineStr">
        <is>
          <t>天健集团</t>
        </is>
      </c>
      <c r="D488" t="inlineStr">
        <is>
          <t>资金流</t>
        </is>
      </c>
      <c r="E488" t="inlineStr">
        <is>
          <t>配置</t>
        </is>
      </c>
      <c r="F488" t="inlineStr">
        <is>
          <t>flow-mode-off</t>
        </is>
      </c>
      <c r="G488" s="32" t="n">
        <v>46263.25754607147</v>
      </c>
      <c r="I488" t="inlineStr">
        <is>
          <t>CNY</t>
        </is>
      </c>
      <c r="J488" t="inlineStr">
        <is>
          <t>optional_missing</t>
        </is>
      </c>
      <c r="K488" t="inlineStr">
        <is>
          <t>用户选择不抓取资金流</t>
        </is>
      </c>
      <c r="L488" t="b">
        <v>0</v>
      </c>
      <c r="M488" t="inlineStr">
        <is>
          <t>配置</t>
        </is>
      </c>
      <c r="N488" t="b">
        <v>0</v>
      </c>
    </row>
    <row r="489">
      <c r="A489" t="inlineStr">
        <is>
          <t>港股</t>
        </is>
      </c>
      <c r="B489" t="inlineStr">
        <is>
          <t>00060</t>
        </is>
      </c>
      <c r="C489" t="inlineStr">
        <is>
          <t>HK FOOD INV</t>
        </is>
      </c>
      <c r="D489" t="inlineStr">
        <is>
          <t>最新行情</t>
        </is>
      </c>
      <c r="E489" t="inlineStr">
        <is>
          <t>东方财富</t>
        </is>
      </c>
      <c r="F489" t="inlineStr">
        <is>
          <t>push2 ulist.np/get f2,f20（按指定证券分批）</t>
        </is>
      </c>
      <c r="G489" s="32" t="n">
        <v>46263.25725226049</v>
      </c>
      <c r="H489" t="inlineStr">
        <is>
          <t>HKD</t>
        </is>
      </c>
      <c r="I489" t="inlineStr">
        <is>
          <t>HKD</t>
        </is>
      </c>
      <c r="J489" t="inlineStr">
        <is>
          <t>ok</t>
        </is>
      </c>
      <c r="L489" t="b">
        <v>0</v>
      </c>
      <c r="M489" t="inlineStr">
        <is>
          <t>东方财富</t>
        </is>
      </c>
      <c r="N489" t="b">
        <v>1</v>
      </c>
    </row>
    <row r="490">
      <c r="A490" t="inlineStr">
        <is>
          <t>港股</t>
        </is>
      </c>
      <c r="B490" t="inlineStr">
        <is>
          <t>00060</t>
        </is>
      </c>
      <c r="C490" t="inlineStr">
        <is>
          <t>HK FOOD INV</t>
        </is>
      </c>
      <c r="D490" t="inlineStr">
        <is>
          <t>大宗交易</t>
        </is>
      </c>
      <c r="E490" t="inlineStr">
        <is>
          <t>东方财富</t>
        </is>
      </c>
      <c r="F490" t="inlineStr">
        <is>
          <t>not-applicable-hk</t>
        </is>
      </c>
      <c r="G490" s="32" t="n">
        <v>46263.25725433244</v>
      </c>
      <c r="I490" t="inlineStr">
        <is>
          <t>HKD</t>
        </is>
      </c>
      <c r="J490" t="inlineStr">
        <is>
          <t>optional_missing</t>
        </is>
      </c>
      <c r="K490" t="inlineStr">
        <is>
          <t>港股大宗交易按允许缺失规则留空</t>
        </is>
      </c>
      <c r="L490" t="b">
        <v>0</v>
      </c>
      <c r="M490" t="inlineStr">
        <is>
          <t>东方财富</t>
        </is>
      </c>
      <c r="N490" t="b">
        <v>1</v>
      </c>
    </row>
    <row r="491">
      <c r="A491" t="inlineStr">
        <is>
          <t>港股</t>
        </is>
      </c>
      <c r="B491" t="inlineStr">
        <is>
          <t>00060</t>
        </is>
      </c>
      <c r="C491" t="inlineStr">
        <is>
          <t>HK FOOD INV</t>
        </is>
      </c>
      <c r="D491" t="inlineStr">
        <is>
          <t>年度财务</t>
        </is>
      </c>
      <c r="E491" t="inlineStr">
        <is>
          <t>东方财富</t>
        </is>
      </c>
      <c r="F491" t="inlineStr">
        <is>
          <t>RPT_HKF10_FN_MAININDICATOR</t>
        </is>
      </c>
      <c r="G491" s="32" t="n">
        <v>46263.25731681995</v>
      </c>
      <c r="H491" t="inlineStr">
        <is>
          <t>HKD</t>
        </is>
      </c>
      <c r="I491" t="inlineStr">
        <is>
          <t>HKD</t>
        </is>
      </c>
      <c r="J491" t="inlineStr">
        <is>
          <t>ok</t>
        </is>
      </c>
      <c r="L491" t="b">
        <v>0</v>
      </c>
      <c r="M491" t="inlineStr">
        <is>
          <t>东方财富</t>
        </is>
      </c>
      <c r="N491" t="b">
        <v>1</v>
      </c>
    </row>
    <row r="492">
      <c r="A492" t="inlineStr">
        <is>
          <t>港股</t>
        </is>
      </c>
      <c r="B492" t="inlineStr">
        <is>
          <t>00060</t>
        </is>
      </c>
      <c r="C492" t="inlineStr">
        <is>
          <t>HK FOOD INV</t>
        </is>
      </c>
      <c r="D492" t="inlineStr">
        <is>
          <t>上市与发行信息</t>
        </is>
      </c>
      <c r="E492" t="inlineStr">
        <is>
          <t>东方财富</t>
        </is>
      </c>
      <c r="F492" t="inlineStr">
        <is>
          <t>RPT_HKF10_INFO_SECURITYINFO</t>
        </is>
      </c>
      <c r="G492" s="32" t="n">
        <v>46263.25737719832</v>
      </c>
      <c r="H492" t="inlineStr">
        <is>
          <t>HKD</t>
        </is>
      </c>
      <c r="I492" t="inlineStr">
        <is>
          <t>HKD</t>
        </is>
      </c>
      <c r="J492" t="inlineStr">
        <is>
          <t>ok</t>
        </is>
      </c>
      <c r="L492" t="b">
        <v>1</v>
      </c>
      <c r="M492" t="inlineStr">
        <is>
          <t>东方财富</t>
        </is>
      </c>
      <c r="N492" t="b">
        <v>1</v>
      </c>
    </row>
    <row r="493">
      <c r="A493" t="inlineStr">
        <is>
          <t>港股</t>
        </is>
      </c>
      <c r="B493" t="inlineStr">
        <is>
          <t>00060</t>
        </is>
      </c>
      <c r="C493" t="inlineStr">
        <is>
          <t>HK FOOD INV</t>
        </is>
      </c>
      <c r="D493" t="inlineStr">
        <is>
          <t>资金流</t>
        </is>
      </c>
      <c r="E493" t="inlineStr">
        <is>
          <t>配置</t>
        </is>
      </c>
      <c r="F493" t="inlineStr">
        <is>
          <t>flow-mode-off</t>
        </is>
      </c>
      <c r="G493" s="32" t="n">
        <v>46263.25754607147</v>
      </c>
      <c r="I493" t="inlineStr">
        <is>
          <t>HKD</t>
        </is>
      </c>
      <c r="J493" t="inlineStr">
        <is>
          <t>optional_missing</t>
        </is>
      </c>
      <c r="K493" t="inlineStr">
        <is>
          <t>用户选择不抓取资金流</t>
        </is>
      </c>
      <c r="L493" t="b">
        <v>0</v>
      </c>
      <c r="M493" t="inlineStr">
        <is>
          <t>配置</t>
        </is>
      </c>
      <c r="N493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6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3" min="1" max="1"/>
    <col width="18" customWidth="1" style="3" min="2" max="2"/>
    <col width="18" customWidth="1" style="3" min="3" max="3"/>
    <col width="18" customWidth="1" style="3" min="4" max="4"/>
    <col width="18" customWidth="1" style="3" min="5" max="5"/>
    <col width="60" customWidth="1" style="3" min="6" max="6"/>
    <col width="18" customWidth="1" style="3" min="7" max="7"/>
    <col width="18" customWidth="1" style="3" min="8" max="8"/>
    <col width="18" customWidth="1" style="3" min="9" max="9"/>
    <col width="18" customWidth="1" style="3" min="10" max="10"/>
    <col width="42" customWidth="1" style="3" min="11" max="11"/>
    <col width="18" customWidth="1" style="3" min="12" max="12"/>
    <col width="18" customWidth="1" style="3" min="13" max="13"/>
  </cols>
  <sheetData>
    <row r="1" ht="34" customHeight="1" s="3">
      <c r="A1" s="30" t="inlineStr">
        <is>
          <t>市场</t>
        </is>
      </c>
      <c r="B1" s="30" t="inlineStr">
        <is>
          <t>证券代码</t>
        </is>
      </c>
      <c r="C1" s="30" t="inlineStr">
        <is>
          <t>公司名称</t>
        </is>
      </c>
      <c r="D1" s="30" t="inlineStr">
        <is>
          <t>字段名</t>
        </is>
      </c>
      <c r="E1" s="30" t="inlineStr">
        <is>
          <t>字段状态</t>
        </is>
      </c>
      <c r="F1" s="30" t="inlineStr">
        <is>
          <t>原因</t>
        </is>
      </c>
      <c r="G1" s="30" t="inlineStr">
        <is>
          <t>是否核心字段</t>
        </is>
      </c>
      <c r="H1" s="30" t="inlineStr">
        <is>
          <t>是否允许为空</t>
        </is>
      </c>
      <c r="I1" s="30" t="inlineStr">
        <is>
          <t>主数据源</t>
        </is>
      </c>
      <c r="J1" s="30" t="inlineStr">
        <is>
          <t>实际数据源</t>
        </is>
      </c>
      <c r="K1" s="30" t="inlineStr">
        <is>
          <t>请求端点</t>
        </is>
      </c>
      <c r="L1" s="30" t="inlineStr">
        <is>
          <t>抓取时间</t>
        </is>
      </c>
      <c r="M1" s="30" t="inlineStr">
        <is>
          <t>缓存命中情况</t>
        </is>
      </c>
    </row>
    <row r="2">
      <c r="A2" t="inlineStr">
        <is>
          <t>A股</t>
        </is>
      </c>
      <c r="B2" t="inlineStr">
        <is>
          <t>000001</t>
        </is>
      </c>
      <c r="C2" t="inlineStr">
        <is>
          <t>平安银行</t>
        </is>
      </c>
      <c r="D2" t="inlineStr">
        <is>
          <t>资金流</t>
        </is>
      </c>
      <c r="E2" t="inlineStr">
        <is>
          <t>optional_missing</t>
        </is>
      </c>
      <c r="F2" t="inlineStr">
        <is>
          <t>用户选择不抓取资金流</t>
        </is>
      </c>
      <c r="G2" t="b">
        <v>0</v>
      </c>
      <c r="H2" t="b">
        <v>1</v>
      </c>
      <c r="I2" t="inlineStr">
        <is>
          <t>配置</t>
        </is>
      </c>
      <c r="J2" t="inlineStr">
        <is>
          <t>配置</t>
        </is>
      </c>
      <c r="K2" t="inlineStr">
        <is>
          <t>flow-mode-off</t>
        </is>
      </c>
      <c r="L2" s="32" t="n">
        <v>46263.25754607147</v>
      </c>
      <c r="M2" t="b">
        <v>0</v>
      </c>
    </row>
    <row r="3">
      <c r="A3" t="inlineStr">
        <is>
          <t>A股</t>
        </is>
      </c>
      <c r="B3" t="inlineStr">
        <is>
          <t>000001</t>
        </is>
      </c>
      <c r="C3" t="inlineStr">
        <is>
          <t>平安银行</t>
        </is>
      </c>
      <c r="D3" t="inlineStr">
        <is>
          <t>近五个交易日资金净额</t>
        </is>
      </c>
      <c r="E3" t="inlineStr">
        <is>
          <t>optional_missing</t>
        </is>
      </c>
      <c r="F3" t="inlineStr">
        <is>
          <t>近五个交易日资金净额：optional_missing</t>
        </is>
      </c>
      <c r="G3" t="b">
        <v>0</v>
      </c>
      <c r="H3" t="b">
        <v>1</v>
      </c>
      <c r="M3" t="b">
        <v>0</v>
      </c>
    </row>
    <row r="4">
      <c r="A4" t="inlineStr">
        <is>
          <t>A股</t>
        </is>
      </c>
      <c r="B4" t="inlineStr">
        <is>
          <t>000001</t>
        </is>
      </c>
      <c r="C4" t="inlineStr">
        <is>
          <t>平安银行</t>
        </is>
      </c>
      <c r="D4" t="inlineStr">
        <is>
          <t>近一月资金净额（最近22个交易日）</t>
        </is>
      </c>
      <c r="E4" t="inlineStr">
        <is>
          <t>optional_missing</t>
        </is>
      </c>
      <c r="F4" t="inlineStr">
        <is>
          <t>近一月资金净额（最近22个交易日）：optional_missing</t>
        </is>
      </c>
      <c r="G4" t="b">
        <v>0</v>
      </c>
      <c r="H4" t="b">
        <v>1</v>
      </c>
      <c r="M4" t="b">
        <v>0</v>
      </c>
    </row>
    <row r="5">
      <c r="A5" t="inlineStr">
        <is>
          <t>港股</t>
        </is>
      </c>
      <c r="B5" t="inlineStr">
        <is>
          <t>00001</t>
        </is>
      </c>
      <c r="C5" t="inlineStr">
        <is>
          <t>CKH HOLDINGS</t>
        </is>
      </c>
      <c r="D5" t="inlineStr">
        <is>
          <t>大宗交易</t>
        </is>
      </c>
      <c r="E5" t="inlineStr">
        <is>
          <t>optional_missing</t>
        </is>
      </c>
      <c r="F5" t="inlineStr">
        <is>
          <t>港股大宗交易按允许缺失规则留空</t>
        </is>
      </c>
      <c r="G5" t="b">
        <v>0</v>
      </c>
      <c r="H5" t="b">
        <v>1</v>
      </c>
      <c r="I5" t="inlineStr">
        <is>
          <t>东方财富</t>
        </is>
      </c>
      <c r="J5" t="inlineStr">
        <is>
          <t>东方财富</t>
        </is>
      </c>
      <c r="K5" t="inlineStr">
        <is>
          <t>not-applicable-hk</t>
        </is>
      </c>
      <c r="L5" s="32" t="n">
        <v>46263.25725432087</v>
      </c>
      <c r="M5" t="b">
        <v>1</v>
      </c>
    </row>
    <row r="6">
      <c r="A6" t="inlineStr">
        <is>
          <t>港股</t>
        </is>
      </c>
      <c r="B6" t="inlineStr">
        <is>
          <t>00001</t>
        </is>
      </c>
      <c r="C6" t="inlineStr">
        <is>
          <t>CKH HOLDINGS</t>
        </is>
      </c>
      <c r="D6" t="inlineStr">
        <is>
          <t>资金流</t>
        </is>
      </c>
      <c r="E6" t="inlineStr">
        <is>
          <t>optional_missing</t>
        </is>
      </c>
      <c r="F6" t="inlineStr">
        <is>
          <t>用户选择不抓取资金流</t>
        </is>
      </c>
      <c r="G6" t="b">
        <v>0</v>
      </c>
      <c r="H6" t="b">
        <v>1</v>
      </c>
      <c r="I6" t="inlineStr">
        <is>
          <t>配置</t>
        </is>
      </c>
      <c r="J6" t="inlineStr">
        <is>
          <t>配置</t>
        </is>
      </c>
      <c r="K6" t="inlineStr">
        <is>
          <t>flow-mode-off</t>
        </is>
      </c>
      <c r="L6" s="32" t="n">
        <v>46263.25754607147</v>
      </c>
      <c r="M6" t="b">
        <v>0</v>
      </c>
    </row>
    <row r="7">
      <c r="A7" t="inlineStr">
        <is>
          <t>港股</t>
        </is>
      </c>
      <c r="B7" t="inlineStr">
        <is>
          <t>00001</t>
        </is>
      </c>
      <c r="C7" t="inlineStr">
        <is>
          <t>CKH HOLDINGS</t>
        </is>
      </c>
      <c r="D7" t="inlineStr">
        <is>
          <t>市值增长率</t>
        </is>
      </c>
      <c r="E7" t="inlineStr">
        <is>
          <t>missing</t>
        </is>
      </c>
      <c r="F7" t="inlineStr">
        <is>
          <t>市值增长率：missing</t>
        </is>
      </c>
      <c r="G7" t="b">
        <v>0</v>
      </c>
      <c r="H7" t="b">
        <v>1</v>
      </c>
      <c r="M7" t="b">
        <v>0</v>
      </c>
    </row>
    <row r="8">
      <c r="A8" t="inlineStr">
        <is>
          <t>港股</t>
        </is>
      </c>
      <c r="B8" t="inlineStr">
        <is>
          <t>00001</t>
        </is>
      </c>
      <c r="C8" t="inlineStr">
        <is>
          <t>CKH HOLDINGS</t>
        </is>
      </c>
      <c r="D8" t="inlineStr">
        <is>
          <t>发行价</t>
        </is>
      </c>
      <c r="E8" t="inlineStr">
        <is>
          <t>optional_missing</t>
        </is>
      </c>
      <c r="F8" t="inlineStr">
        <is>
          <t>发行价：optional_missing</t>
        </is>
      </c>
      <c r="G8" t="b">
        <v>0</v>
      </c>
      <c r="H8" t="b">
        <v>1</v>
      </c>
      <c r="M8" t="b">
        <v>0</v>
      </c>
    </row>
    <row r="9">
      <c r="A9" t="inlineStr">
        <is>
          <t>港股</t>
        </is>
      </c>
      <c r="B9" t="inlineStr">
        <is>
          <t>00001</t>
        </is>
      </c>
      <c r="C9" t="inlineStr">
        <is>
          <t>CKH HOLDINGS</t>
        </is>
      </c>
      <c r="D9" t="inlineStr">
        <is>
          <t>发行股数</t>
        </is>
      </c>
      <c r="E9" t="inlineStr">
        <is>
          <t>optional_missing</t>
        </is>
      </c>
      <c r="F9" t="inlineStr">
        <is>
          <t>发行股数：optional_missing</t>
        </is>
      </c>
      <c r="G9" t="b">
        <v>0</v>
      </c>
      <c r="H9" t="b">
        <v>1</v>
      </c>
      <c r="M9" t="b">
        <v>0</v>
      </c>
    </row>
    <row r="10">
      <c r="A10" t="inlineStr">
        <is>
          <t>港股</t>
        </is>
      </c>
      <c r="B10" t="inlineStr">
        <is>
          <t>00001</t>
        </is>
      </c>
      <c r="C10" t="inlineStr">
        <is>
          <t>CKH HOLDINGS</t>
        </is>
      </c>
      <c r="D10" t="inlineStr">
        <is>
          <t>发行时总市值</t>
        </is>
      </c>
      <c r="E10" t="inlineStr">
        <is>
          <t>optional_missing</t>
        </is>
      </c>
      <c r="F10" t="inlineStr">
        <is>
          <t>发行时总市值：optional_missing</t>
        </is>
      </c>
      <c r="G10" t="b">
        <v>0</v>
      </c>
      <c r="H10" t="b">
        <v>1</v>
      </c>
      <c r="M10" t="b">
        <v>0</v>
      </c>
    </row>
    <row r="11">
      <c r="A11" t="inlineStr">
        <is>
          <t>港股</t>
        </is>
      </c>
      <c r="B11" t="inlineStr">
        <is>
          <t>00001</t>
        </is>
      </c>
      <c r="C11" t="inlineStr">
        <is>
          <t>CKH HOLDINGS</t>
        </is>
      </c>
      <c r="D11" t="inlineStr">
        <is>
          <t>当年累计大宗交易笔数</t>
        </is>
      </c>
      <c r="E11" t="inlineStr">
        <is>
          <t>optional_missing</t>
        </is>
      </c>
      <c r="F11" t="inlineStr">
        <is>
          <t>当年累计大宗交易笔数：optional_missing</t>
        </is>
      </c>
      <c r="G11" t="b">
        <v>0</v>
      </c>
      <c r="H11" t="b">
        <v>1</v>
      </c>
      <c r="M11" t="b">
        <v>0</v>
      </c>
    </row>
    <row r="12">
      <c r="A12" t="inlineStr">
        <is>
          <t>港股</t>
        </is>
      </c>
      <c r="B12" t="inlineStr">
        <is>
          <t>00001</t>
        </is>
      </c>
      <c r="C12" t="inlineStr">
        <is>
          <t>CKH HOLDINGS</t>
        </is>
      </c>
      <c r="D12" t="inlineStr">
        <is>
          <t>当年累计大宗交易金额</t>
        </is>
      </c>
      <c r="E12" t="inlineStr">
        <is>
          <t>optional_missing</t>
        </is>
      </c>
      <c r="F12" t="inlineStr">
        <is>
          <t>当年累计大宗交易金额：optional_missing</t>
        </is>
      </c>
      <c r="G12" t="b">
        <v>0</v>
      </c>
      <c r="H12" t="b">
        <v>1</v>
      </c>
      <c r="M12" t="b">
        <v>0</v>
      </c>
    </row>
    <row r="13">
      <c r="A13" t="inlineStr">
        <is>
          <t>港股</t>
        </is>
      </c>
      <c r="B13" t="inlineStr">
        <is>
          <t>00001</t>
        </is>
      </c>
      <c r="C13" t="inlineStr">
        <is>
          <t>CKH HOLDINGS</t>
        </is>
      </c>
      <c r="D13" t="inlineStr">
        <is>
          <t>近五个交易日资金净额</t>
        </is>
      </c>
      <c r="E13" t="inlineStr">
        <is>
          <t>optional_missing</t>
        </is>
      </c>
      <c r="F13" t="inlineStr">
        <is>
          <t>近五个交易日资金净额：optional_missing</t>
        </is>
      </c>
      <c r="G13" t="b">
        <v>0</v>
      </c>
      <c r="H13" t="b">
        <v>1</v>
      </c>
      <c r="M13" t="b">
        <v>0</v>
      </c>
    </row>
    <row r="14">
      <c r="A14" t="inlineStr">
        <is>
          <t>港股</t>
        </is>
      </c>
      <c r="B14" t="inlineStr">
        <is>
          <t>00001</t>
        </is>
      </c>
      <c r="C14" t="inlineStr">
        <is>
          <t>CKH HOLDINGS</t>
        </is>
      </c>
      <c r="D14" t="inlineStr">
        <is>
          <t>近一月资金净额（最近22个交易日）</t>
        </is>
      </c>
      <c r="E14" t="inlineStr">
        <is>
          <t>optional_missing</t>
        </is>
      </c>
      <c r="F14" t="inlineStr">
        <is>
          <t>近一月资金净额（最近22个交易日）：optional_missing</t>
        </is>
      </c>
      <c r="G14" t="b">
        <v>0</v>
      </c>
      <c r="H14" t="b">
        <v>1</v>
      </c>
      <c r="M14" t="b">
        <v>0</v>
      </c>
    </row>
    <row r="15">
      <c r="A15" t="inlineStr">
        <is>
          <t>A股</t>
        </is>
      </c>
      <c r="B15" t="inlineStr">
        <is>
          <t>000002</t>
        </is>
      </c>
      <c r="C15" t="inlineStr">
        <is>
          <t>万科Ａ</t>
        </is>
      </c>
      <c r="D15" t="inlineStr">
        <is>
          <t>资金流</t>
        </is>
      </c>
      <c r="E15" t="inlineStr">
        <is>
          <t>optional_missing</t>
        </is>
      </c>
      <c r="F15" t="inlineStr">
        <is>
          <t>用户选择不抓取资金流</t>
        </is>
      </c>
      <c r="G15" t="b">
        <v>0</v>
      </c>
      <c r="H15" t="b">
        <v>1</v>
      </c>
      <c r="I15" t="inlineStr">
        <is>
          <t>配置</t>
        </is>
      </c>
      <c r="J15" t="inlineStr">
        <is>
          <t>配置</t>
        </is>
      </c>
      <c r="K15" t="inlineStr">
        <is>
          <t>flow-mode-off</t>
        </is>
      </c>
      <c r="L15" s="32" t="n">
        <v>46263.25754607147</v>
      </c>
      <c r="M15" t="b">
        <v>0</v>
      </c>
    </row>
    <row r="16">
      <c r="A16" t="inlineStr">
        <is>
          <t>A股</t>
        </is>
      </c>
      <c r="B16" t="inlineStr">
        <is>
          <t>000002</t>
        </is>
      </c>
      <c r="C16" t="inlineStr">
        <is>
          <t>万科Ａ</t>
        </is>
      </c>
      <c r="D16" t="inlineStr">
        <is>
          <t>近五个交易日资金净额</t>
        </is>
      </c>
      <c r="E16" t="inlineStr">
        <is>
          <t>optional_missing</t>
        </is>
      </c>
      <c r="F16" t="inlineStr">
        <is>
          <t>近五个交易日资金净额：optional_missing</t>
        </is>
      </c>
      <c r="G16" t="b">
        <v>0</v>
      </c>
      <c r="H16" t="b">
        <v>1</v>
      </c>
      <c r="M16" t="b">
        <v>0</v>
      </c>
    </row>
    <row r="17">
      <c r="A17" t="inlineStr">
        <is>
          <t>A股</t>
        </is>
      </c>
      <c r="B17" t="inlineStr">
        <is>
          <t>000002</t>
        </is>
      </c>
      <c r="C17" t="inlineStr">
        <is>
          <t>万科Ａ</t>
        </is>
      </c>
      <c r="D17" t="inlineStr">
        <is>
          <t>近一月资金净额（最近22个交易日）</t>
        </is>
      </c>
      <c r="E17" t="inlineStr">
        <is>
          <t>optional_missing</t>
        </is>
      </c>
      <c r="F17" t="inlineStr">
        <is>
          <t>近一月资金净额（最近22个交易日）：optional_missing</t>
        </is>
      </c>
      <c r="G17" t="b">
        <v>0</v>
      </c>
      <c r="H17" t="b">
        <v>1</v>
      </c>
      <c r="M17" t="b">
        <v>0</v>
      </c>
    </row>
    <row r="18">
      <c r="A18" t="inlineStr">
        <is>
          <t>港股</t>
        </is>
      </c>
      <c r="B18" t="inlineStr">
        <is>
          <t>00002</t>
        </is>
      </c>
      <c r="C18" t="inlineStr">
        <is>
          <t>CLP HOLDINGS</t>
        </is>
      </c>
      <c r="D18" t="inlineStr">
        <is>
          <t>大宗交易</t>
        </is>
      </c>
      <c r="E18" t="inlineStr">
        <is>
          <t>optional_missing</t>
        </is>
      </c>
      <c r="F18" t="inlineStr">
        <is>
          <t>港股大宗交易按允许缺失规则留空</t>
        </is>
      </c>
      <c r="G18" t="b">
        <v>0</v>
      </c>
      <c r="H18" t="b">
        <v>1</v>
      </c>
      <c r="I18" t="inlineStr">
        <is>
          <t>东方财富</t>
        </is>
      </c>
      <c r="J18" t="inlineStr">
        <is>
          <t>东方财富</t>
        </is>
      </c>
      <c r="K18" t="inlineStr">
        <is>
          <t>not-applicable-hk</t>
        </is>
      </c>
      <c r="L18" s="32" t="n">
        <v>46263.25725432087</v>
      </c>
      <c r="M18" t="b">
        <v>1</v>
      </c>
    </row>
    <row r="19">
      <c r="A19" t="inlineStr">
        <is>
          <t>港股</t>
        </is>
      </c>
      <c r="B19" t="inlineStr">
        <is>
          <t>00002</t>
        </is>
      </c>
      <c r="C19" t="inlineStr">
        <is>
          <t>CLP HOLDINGS</t>
        </is>
      </c>
      <c r="D19" t="inlineStr">
        <is>
          <t>资金流</t>
        </is>
      </c>
      <c r="E19" t="inlineStr">
        <is>
          <t>optional_missing</t>
        </is>
      </c>
      <c r="F19" t="inlineStr">
        <is>
          <t>用户选择不抓取资金流</t>
        </is>
      </c>
      <c r="G19" t="b">
        <v>0</v>
      </c>
      <c r="H19" t="b">
        <v>1</v>
      </c>
      <c r="I19" t="inlineStr">
        <is>
          <t>配置</t>
        </is>
      </c>
      <c r="J19" t="inlineStr">
        <is>
          <t>配置</t>
        </is>
      </c>
      <c r="K19" t="inlineStr">
        <is>
          <t>flow-mode-off</t>
        </is>
      </c>
      <c r="L19" s="32" t="n">
        <v>46263.25754607147</v>
      </c>
      <c r="M19" t="b">
        <v>0</v>
      </c>
    </row>
    <row r="20">
      <c r="A20" t="inlineStr">
        <is>
          <t>港股</t>
        </is>
      </c>
      <c r="B20" t="inlineStr">
        <is>
          <t>00002</t>
        </is>
      </c>
      <c r="C20" t="inlineStr">
        <is>
          <t>CLP HOLDINGS</t>
        </is>
      </c>
      <c r="D20" t="inlineStr">
        <is>
          <t>市值增长率</t>
        </is>
      </c>
      <c r="E20" t="inlineStr">
        <is>
          <t>missing</t>
        </is>
      </c>
      <c r="F20" t="inlineStr">
        <is>
          <t>市值增长率：missing</t>
        </is>
      </c>
      <c r="G20" t="b">
        <v>0</v>
      </c>
      <c r="H20" t="b">
        <v>1</v>
      </c>
      <c r="M20" t="b">
        <v>0</v>
      </c>
    </row>
    <row r="21">
      <c r="A21" t="inlineStr">
        <is>
          <t>港股</t>
        </is>
      </c>
      <c r="B21" t="inlineStr">
        <is>
          <t>00002</t>
        </is>
      </c>
      <c r="C21" t="inlineStr">
        <is>
          <t>CLP HOLDINGS</t>
        </is>
      </c>
      <c r="D21" t="inlineStr">
        <is>
          <t>发行价</t>
        </is>
      </c>
      <c r="E21" t="inlineStr">
        <is>
          <t>optional_missing</t>
        </is>
      </c>
      <c r="F21" t="inlineStr">
        <is>
          <t>发行价：optional_missing</t>
        </is>
      </c>
      <c r="G21" t="b">
        <v>0</v>
      </c>
      <c r="H21" t="b">
        <v>1</v>
      </c>
      <c r="M21" t="b">
        <v>0</v>
      </c>
    </row>
    <row r="22">
      <c r="A22" t="inlineStr">
        <is>
          <t>港股</t>
        </is>
      </c>
      <c r="B22" t="inlineStr">
        <is>
          <t>00002</t>
        </is>
      </c>
      <c r="C22" t="inlineStr">
        <is>
          <t>CLP HOLDINGS</t>
        </is>
      </c>
      <c r="D22" t="inlineStr">
        <is>
          <t>发行股数</t>
        </is>
      </c>
      <c r="E22" t="inlineStr">
        <is>
          <t>optional_missing</t>
        </is>
      </c>
      <c r="F22" t="inlineStr">
        <is>
          <t>发行股数：optional_missing</t>
        </is>
      </c>
      <c r="G22" t="b">
        <v>0</v>
      </c>
      <c r="H22" t="b">
        <v>1</v>
      </c>
      <c r="M22" t="b">
        <v>0</v>
      </c>
    </row>
    <row r="23">
      <c r="A23" t="inlineStr">
        <is>
          <t>港股</t>
        </is>
      </c>
      <c r="B23" t="inlineStr">
        <is>
          <t>00002</t>
        </is>
      </c>
      <c r="C23" t="inlineStr">
        <is>
          <t>CLP HOLDINGS</t>
        </is>
      </c>
      <c r="D23" t="inlineStr">
        <is>
          <t>发行时总市值</t>
        </is>
      </c>
      <c r="E23" t="inlineStr">
        <is>
          <t>optional_missing</t>
        </is>
      </c>
      <c r="F23" t="inlineStr">
        <is>
          <t>发行时总市值：optional_missing</t>
        </is>
      </c>
      <c r="G23" t="b">
        <v>0</v>
      </c>
      <c r="H23" t="b">
        <v>1</v>
      </c>
      <c r="M23" t="b">
        <v>0</v>
      </c>
    </row>
    <row r="24">
      <c r="A24" t="inlineStr">
        <is>
          <t>港股</t>
        </is>
      </c>
      <c r="B24" t="inlineStr">
        <is>
          <t>00002</t>
        </is>
      </c>
      <c r="C24" t="inlineStr">
        <is>
          <t>CLP HOLDINGS</t>
        </is>
      </c>
      <c r="D24" t="inlineStr">
        <is>
          <t>当年累计大宗交易笔数</t>
        </is>
      </c>
      <c r="E24" t="inlineStr">
        <is>
          <t>optional_missing</t>
        </is>
      </c>
      <c r="F24" t="inlineStr">
        <is>
          <t>当年累计大宗交易笔数：optional_missing</t>
        </is>
      </c>
      <c r="G24" t="b">
        <v>0</v>
      </c>
      <c r="H24" t="b">
        <v>1</v>
      </c>
      <c r="M24" t="b">
        <v>0</v>
      </c>
    </row>
    <row r="25">
      <c r="A25" t="inlineStr">
        <is>
          <t>港股</t>
        </is>
      </c>
      <c r="B25" t="inlineStr">
        <is>
          <t>00002</t>
        </is>
      </c>
      <c r="C25" t="inlineStr">
        <is>
          <t>CLP HOLDINGS</t>
        </is>
      </c>
      <c r="D25" t="inlineStr">
        <is>
          <t>当年累计大宗交易金额</t>
        </is>
      </c>
      <c r="E25" t="inlineStr">
        <is>
          <t>optional_missing</t>
        </is>
      </c>
      <c r="F25" t="inlineStr">
        <is>
          <t>当年累计大宗交易金额：optional_missing</t>
        </is>
      </c>
      <c r="G25" t="b">
        <v>0</v>
      </c>
      <c r="H25" t="b">
        <v>1</v>
      </c>
      <c r="M25" t="b">
        <v>0</v>
      </c>
    </row>
    <row r="26">
      <c r="A26" t="inlineStr">
        <is>
          <t>港股</t>
        </is>
      </c>
      <c r="B26" t="inlineStr">
        <is>
          <t>00002</t>
        </is>
      </c>
      <c r="C26" t="inlineStr">
        <is>
          <t>CLP HOLDINGS</t>
        </is>
      </c>
      <c r="D26" t="inlineStr">
        <is>
          <t>近五个交易日资金净额</t>
        </is>
      </c>
      <c r="E26" t="inlineStr">
        <is>
          <t>optional_missing</t>
        </is>
      </c>
      <c r="F26" t="inlineStr">
        <is>
          <t>近五个交易日资金净额：optional_missing</t>
        </is>
      </c>
      <c r="G26" t="b">
        <v>0</v>
      </c>
      <c r="H26" t="b">
        <v>1</v>
      </c>
      <c r="M26" t="b">
        <v>0</v>
      </c>
    </row>
    <row r="27">
      <c r="A27" t="inlineStr">
        <is>
          <t>港股</t>
        </is>
      </c>
      <c r="B27" t="inlineStr">
        <is>
          <t>00002</t>
        </is>
      </c>
      <c r="C27" t="inlineStr">
        <is>
          <t>CLP HOLDINGS</t>
        </is>
      </c>
      <c r="D27" t="inlineStr">
        <is>
          <t>近一月资金净额（最近22个交易日）</t>
        </is>
      </c>
      <c r="E27" t="inlineStr">
        <is>
          <t>optional_missing</t>
        </is>
      </c>
      <c r="F27" t="inlineStr">
        <is>
          <t>近一月资金净额（最近22个交易日）：optional_missing</t>
        </is>
      </c>
      <c r="G27" t="b">
        <v>0</v>
      </c>
      <c r="H27" t="b">
        <v>1</v>
      </c>
      <c r="M27" t="b">
        <v>0</v>
      </c>
    </row>
    <row r="28">
      <c r="A28" t="inlineStr">
        <is>
          <t>A股</t>
        </is>
      </c>
      <c r="B28" t="inlineStr">
        <is>
          <t>000006</t>
        </is>
      </c>
      <c r="C28" t="inlineStr">
        <is>
          <t>深振业Ａ</t>
        </is>
      </c>
      <c r="D28" t="inlineStr">
        <is>
          <t>资金流</t>
        </is>
      </c>
      <c r="E28" t="inlineStr">
        <is>
          <t>optional_missing</t>
        </is>
      </c>
      <c r="F28" t="inlineStr">
        <is>
          <t>用户选择不抓取资金流</t>
        </is>
      </c>
      <c r="G28" t="b">
        <v>0</v>
      </c>
      <c r="H28" t="b">
        <v>1</v>
      </c>
      <c r="I28" t="inlineStr">
        <is>
          <t>配置</t>
        </is>
      </c>
      <c r="J28" t="inlineStr">
        <is>
          <t>配置</t>
        </is>
      </c>
      <c r="K28" t="inlineStr">
        <is>
          <t>flow-mode-off</t>
        </is>
      </c>
      <c r="L28" s="32" t="n">
        <v>46263.25754607147</v>
      </c>
      <c r="M28" t="b">
        <v>0</v>
      </c>
    </row>
    <row r="29">
      <c r="A29" t="inlineStr">
        <is>
          <t>A股</t>
        </is>
      </c>
      <c r="B29" t="inlineStr">
        <is>
          <t>000006</t>
        </is>
      </c>
      <c r="C29" t="inlineStr">
        <is>
          <t>深振业Ａ</t>
        </is>
      </c>
      <c r="D29" t="inlineStr">
        <is>
          <t>近五个交易日资金净额</t>
        </is>
      </c>
      <c r="E29" t="inlineStr">
        <is>
          <t>optional_missing</t>
        </is>
      </c>
      <c r="F29" t="inlineStr">
        <is>
          <t>近五个交易日资金净额：optional_missing</t>
        </is>
      </c>
      <c r="G29" t="b">
        <v>0</v>
      </c>
      <c r="H29" t="b">
        <v>1</v>
      </c>
      <c r="M29" t="b">
        <v>0</v>
      </c>
    </row>
    <row r="30">
      <c r="A30" t="inlineStr">
        <is>
          <t>A股</t>
        </is>
      </c>
      <c r="B30" t="inlineStr">
        <is>
          <t>000006</t>
        </is>
      </c>
      <c r="C30" t="inlineStr">
        <is>
          <t>深振业Ａ</t>
        </is>
      </c>
      <c r="D30" t="inlineStr">
        <is>
          <t>近一月资金净额（最近22个交易日）</t>
        </is>
      </c>
      <c r="E30" t="inlineStr">
        <is>
          <t>optional_missing</t>
        </is>
      </c>
      <c r="F30" t="inlineStr">
        <is>
          <t>近一月资金净额（最近22个交易日）：optional_missing</t>
        </is>
      </c>
      <c r="G30" t="b">
        <v>0</v>
      </c>
      <c r="H30" t="b">
        <v>1</v>
      </c>
      <c r="M30" t="b">
        <v>0</v>
      </c>
    </row>
    <row r="31">
      <c r="A31" t="inlineStr">
        <is>
          <t>港股</t>
        </is>
      </c>
      <c r="B31" t="inlineStr">
        <is>
          <t>00003</t>
        </is>
      </c>
      <c r="C31" t="inlineStr">
        <is>
          <t>HK &amp; CHINA GAS</t>
        </is>
      </c>
      <c r="D31" t="inlineStr">
        <is>
          <t>大宗交易</t>
        </is>
      </c>
      <c r="E31" t="inlineStr">
        <is>
          <t>optional_missing</t>
        </is>
      </c>
      <c r="F31" t="inlineStr">
        <is>
          <t>港股大宗交易按允许缺失规则留空</t>
        </is>
      </c>
      <c r="G31" t="b">
        <v>0</v>
      </c>
      <c r="H31" t="b">
        <v>1</v>
      </c>
      <c r="I31" t="inlineStr">
        <is>
          <t>东方财富</t>
        </is>
      </c>
      <c r="J31" t="inlineStr">
        <is>
          <t>东方财富</t>
        </is>
      </c>
      <c r="K31" t="inlineStr">
        <is>
          <t>not-applicable-hk</t>
        </is>
      </c>
      <c r="L31" s="32" t="n">
        <v>46263.25725432087</v>
      </c>
      <c r="M31" t="b">
        <v>1</v>
      </c>
    </row>
    <row r="32">
      <c r="A32" t="inlineStr">
        <is>
          <t>港股</t>
        </is>
      </c>
      <c r="B32" t="inlineStr">
        <is>
          <t>00003</t>
        </is>
      </c>
      <c r="C32" t="inlineStr">
        <is>
          <t>HK &amp; CHINA GAS</t>
        </is>
      </c>
      <c r="D32" t="inlineStr">
        <is>
          <t>资金流</t>
        </is>
      </c>
      <c r="E32" t="inlineStr">
        <is>
          <t>optional_missing</t>
        </is>
      </c>
      <c r="F32" t="inlineStr">
        <is>
          <t>用户选择不抓取资金流</t>
        </is>
      </c>
      <c r="G32" t="b">
        <v>0</v>
      </c>
      <c r="H32" t="b">
        <v>1</v>
      </c>
      <c r="I32" t="inlineStr">
        <is>
          <t>配置</t>
        </is>
      </c>
      <c r="J32" t="inlineStr">
        <is>
          <t>配置</t>
        </is>
      </c>
      <c r="K32" t="inlineStr">
        <is>
          <t>flow-mode-off</t>
        </is>
      </c>
      <c r="L32" s="32" t="n">
        <v>46263.25754607147</v>
      </c>
      <c r="M32" t="b">
        <v>0</v>
      </c>
    </row>
    <row r="33">
      <c r="A33" t="inlineStr">
        <is>
          <t>港股</t>
        </is>
      </c>
      <c r="B33" t="inlineStr">
        <is>
          <t>00003</t>
        </is>
      </c>
      <c r="C33" t="inlineStr">
        <is>
          <t>HK &amp; CHINA GAS</t>
        </is>
      </c>
      <c r="D33" t="inlineStr">
        <is>
          <t>市值增长率</t>
        </is>
      </c>
      <c r="E33" t="inlineStr">
        <is>
          <t>missing</t>
        </is>
      </c>
      <c r="F33" t="inlineStr">
        <is>
          <t>市值增长率：missing</t>
        </is>
      </c>
      <c r="G33" t="b">
        <v>0</v>
      </c>
      <c r="H33" t="b">
        <v>1</v>
      </c>
      <c r="M33" t="b">
        <v>0</v>
      </c>
    </row>
    <row r="34">
      <c r="A34" t="inlineStr">
        <is>
          <t>港股</t>
        </is>
      </c>
      <c r="B34" t="inlineStr">
        <is>
          <t>00003</t>
        </is>
      </c>
      <c r="C34" t="inlineStr">
        <is>
          <t>HK &amp; CHINA GAS</t>
        </is>
      </c>
      <c r="D34" t="inlineStr">
        <is>
          <t>发行价</t>
        </is>
      </c>
      <c r="E34" t="inlineStr">
        <is>
          <t>optional_missing</t>
        </is>
      </c>
      <c r="F34" t="inlineStr">
        <is>
          <t>发行价：optional_missing</t>
        </is>
      </c>
      <c r="G34" t="b">
        <v>0</v>
      </c>
      <c r="H34" t="b">
        <v>1</v>
      </c>
      <c r="M34" t="b">
        <v>0</v>
      </c>
    </row>
    <row r="35">
      <c r="A35" t="inlineStr">
        <is>
          <t>港股</t>
        </is>
      </c>
      <c r="B35" t="inlineStr">
        <is>
          <t>00003</t>
        </is>
      </c>
      <c r="C35" t="inlineStr">
        <is>
          <t>HK &amp; CHINA GAS</t>
        </is>
      </c>
      <c r="D35" t="inlineStr">
        <is>
          <t>发行股数</t>
        </is>
      </c>
      <c r="E35" t="inlineStr">
        <is>
          <t>optional_missing</t>
        </is>
      </c>
      <c r="F35" t="inlineStr">
        <is>
          <t>发行股数：optional_missing</t>
        </is>
      </c>
      <c r="G35" t="b">
        <v>0</v>
      </c>
      <c r="H35" t="b">
        <v>1</v>
      </c>
      <c r="M35" t="b">
        <v>0</v>
      </c>
    </row>
    <row r="36">
      <c r="A36" t="inlineStr">
        <is>
          <t>港股</t>
        </is>
      </c>
      <c r="B36" t="inlineStr">
        <is>
          <t>00003</t>
        </is>
      </c>
      <c r="C36" t="inlineStr">
        <is>
          <t>HK &amp; CHINA GAS</t>
        </is>
      </c>
      <c r="D36" t="inlineStr">
        <is>
          <t>发行时总市值</t>
        </is>
      </c>
      <c r="E36" t="inlineStr">
        <is>
          <t>optional_missing</t>
        </is>
      </c>
      <c r="F36" t="inlineStr">
        <is>
          <t>发行时总市值：optional_missing</t>
        </is>
      </c>
      <c r="G36" t="b">
        <v>0</v>
      </c>
      <c r="H36" t="b">
        <v>1</v>
      </c>
      <c r="M36" t="b">
        <v>0</v>
      </c>
    </row>
    <row r="37">
      <c r="A37" t="inlineStr">
        <is>
          <t>港股</t>
        </is>
      </c>
      <c r="B37" t="inlineStr">
        <is>
          <t>00003</t>
        </is>
      </c>
      <c r="C37" t="inlineStr">
        <is>
          <t>HK &amp; CHINA GAS</t>
        </is>
      </c>
      <c r="D37" t="inlineStr">
        <is>
          <t>当年累计大宗交易笔数</t>
        </is>
      </c>
      <c r="E37" t="inlineStr">
        <is>
          <t>optional_missing</t>
        </is>
      </c>
      <c r="F37" t="inlineStr">
        <is>
          <t>当年累计大宗交易笔数：optional_missing</t>
        </is>
      </c>
      <c r="G37" t="b">
        <v>0</v>
      </c>
      <c r="H37" t="b">
        <v>1</v>
      </c>
      <c r="M37" t="b">
        <v>0</v>
      </c>
    </row>
    <row r="38">
      <c r="A38" t="inlineStr">
        <is>
          <t>港股</t>
        </is>
      </c>
      <c r="B38" t="inlineStr">
        <is>
          <t>00003</t>
        </is>
      </c>
      <c r="C38" t="inlineStr">
        <is>
          <t>HK &amp; CHINA GAS</t>
        </is>
      </c>
      <c r="D38" t="inlineStr">
        <is>
          <t>当年累计大宗交易金额</t>
        </is>
      </c>
      <c r="E38" t="inlineStr">
        <is>
          <t>optional_missing</t>
        </is>
      </c>
      <c r="F38" t="inlineStr">
        <is>
          <t>当年累计大宗交易金额：optional_missing</t>
        </is>
      </c>
      <c r="G38" t="b">
        <v>0</v>
      </c>
      <c r="H38" t="b">
        <v>1</v>
      </c>
      <c r="M38" t="b">
        <v>0</v>
      </c>
    </row>
    <row r="39">
      <c r="A39" t="inlineStr">
        <is>
          <t>港股</t>
        </is>
      </c>
      <c r="B39" t="inlineStr">
        <is>
          <t>00003</t>
        </is>
      </c>
      <c r="C39" t="inlineStr">
        <is>
          <t>HK &amp; CHINA GAS</t>
        </is>
      </c>
      <c r="D39" t="inlineStr">
        <is>
          <t>近五个交易日资金净额</t>
        </is>
      </c>
      <c r="E39" t="inlineStr">
        <is>
          <t>optional_missing</t>
        </is>
      </c>
      <c r="F39" t="inlineStr">
        <is>
          <t>近五个交易日资金净额：optional_missing</t>
        </is>
      </c>
      <c r="G39" t="b">
        <v>0</v>
      </c>
      <c r="H39" t="b">
        <v>1</v>
      </c>
      <c r="M39" t="b">
        <v>0</v>
      </c>
    </row>
    <row r="40">
      <c r="A40" t="inlineStr">
        <is>
          <t>港股</t>
        </is>
      </c>
      <c r="B40" t="inlineStr">
        <is>
          <t>00003</t>
        </is>
      </c>
      <c r="C40" t="inlineStr">
        <is>
          <t>HK &amp; CHINA GAS</t>
        </is>
      </c>
      <c r="D40" t="inlineStr">
        <is>
          <t>近一月资金净额（最近22个交易日）</t>
        </is>
      </c>
      <c r="E40" t="inlineStr">
        <is>
          <t>optional_missing</t>
        </is>
      </c>
      <c r="F40" t="inlineStr">
        <is>
          <t>近一月资金净额（最近22个交易日）：optional_missing</t>
        </is>
      </c>
      <c r="G40" t="b">
        <v>0</v>
      </c>
      <c r="H40" t="b">
        <v>1</v>
      </c>
      <c r="M40" t="b">
        <v>0</v>
      </c>
    </row>
    <row r="41">
      <c r="A41" t="inlineStr">
        <is>
          <t>A股</t>
        </is>
      </c>
      <c r="B41" t="inlineStr">
        <is>
          <t>000007</t>
        </is>
      </c>
      <c r="C41" t="inlineStr">
        <is>
          <t>全新好</t>
        </is>
      </c>
      <c r="D41" t="inlineStr">
        <is>
          <t>资金流</t>
        </is>
      </c>
      <c r="E41" t="inlineStr">
        <is>
          <t>optional_missing</t>
        </is>
      </c>
      <c r="F41" t="inlineStr">
        <is>
          <t>用户选择不抓取资金流</t>
        </is>
      </c>
      <c r="G41" t="b">
        <v>0</v>
      </c>
      <c r="H41" t="b">
        <v>1</v>
      </c>
      <c r="I41" t="inlineStr">
        <is>
          <t>配置</t>
        </is>
      </c>
      <c r="J41" t="inlineStr">
        <is>
          <t>配置</t>
        </is>
      </c>
      <c r="K41" t="inlineStr">
        <is>
          <t>flow-mode-off</t>
        </is>
      </c>
      <c r="L41" s="32" t="n">
        <v>46263.25754607147</v>
      </c>
      <c r="M41" t="b">
        <v>0</v>
      </c>
    </row>
    <row r="42">
      <c r="A42" t="inlineStr">
        <is>
          <t>A股</t>
        </is>
      </c>
      <c r="B42" t="inlineStr">
        <is>
          <t>000007</t>
        </is>
      </c>
      <c r="C42" t="inlineStr">
        <is>
          <t>全新好</t>
        </is>
      </c>
      <c r="D42" t="inlineStr">
        <is>
          <t>近五个交易日资金净额</t>
        </is>
      </c>
      <c r="E42" t="inlineStr">
        <is>
          <t>optional_missing</t>
        </is>
      </c>
      <c r="F42" t="inlineStr">
        <is>
          <t>近五个交易日资金净额：optional_missing</t>
        </is>
      </c>
      <c r="G42" t="b">
        <v>0</v>
      </c>
      <c r="H42" t="b">
        <v>1</v>
      </c>
      <c r="M42" t="b">
        <v>0</v>
      </c>
    </row>
    <row r="43">
      <c r="A43" t="inlineStr">
        <is>
          <t>A股</t>
        </is>
      </c>
      <c r="B43" t="inlineStr">
        <is>
          <t>000007</t>
        </is>
      </c>
      <c r="C43" t="inlineStr">
        <is>
          <t>全新好</t>
        </is>
      </c>
      <c r="D43" t="inlineStr">
        <is>
          <t>近一月资金净额（最近22个交易日）</t>
        </is>
      </c>
      <c r="E43" t="inlineStr">
        <is>
          <t>optional_missing</t>
        </is>
      </c>
      <c r="F43" t="inlineStr">
        <is>
          <t>近一月资金净额（最近22个交易日）：optional_missing</t>
        </is>
      </c>
      <c r="G43" t="b">
        <v>0</v>
      </c>
      <c r="H43" t="b">
        <v>1</v>
      </c>
      <c r="M43" t="b">
        <v>0</v>
      </c>
    </row>
    <row r="44">
      <c r="A44" t="inlineStr">
        <is>
          <t>港股</t>
        </is>
      </c>
      <c r="B44" t="inlineStr">
        <is>
          <t>00004</t>
        </is>
      </c>
      <c r="C44" t="inlineStr">
        <is>
          <t>WHARF HOLDINGS</t>
        </is>
      </c>
      <c r="D44" t="inlineStr">
        <is>
          <t>大宗交易</t>
        </is>
      </c>
      <c r="E44" t="inlineStr">
        <is>
          <t>optional_missing</t>
        </is>
      </c>
      <c r="F44" t="inlineStr">
        <is>
          <t>港股大宗交易按允许缺失规则留空</t>
        </is>
      </c>
      <c r="G44" t="b">
        <v>0</v>
      </c>
      <c r="H44" t="b">
        <v>1</v>
      </c>
      <c r="I44" t="inlineStr">
        <is>
          <t>东方财富</t>
        </is>
      </c>
      <c r="J44" t="inlineStr">
        <is>
          <t>东方财富</t>
        </is>
      </c>
      <c r="K44" t="inlineStr">
        <is>
          <t>not-applicable-hk</t>
        </is>
      </c>
      <c r="L44" s="32" t="n">
        <v>46263.25725432087</v>
      </c>
      <c r="M44" t="b">
        <v>1</v>
      </c>
    </row>
    <row r="45">
      <c r="A45" t="inlineStr">
        <is>
          <t>港股</t>
        </is>
      </c>
      <c r="B45" t="inlineStr">
        <is>
          <t>00004</t>
        </is>
      </c>
      <c r="C45" t="inlineStr">
        <is>
          <t>WHARF HOLDINGS</t>
        </is>
      </c>
      <c r="D45" t="inlineStr">
        <is>
          <t>资金流</t>
        </is>
      </c>
      <c r="E45" t="inlineStr">
        <is>
          <t>optional_missing</t>
        </is>
      </c>
      <c r="F45" t="inlineStr">
        <is>
          <t>用户选择不抓取资金流</t>
        </is>
      </c>
      <c r="G45" t="b">
        <v>0</v>
      </c>
      <c r="H45" t="b">
        <v>1</v>
      </c>
      <c r="I45" t="inlineStr">
        <is>
          <t>配置</t>
        </is>
      </c>
      <c r="J45" t="inlineStr">
        <is>
          <t>配置</t>
        </is>
      </c>
      <c r="K45" t="inlineStr">
        <is>
          <t>flow-mode-off</t>
        </is>
      </c>
      <c r="L45" s="32" t="n">
        <v>46263.25754607147</v>
      </c>
      <c r="M45" t="b">
        <v>0</v>
      </c>
    </row>
    <row r="46">
      <c r="A46" t="inlineStr">
        <is>
          <t>港股</t>
        </is>
      </c>
      <c r="B46" t="inlineStr">
        <is>
          <t>00004</t>
        </is>
      </c>
      <c r="C46" t="inlineStr">
        <is>
          <t>WHARF HOLDINGS</t>
        </is>
      </c>
      <c r="D46" t="inlineStr">
        <is>
          <t>市值增长率</t>
        </is>
      </c>
      <c r="E46" t="inlineStr">
        <is>
          <t>missing</t>
        </is>
      </c>
      <c r="F46" t="inlineStr">
        <is>
          <t>市值增长率：missing</t>
        </is>
      </c>
      <c r="G46" t="b">
        <v>0</v>
      </c>
      <c r="H46" t="b">
        <v>1</v>
      </c>
      <c r="M46" t="b">
        <v>0</v>
      </c>
    </row>
    <row r="47">
      <c r="A47" t="inlineStr">
        <is>
          <t>港股</t>
        </is>
      </c>
      <c r="B47" t="inlineStr">
        <is>
          <t>00004</t>
        </is>
      </c>
      <c r="C47" t="inlineStr">
        <is>
          <t>WHARF HOLDINGS</t>
        </is>
      </c>
      <c r="D47" t="inlineStr">
        <is>
          <t>发行价</t>
        </is>
      </c>
      <c r="E47" t="inlineStr">
        <is>
          <t>optional_missing</t>
        </is>
      </c>
      <c r="F47" t="inlineStr">
        <is>
          <t>发行价：optional_missing</t>
        </is>
      </c>
      <c r="G47" t="b">
        <v>0</v>
      </c>
      <c r="H47" t="b">
        <v>1</v>
      </c>
      <c r="M47" t="b">
        <v>0</v>
      </c>
    </row>
    <row r="48">
      <c r="A48" t="inlineStr">
        <is>
          <t>港股</t>
        </is>
      </c>
      <c r="B48" t="inlineStr">
        <is>
          <t>00004</t>
        </is>
      </c>
      <c r="C48" t="inlineStr">
        <is>
          <t>WHARF HOLDINGS</t>
        </is>
      </c>
      <c r="D48" t="inlineStr">
        <is>
          <t>发行股数</t>
        </is>
      </c>
      <c r="E48" t="inlineStr">
        <is>
          <t>optional_missing</t>
        </is>
      </c>
      <c r="F48" t="inlineStr">
        <is>
          <t>发行股数：optional_missing</t>
        </is>
      </c>
      <c r="G48" t="b">
        <v>0</v>
      </c>
      <c r="H48" t="b">
        <v>1</v>
      </c>
      <c r="M48" t="b">
        <v>0</v>
      </c>
    </row>
    <row r="49">
      <c r="A49" t="inlineStr">
        <is>
          <t>港股</t>
        </is>
      </c>
      <c r="B49" t="inlineStr">
        <is>
          <t>00004</t>
        </is>
      </c>
      <c r="C49" t="inlineStr">
        <is>
          <t>WHARF HOLDINGS</t>
        </is>
      </c>
      <c r="D49" t="inlineStr">
        <is>
          <t>发行时总市值</t>
        </is>
      </c>
      <c r="E49" t="inlineStr">
        <is>
          <t>optional_missing</t>
        </is>
      </c>
      <c r="F49" t="inlineStr">
        <is>
          <t>发行时总市值：optional_missing</t>
        </is>
      </c>
      <c r="G49" t="b">
        <v>0</v>
      </c>
      <c r="H49" t="b">
        <v>1</v>
      </c>
      <c r="M49" t="b">
        <v>0</v>
      </c>
    </row>
    <row r="50">
      <c r="A50" t="inlineStr">
        <is>
          <t>港股</t>
        </is>
      </c>
      <c r="B50" t="inlineStr">
        <is>
          <t>00004</t>
        </is>
      </c>
      <c r="C50" t="inlineStr">
        <is>
          <t>WHARF HOLDINGS</t>
        </is>
      </c>
      <c r="D50" t="inlineStr">
        <is>
          <t>当年累计大宗交易笔数</t>
        </is>
      </c>
      <c r="E50" t="inlineStr">
        <is>
          <t>optional_missing</t>
        </is>
      </c>
      <c r="F50" t="inlineStr">
        <is>
          <t>当年累计大宗交易笔数：optional_missing</t>
        </is>
      </c>
      <c r="G50" t="b">
        <v>0</v>
      </c>
      <c r="H50" t="b">
        <v>1</v>
      </c>
      <c r="M50" t="b">
        <v>0</v>
      </c>
    </row>
    <row r="51">
      <c r="A51" t="inlineStr">
        <is>
          <t>港股</t>
        </is>
      </c>
      <c r="B51" t="inlineStr">
        <is>
          <t>00004</t>
        </is>
      </c>
      <c r="C51" t="inlineStr">
        <is>
          <t>WHARF HOLDINGS</t>
        </is>
      </c>
      <c r="D51" t="inlineStr">
        <is>
          <t>当年累计大宗交易金额</t>
        </is>
      </c>
      <c r="E51" t="inlineStr">
        <is>
          <t>optional_missing</t>
        </is>
      </c>
      <c r="F51" t="inlineStr">
        <is>
          <t>当年累计大宗交易金额：optional_missing</t>
        </is>
      </c>
      <c r="G51" t="b">
        <v>0</v>
      </c>
      <c r="H51" t="b">
        <v>1</v>
      </c>
      <c r="M51" t="b">
        <v>0</v>
      </c>
    </row>
    <row r="52">
      <c r="A52" t="inlineStr">
        <is>
          <t>港股</t>
        </is>
      </c>
      <c r="B52" t="inlineStr">
        <is>
          <t>00004</t>
        </is>
      </c>
      <c r="C52" t="inlineStr">
        <is>
          <t>WHARF HOLDINGS</t>
        </is>
      </c>
      <c r="D52" t="inlineStr">
        <is>
          <t>近五个交易日资金净额</t>
        </is>
      </c>
      <c r="E52" t="inlineStr">
        <is>
          <t>optional_missing</t>
        </is>
      </c>
      <c r="F52" t="inlineStr">
        <is>
          <t>近五个交易日资金净额：optional_missing</t>
        </is>
      </c>
      <c r="G52" t="b">
        <v>0</v>
      </c>
      <c r="H52" t="b">
        <v>1</v>
      </c>
      <c r="M52" t="b">
        <v>0</v>
      </c>
    </row>
    <row r="53">
      <c r="A53" t="inlineStr">
        <is>
          <t>港股</t>
        </is>
      </c>
      <c r="B53" t="inlineStr">
        <is>
          <t>00004</t>
        </is>
      </c>
      <c r="C53" t="inlineStr">
        <is>
          <t>WHARF HOLDINGS</t>
        </is>
      </c>
      <c r="D53" t="inlineStr">
        <is>
          <t>近一月资金净额（最近22个交易日）</t>
        </is>
      </c>
      <c r="E53" t="inlineStr">
        <is>
          <t>optional_missing</t>
        </is>
      </c>
      <c r="F53" t="inlineStr">
        <is>
          <t>近一月资金净额（最近22个交易日）：optional_missing</t>
        </is>
      </c>
      <c r="G53" t="b">
        <v>0</v>
      </c>
      <c r="H53" t="b">
        <v>1</v>
      </c>
      <c r="M53" t="b">
        <v>0</v>
      </c>
    </row>
    <row r="54">
      <c r="A54" t="inlineStr">
        <is>
          <t>A股</t>
        </is>
      </c>
      <c r="B54" t="inlineStr">
        <is>
          <t>000008</t>
        </is>
      </c>
      <c r="C54" t="inlineStr">
        <is>
          <t>神州高铁</t>
        </is>
      </c>
      <c r="D54" t="inlineStr">
        <is>
          <t>资金流</t>
        </is>
      </c>
      <c r="E54" t="inlineStr">
        <is>
          <t>optional_missing</t>
        </is>
      </c>
      <c r="F54" t="inlineStr">
        <is>
          <t>用户选择不抓取资金流</t>
        </is>
      </c>
      <c r="G54" t="b">
        <v>0</v>
      </c>
      <c r="H54" t="b">
        <v>1</v>
      </c>
      <c r="I54" t="inlineStr">
        <is>
          <t>配置</t>
        </is>
      </c>
      <c r="J54" t="inlineStr">
        <is>
          <t>配置</t>
        </is>
      </c>
      <c r="K54" t="inlineStr">
        <is>
          <t>flow-mode-off</t>
        </is>
      </c>
      <c r="L54" s="32" t="n">
        <v>46263.25754607147</v>
      </c>
      <c r="M54" t="b">
        <v>0</v>
      </c>
    </row>
    <row r="55">
      <c r="A55" t="inlineStr">
        <is>
          <t>A股</t>
        </is>
      </c>
      <c r="B55" t="inlineStr">
        <is>
          <t>000008</t>
        </is>
      </c>
      <c r="C55" t="inlineStr">
        <is>
          <t>神州高铁</t>
        </is>
      </c>
      <c r="D55" t="inlineStr">
        <is>
          <t>近五个交易日资金净额</t>
        </is>
      </c>
      <c r="E55" t="inlineStr">
        <is>
          <t>optional_missing</t>
        </is>
      </c>
      <c r="F55" t="inlineStr">
        <is>
          <t>近五个交易日资金净额：optional_missing</t>
        </is>
      </c>
      <c r="G55" t="b">
        <v>0</v>
      </c>
      <c r="H55" t="b">
        <v>1</v>
      </c>
      <c r="M55" t="b">
        <v>0</v>
      </c>
    </row>
    <row r="56">
      <c r="A56" t="inlineStr">
        <is>
          <t>A股</t>
        </is>
      </c>
      <c r="B56" t="inlineStr">
        <is>
          <t>000008</t>
        </is>
      </c>
      <c r="C56" t="inlineStr">
        <is>
          <t>神州高铁</t>
        </is>
      </c>
      <c r="D56" t="inlineStr">
        <is>
          <t>近一月资金净额（最近22个交易日）</t>
        </is>
      </c>
      <c r="E56" t="inlineStr">
        <is>
          <t>optional_missing</t>
        </is>
      </c>
      <c r="F56" t="inlineStr">
        <is>
          <t>近一月资金净额（最近22个交易日）：optional_missing</t>
        </is>
      </c>
      <c r="G56" t="b">
        <v>0</v>
      </c>
      <c r="H56" t="b">
        <v>1</v>
      </c>
      <c r="M56" t="b">
        <v>0</v>
      </c>
    </row>
    <row r="57">
      <c r="A57" t="inlineStr">
        <is>
          <t>港股</t>
        </is>
      </c>
      <c r="B57" t="inlineStr">
        <is>
          <t>00005</t>
        </is>
      </c>
      <c r="C57" t="inlineStr">
        <is>
          <t>HSBC HOLDINGS</t>
        </is>
      </c>
      <c r="D57" t="inlineStr">
        <is>
          <t>大宗交易</t>
        </is>
      </c>
      <c r="E57" t="inlineStr">
        <is>
          <t>optional_missing</t>
        </is>
      </c>
      <c r="F57" t="inlineStr">
        <is>
          <t>港股大宗交易按允许缺失规则留空</t>
        </is>
      </c>
      <c r="G57" t="b">
        <v>0</v>
      </c>
      <c r="H57" t="b">
        <v>1</v>
      </c>
      <c r="I57" t="inlineStr">
        <is>
          <t>东方财富</t>
        </is>
      </c>
      <c r="J57" t="inlineStr">
        <is>
          <t>东方财富</t>
        </is>
      </c>
      <c r="K57" t="inlineStr">
        <is>
          <t>not-applicable-hk</t>
        </is>
      </c>
      <c r="L57" s="32" t="n">
        <v>46263.25725432087</v>
      </c>
      <c r="M57" t="b">
        <v>1</v>
      </c>
    </row>
    <row r="58">
      <c r="A58" t="inlineStr">
        <is>
          <t>港股</t>
        </is>
      </c>
      <c r="B58" t="inlineStr">
        <is>
          <t>00005</t>
        </is>
      </c>
      <c r="C58" t="inlineStr">
        <is>
          <t>HSBC HOLDINGS</t>
        </is>
      </c>
      <c r="D58" t="inlineStr">
        <is>
          <t>资金流</t>
        </is>
      </c>
      <c r="E58" t="inlineStr">
        <is>
          <t>optional_missing</t>
        </is>
      </c>
      <c r="F58" t="inlineStr">
        <is>
          <t>用户选择不抓取资金流</t>
        </is>
      </c>
      <c r="G58" t="b">
        <v>0</v>
      </c>
      <c r="H58" t="b">
        <v>1</v>
      </c>
      <c r="I58" t="inlineStr">
        <is>
          <t>配置</t>
        </is>
      </c>
      <c r="J58" t="inlineStr">
        <is>
          <t>配置</t>
        </is>
      </c>
      <c r="K58" t="inlineStr">
        <is>
          <t>flow-mode-off</t>
        </is>
      </c>
      <c r="L58" s="32" t="n">
        <v>46263.25754607147</v>
      </c>
      <c r="M58" t="b">
        <v>0</v>
      </c>
    </row>
    <row r="59">
      <c r="A59" t="inlineStr">
        <is>
          <t>港股</t>
        </is>
      </c>
      <c r="B59" t="inlineStr">
        <is>
          <t>00005</t>
        </is>
      </c>
      <c r="C59" t="inlineStr">
        <is>
          <t>HSBC HOLDINGS</t>
        </is>
      </c>
      <c r="D59" t="inlineStr">
        <is>
          <t>毛利率</t>
        </is>
      </c>
      <c r="E59" t="inlineStr">
        <is>
          <t>missing</t>
        </is>
      </c>
      <c r="F59" t="inlineStr">
        <is>
          <t>毛利率：missing</t>
        </is>
      </c>
      <c r="G59" t="b">
        <v>0</v>
      </c>
      <c r="H59" t="b">
        <v>0</v>
      </c>
      <c r="M59" t="b">
        <v>0</v>
      </c>
    </row>
    <row r="60">
      <c r="A60" t="inlineStr">
        <is>
          <t>港股</t>
        </is>
      </c>
      <c r="B60" t="inlineStr">
        <is>
          <t>00005</t>
        </is>
      </c>
      <c r="C60" t="inlineStr">
        <is>
          <t>HSBC HOLDINGS</t>
        </is>
      </c>
      <c r="D60" t="inlineStr">
        <is>
          <t>毛利率同比变化（百分点）</t>
        </is>
      </c>
      <c r="E60" t="inlineStr">
        <is>
          <t>missing</t>
        </is>
      </c>
      <c r="F60" t="inlineStr">
        <is>
          <t>毛利率同比变化（百分点）：missing</t>
        </is>
      </c>
      <c r="G60" t="b">
        <v>0</v>
      </c>
      <c r="H60" t="b">
        <v>0</v>
      </c>
      <c r="M60" t="b">
        <v>0</v>
      </c>
    </row>
    <row r="61">
      <c r="A61" t="inlineStr">
        <is>
          <t>港股</t>
        </is>
      </c>
      <c r="B61" t="inlineStr">
        <is>
          <t>00005</t>
        </is>
      </c>
      <c r="C61" t="inlineStr">
        <is>
          <t>HSBC HOLDINGS</t>
        </is>
      </c>
      <c r="D61" t="inlineStr">
        <is>
          <t>毛利率三年变化（百分点）</t>
        </is>
      </c>
      <c r="E61" t="inlineStr">
        <is>
          <t>missing</t>
        </is>
      </c>
      <c r="F61" t="inlineStr">
        <is>
          <t>毛利率三年变化（百分点）：missing</t>
        </is>
      </c>
      <c r="G61" t="b">
        <v>0</v>
      </c>
      <c r="H61" t="b">
        <v>0</v>
      </c>
      <c r="M61" t="b">
        <v>0</v>
      </c>
    </row>
    <row r="62">
      <c r="A62" t="inlineStr">
        <is>
          <t>港股</t>
        </is>
      </c>
      <c r="B62" t="inlineStr">
        <is>
          <t>00005</t>
        </is>
      </c>
      <c r="C62" t="inlineStr">
        <is>
          <t>HSBC HOLDINGS</t>
        </is>
      </c>
      <c r="D62" t="inlineStr">
        <is>
          <t>市值增长率</t>
        </is>
      </c>
      <c r="E62" t="inlineStr">
        <is>
          <t>missing</t>
        </is>
      </c>
      <c r="F62" t="inlineStr">
        <is>
          <t>市值增长率：missing</t>
        </is>
      </c>
      <c r="G62" t="b">
        <v>0</v>
      </c>
      <c r="H62" t="b">
        <v>1</v>
      </c>
      <c r="M62" t="b">
        <v>0</v>
      </c>
    </row>
    <row r="63">
      <c r="A63" t="inlineStr">
        <is>
          <t>港股</t>
        </is>
      </c>
      <c r="B63" t="inlineStr">
        <is>
          <t>00005</t>
        </is>
      </c>
      <c r="C63" t="inlineStr">
        <is>
          <t>HSBC HOLDINGS</t>
        </is>
      </c>
      <c r="D63" t="inlineStr">
        <is>
          <t>发行价</t>
        </is>
      </c>
      <c r="E63" t="inlineStr">
        <is>
          <t>optional_missing</t>
        </is>
      </c>
      <c r="F63" t="inlineStr">
        <is>
          <t>发行价：optional_missing</t>
        </is>
      </c>
      <c r="G63" t="b">
        <v>0</v>
      </c>
      <c r="H63" t="b">
        <v>1</v>
      </c>
      <c r="M63" t="b">
        <v>0</v>
      </c>
    </row>
    <row r="64">
      <c r="A64" t="inlineStr">
        <is>
          <t>港股</t>
        </is>
      </c>
      <c r="B64" t="inlineStr">
        <is>
          <t>00005</t>
        </is>
      </c>
      <c r="C64" t="inlineStr">
        <is>
          <t>HSBC HOLDINGS</t>
        </is>
      </c>
      <c r="D64" t="inlineStr">
        <is>
          <t>发行股数</t>
        </is>
      </c>
      <c r="E64" t="inlineStr">
        <is>
          <t>optional_missing</t>
        </is>
      </c>
      <c r="F64" t="inlineStr">
        <is>
          <t>发行股数：optional_missing</t>
        </is>
      </c>
      <c r="G64" t="b">
        <v>0</v>
      </c>
      <c r="H64" t="b">
        <v>1</v>
      </c>
      <c r="M64" t="b">
        <v>0</v>
      </c>
    </row>
    <row r="65">
      <c r="A65" t="inlineStr">
        <is>
          <t>港股</t>
        </is>
      </c>
      <c r="B65" t="inlineStr">
        <is>
          <t>00005</t>
        </is>
      </c>
      <c r="C65" t="inlineStr">
        <is>
          <t>HSBC HOLDINGS</t>
        </is>
      </c>
      <c r="D65" t="inlineStr">
        <is>
          <t>发行时总市值</t>
        </is>
      </c>
      <c r="E65" t="inlineStr">
        <is>
          <t>optional_missing</t>
        </is>
      </c>
      <c r="F65" t="inlineStr">
        <is>
          <t>发行时总市值：optional_missing</t>
        </is>
      </c>
      <c r="G65" t="b">
        <v>0</v>
      </c>
      <c r="H65" t="b">
        <v>1</v>
      </c>
      <c r="M65" t="b">
        <v>0</v>
      </c>
    </row>
    <row r="66">
      <c r="A66" t="inlineStr">
        <is>
          <t>港股</t>
        </is>
      </c>
      <c r="B66" t="inlineStr">
        <is>
          <t>00005</t>
        </is>
      </c>
      <c r="C66" t="inlineStr">
        <is>
          <t>HSBC HOLDINGS</t>
        </is>
      </c>
      <c r="D66" t="inlineStr">
        <is>
          <t>当年累计大宗交易笔数</t>
        </is>
      </c>
      <c r="E66" t="inlineStr">
        <is>
          <t>optional_missing</t>
        </is>
      </c>
      <c r="F66" t="inlineStr">
        <is>
          <t>当年累计大宗交易笔数：optional_missing</t>
        </is>
      </c>
      <c r="G66" t="b">
        <v>0</v>
      </c>
      <c r="H66" t="b">
        <v>1</v>
      </c>
      <c r="M66" t="b">
        <v>0</v>
      </c>
    </row>
    <row r="67">
      <c r="A67" t="inlineStr">
        <is>
          <t>港股</t>
        </is>
      </c>
      <c r="B67" t="inlineStr">
        <is>
          <t>00005</t>
        </is>
      </c>
      <c r="C67" t="inlineStr">
        <is>
          <t>HSBC HOLDINGS</t>
        </is>
      </c>
      <c r="D67" t="inlineStr">
        <is>
          <t>当年累计大宗交易金额</t>
        </is>
      </c>
      <c r="E67" t="inlineStr">
        <is>
          <t>optional_missing</t>
        </is>
      </c>
      <c r="F67" t="inlineStr">
        <is>
          <t>当年累计大宗交易金额：optional_missing</t>
        </is>
      </c>
      <c r="G67" t="b">
        <v>0</v>
      </c>
      <c r="H67" t="b">
        <v>1</v>
      </c>
      <c r="M67" t="b">
        <v>0</v>
      </c>
    </row>
    <row r="68">
      <c r="A68" t="inlineStr">
        <is>
          <t>港股</t>
        </is>
      </c>
      <c r="B68" t="inlineStr">
        <is>
          <t>00005</t>
        </is>
      </c>
      <c r="C68" t="inlineStr">
        <is>
          <t>HSBC HOLDINGS</t>
        </is>
      </c>
      <c r="D68" t="inlineStr">
        <is>
          <t>近五个交易日资金净额</t>
        </is>
      </c>
      <c r="E68" t="inlineStr">
        <is>
          <t>optional_missing</t>
        </is>
      </c>
      <c r="F68" t="inlineStr">
        <is>
          <t>近五个交易日资金净额：optional_missing</t>
        </is>
      </c>
      <c r="G68" t="b">
        <v>0</v>
      </c>
      <c r="H68" t="b">
        <v>1</v>
      </c>
      <c r="M68" t="b">
        <v>0</v>
      </c>
    </row>
    <row r="69">
      <c r="A69" t="inlineStr">
        <is>
          <t>港股</t>
        </is>
      </c>
      <c r="B69" t="inlineStr">
        <is>
          <t>00005</t>
        </is>
      </c>
      <c r="C69" t="inlineStr">
        <is>
          <t>HSBC HOLDINGS</t>
        </is>
      </c>
      <c r="D69" t="inlineStr">
        <is>
          <t>近一月资金净额（最近22个交易日）</t>
        </is>
      </c>
      <c r="E69" t="inlineStr">
        <is>
          <t>optional_missing</t>
        </is>
      </c>
      <c r="F69" t="inlineStr">
        <is>
          <t>近一月资金净额（最近22个交易日）：optional_missing</t>
        </is>
      </c>
      <c r="G69" t="b">
        <v>0</v>
      </c>
      <c r="H69" t="b">
        <v>1</v>
      </c>
      <c r="M69" t="b">
        <v>0</v>
      </c>
    </row>
    <row r="70">
      <c r="A70" t="inlineStr">
        <is>
          <t>A股</t>
        </is>
      </c>
      <c r="B70" t="inlineStr">
        <is>
          <t>000009</t>
        </is>
      </c>
      <c r="C70" t="inlineStr">
        <is>
          <t>中国宝安</t>
        </is>
      </c>
      <c r="D70" t="inlineStr">
        <is>
          <t>资金流</t>
        </is>
      </c>
      <c r="E70" t="inlineStr">
        <is>
          <t>optional_missing</t>
        </is>
      </c>
      <c r="F70" t="inlineStr">
        <is>
          <t>用户选择不抓取资金流</t>
        </is>
      </c>
      <c r="G70" t="b">
        <v>0</v>
      </c>
      <c r="H70" t="b">
        <v>1</v>
      </c>
      <c r="I70" t="inlineStr">
        <is>
          <t>配置</t>
        </is>
      </c>
      <c r="J70" t="inlineStr">
        <is>
          <t>配置</t>
        </is>
      </c>
      <c r="K70" t="inlineStr">
        <is>
          <t>flow-mode-off</t>
        </is>
      </c>
      <c r="L70" s="32" t="n">
        <v>46263.25754607147</v>
      </c>
      <c r="M70" t="b">
        <v>0</v>
      </c>
    </row>
    <row r="71">
      <c r="A71" t="inlineStr">
        <is>
          <t>A股</t>
        </is>
      </c>
      <c r="B71" t="inlineStr">
        <is>
          <t>000009</t>
        </is>
      </c>
      <c r="C71" t="inlineStr">
        <is>
          <t>中国宝安</t>
        </is>
      </c>
      <c r="D71" t="inlineStr">
        <is>
          <t>近五个交易日资金净额</t>
        </is>
      </c>
      <c r="E71" t="inlineStr">
        <is>
          <t>optional_missing</t>
        </is>
      </c>
      <c r="F71" t="inlineStr">
        <is>
          <t>近五个交易日资金净额：optional_missing</t>
        </is>
      </c>
      <c r="G71" t="b">
        <v>0</v>
      </c>
      <c r="H71" t="b">
        <v>1</v>
      </c>
      <c r="M71" t="b">
        <v>0</v>
      </c>
    </row>
    <row r="72">
      <c r="A72" t="inlineStr">
        <is>
          <t>A股</t>
        </is>
      </c>
      <c r="B72" t="inlineStr">
        <is>
          <t>000009</t>
        </is>
      </c>
      <c r="C72" t="inlineStr">
        <is>
          <t>中国宝安</t>
        </is>
      </c>
      <c r="D72" t="inlineStr">
        <is>
          <t>近一月资金净额（最近22个交易日）</t>
        </is>
      </c>
      <c r="E72" t="inlineStr">
        <is>
          <t>optional_missing</t>
        </is>
      </c>
      <c r="F72" t="inlineStr">
        <is>
          <t>近一月资金净额（最近22个交易日）：optional_missing</t>
        </is>
      </c>
      <c r="G72" t="b">
        <v>0</v>
      </c>
      <c r="H72" t="b">
        <v>1</v>
      </c>
      <c r="M72" t="b">
        <v>0</v>
      </c>
    </row>
    <row r="73">
      <c r="A73" t="inlineStr">
        <is>
          <t>港股</t>
        </is>
      </c>
      <c r="B73" t="inlineStr">
        <is>
          <t>00006</t>
        </is>
      </c>
      <c r="C73" t="inlineStr">
        <is>
          <t>POWER ASSETS</t>
        </is>
      </c>
      <c r="D73" t="inlineStr">
        <is>
          <t>大宗交易</t>
        </is>
      </c>
      <c r="E73" t="inlineStr">
        <is>
          <t>optional_missing</t>
        </is>
      </c>
      <c r="F73" t="inlineStr">
        <is>
          <t>港股大宗交易按允许缺失规则留空</t>
        </is>
      </c>
      <c r="G73" t="b">
        <v>0</v>
      </c>
      <c r="H73" t="b">
        <v>1</v>
      </c>
      <c r="I73" t="inlineStr">
        <is>
          <t>东方财富</t>
        </is>
      </c>
      <c r="J73" t="inlineStr">
        <is>
          <t>东方财富</t>
        </is>
      </c>
      <c r="K73" t="inlineStr">
        <is>
          <t>not-applicable-hk</t>
        </is>
      </c>
      <c r="L73" s="32" t="n">
        <v>46263.25725433244</v>
      </c>
      <c r="M73" t="b">
        <v>1</v>
      </c>
    </row>
    <row r="74">
      <c r="A74" t="inlineStr">
        <is>
          <t>港股</t>
        </is>
      </c>
      <c r="B74" t="inlineStr">
        <is>
          <t>00006</t>
        </is>
      </c>
      <c r="C74" t="inlineStr">
        <is>
          <t>POWER ASSETS</t>
        </is>
      </c>
      <c r="D74" t="inlineStr">
        <is>
          <t>资金流</t>
        </is>
      </c>
      <c r="E74" t="inlineStr">
        <is>
          <t>optional_missing</t>
        </is>
      </c>
      <c r="F74" t="inlineStr">
        <is>
          <t>用户选择不抓取资金流</t>
        </is>
      </c>
      <c r="G74" t="b">
        <v>0</v>
      </c>
      <c r="H74" t="b">
        <v>1</v>
      </c>
      <c r="I74" t="inlineStr">
        <is>
          <t>配置</t>
        </is>
      </c>
      <c r="J74" t="inlineStr">
        <is>
          <t>配置</t>
        </is>
      </c>
      <c r="K74" t="inlineStr">
        <is>
          <t>flow-mode-off</t>
        </is>
      </c>
      <c r="L74" s="32" t="n">
        <v>46263.25754607147</v>
      </c>
      <c r="M74" t="b">
        <v>0</v>
      </c>
    </row>
    <row r="75">
      <c r="A75" t="inlineStr">
        <is>
          <t>港股</t>
        </is>
      </c>
      <c r="B75" t="inlineStr">
        <is>
          <t>00006</t>
        </is>
      </c>
      <c r="C75" t="inlineStr">
        <is>
          <t>POWER ASSETS</t>
        </is>
      </c>
      <c r="D75" t="inlineStr">
        <is>
          <t>市值增长率</t>
        </is>
      </c>
      <c r="E75" t="inlineStr">
        <is>
          <t>missing</t>
        </is>
      </c>
      <c r="F75" t="inlineStr">
        <is>
          <t>市值增长率：missing</t>
        </is>
      </c>
      <c r="G75" t="b">
        <v>0</v>
      </c>
      <c r="H75" t="b">
        <v>1</v>
      </c>
      <c r="M75" t="b">
        <v>0</v>
      </c>
    </row>
    <row r="76">
      <c r="A76" t="inlineStr">
        <is>
          <t>港股</t>
        </is>
      </c>
      <c r="B76" t="inlineStr">
        <is>
          <t>00006</t>
        </is>
      </c>
      <c r="C76" t="inlineStr">
        <is>
          <t>POWER ASSETS</t>
        </is>
      </c>
      <c r="D76" t="inlineStr">
        <is>
          <t>发行价</t>
        </is>
      </c>
      <c r="E76" t="inlineStr">
        <is>
          <t>optional_missing</t>
        </is>
      </c>
      <c r="F76" t="inlineStr">
        <is>
          <t>发行价：optional_missing</t>
        </is>
      </c>
      <c r="G76" t="b">
        <v>0</v>
      </c>
      <c r="H76" t="b">
        <v>1</v>
      </c>
      <c r="M76" t="b">
        <v>0</v>
      </c>
    </row>
    <row r="77">
      <c r="A77" t="inlineStr">
        <is>
          <t>港股</t>
        </is>
      </c>
      <c r="B77" t="inlineStr">
        <is>
          <t>00006</t>
        </is>
      </c>
      <c r="C77" t="inlineStr">
        <is>
          <t>POWER ASSETS</t>
        </is>
      </c>
      <c r="D77" t="inlineStr">
        <is>
          <t>发行股数</t>
        </is>
      </c>
      <c r="E77" t="inlineStr">
        <is>
          <t>optional_missing</t>
        </is>
      </c>
      <c r="F77" t="inlineStr">
        <is>
          <t>发行股数：optional_missing</t>
        </is>
      </c>
      <c r="G77" t="b">
        <v>0</v>
      </c>
      <c r="H77" t="b">
        <v>1</v>
      </c>
      <c r="M77" t="b">
        <v>0</v>
      </c>
    </row>
    <row r="78">
      <c r="A78" t="inlineStr">
        <is>
          <t>港股</t>
        </is>
      </c>
      <c r="B78" t="inlineStr">
        <is>
          <t>00006</t>
        </is>
      </c>
      <c r="C78" t="inlineStr">
        <is>
          <t>POWER ASSETS</t>
        </is>
      </c>
      <c r="D78" t="inlineStr">
        <is>
          <t>发行时总市值</t>
        </is>
      </c>
      <c r="E78" t="inlineStr">
        <is>
          <t>optional_missing</t>
        </is>
      </c>
      <c r="F78" t="inlineStr">
        <is>
          <t>发行时总市值：optional_missing</t>
        </is>
      </c>
      <c r="G78" t="b">
        <v>0</v>
      </c>
      <c r="H78" t="b">
        <v>1</v>
      </c>
      <c r="M78" t="b">
        <v>0</v>
      </c>
    </row>
    <row r="79">
      <c r="A79" t="inlineStr">
        <is>
          <t>港股</t>
        </is>
      </c>
      <c r="B79" t="inlineStr">
        <is>
          <t>00006</t>
        </is>
      </c>
      <c r="C79" t="inlineStr">
        <is>
          <t>POWER ASSETS</t>
        </is>
      </c>
      <c r="D79" t="inlineStr">
        <is>
          <t>当年累计大宗交易笔数</t>
        </is>
      </c>
      <c r="E79" t="inlineStr">
        <is>
          <t>optional_missing</t>
        </is>
      </c>
      <c r="F79" t="inlineStr">
        <is>
          <t>当年累计大宗交易笔数：optional_missing</t>
        </is>
      </c>
      <c r="G79" t="b">
        <v>0</v>
      </c>
      <c r="H79" t="b">
        <v>1</v>
      </c>
      <c r="M79" t="b">
        <v>0</v>
      </c>
    </row>
    <row r="80">
      <c r="A80" t="inlineStr">
        <is>
          <t>港股</t>
        </is>
      </c>
      <c r="B80" t="inlineStr">
        <is>
          <t>00006</t>
        </is>
      </c>
      <c r="C80" t="inlineStr">
        <is>
          <t>POWER ASSETS</t>
        </is>
      </c>
      <c r="D80" t="inlineStr">
        <is>
          <t>当年累计大宗交易金额</t>
        </is>
      </c>
      <c r="E80" t="inlineStr">
        <is>
          <t>optional_missing</t>
        </is>
      </c>
      <c r="F80" t="inlineStr">
        <is>
          <t>当年累计大宗交易金额：optional_missing</t>
        </is>
      </c>
      <c r="G80" t="b">
        <v>0</v>
      </c>
      <c r="H80" t="b">
        <v>1</v>
      </c>
      <c r="M80" t="b">
        <v>0</v>
      </c>
    </row>
    <row r="81">
      <c r="A81" t="inlineStr">
        <is>
          <t>港股</t>
        </is>
      </c>
      <c r="B81" t="inlineStr">
        <is>
          <t>00006</t>
        </is>
      </c>
      <c r="C81" t="inlineStr">
        <is>
          <t>POWER ASSETS</t>
        </is>
      </c>
      <c r="D81" t="inlineStr">
        <is>
          <t>近五个交易日资金净额</t>
        </is>
      </c>
      <c r="E81" t="inlineStr">
        <is>
          <t>optional_missing</t>
        </is>
      </c>
      <c r="F81" t="inlineStr">
        <is>
          <t>近五个交易日资金净额：optional_missing</t>
        </is>
      </c>
      <c r="G81" t="b">
        <v>0</v>
      </c>
      <c r="H81" t="b">
        <v>1</v>
      </c>
      <c r="M81" t="b">
        <v>0</v>
      </c>
    </row>
    <row r="82">
      <c r="A82" t="inlineStr">
        <is>
          <t>港股</t>
        </is>
      </c>
      <c r="B82" t="inlineStr">
        <is>
          <t>00006</t>
        </is>
      </c>
      <c r="C82" t="inlineStr">
        <is>
          <t>POWER ASSETS</t>
        </is>
      </c>
      <c r="D82" t="inlineStr">
        <is>
          <t>近一月资金净额（最近22个交易日）</t>
        </is>
      </c>
      <c r="E82" t="inlineStr">
        <is>
          <t>optional_missing</t>
        </is>
      </c>
      <c r="F82" t="inlineStr">
        <is>
          <t>近一月资金净额（最近22个交易日）：optional_missing</t>
        </is>
      </c>
      <c r="G82" t="b">
        <v>0</v>
      </c>
      <c r="H82" t="b">
        <v>1</v>
      </c>
      <c r="M82" t="b">
        <v>0</v>
      </c>
    </row>
    <row r="83">
      <c r="A83" t="inlineStr">
        <is>
          <t>A股</t>
        </is>
      </c>
      <c r="B83" t="inlineStr">
        <is>
          <t>000010</t>
        </is>
      </c>
      <c r="C83" t="inlineStr">
        <is>
          <t>*ST美丽</t>
        </is>
      </c>
      <c r="D83" t="inlineStr">
        <is>
          <t>资金流</t>
        </is>
      </c>
      <c r="E83" t="inlineStr">
        <is>
          <t>optional_missing</t>
        </is>
      </c>
      <c r="F83" t="inlineStr">
        <is>
          <t>用户选择不抓取资金流</t>
        </is>
      </c>
      <c r="G83" t="b">
        <v>0</v>
      </c>
      <c r="H83" t="b">
        <v>1</v>
      </c>
      <c r="I83" t="inlineStr">
        <is>
          <t>配置</t>
        </is>
      </c>
      <c r="J83" t="inlineStr">
        <is>
          <t>配置</t>
        </is>
      </c>
      <c r="K83" t="inlineStr">
        <is>
          <t>flow-mode-off</t>
        </is>
      </c>
      <c r="L83" s="32" t="n">
        <v>46263.25754607147</v>
      </c>
      <c r="M83" t="b">
        <v>0</v>
      </c>
    </row>
    <row r="84">
      <c r="A84" t="inlineStr">
        <is>
          <t>A股</t>
        </is>
      </c>
      <c r="B84" t="inlineStr">
        <is>
          <t>000010</t>
        </is>
      </c>
      <c r="C84" t="inlineStr">
        <is>
          <t>*ST美丽</t>
        </is>
      </c>
      <c r="D84" t="inlineStr">
        <is>
          <t>近五个交易日资金净额</t>
        </is>
      </c>
      <c r="E84" t="inlineStr">
        <is>
          <t>optional_missing</t>
        </is>
      </c>
      <c r="F84" t="inlineStr">
        <is>
          <t>近五个交易日资金净额：optional_missing</t>
        </is>
      </c>
      <c r="G84" t="b">
        <v>0</v>
      </c>
      <c r="H84" t="b">
        <v>1</v>
      </c>
      <c r="M84" t="b">
        <v>0</v>
      </c>
    </row>
    <row r="85">
      <c r="A85" t="inlineStr">
        <is>
          <t>A股</t>
        </is>
      </c>
      <c r="B85" t="inlineStr">
        <is>
          <t>000010</t>
        </is>
      </c>
      <c r="C85" t="inlineStr">
        <is>
          <t>*ST美丽</t>
        </is>
      </c>
      <c r="D85" t="inlineStr">
        <is>
          <t>近一月资金净额（最近22个交易日）</t>
        </is>
      </c>
      <c r="E85" t="inlineStr">
        <is>
          <t>optional_missing</t>
        </is>
      </c>
      <c r="F85" t="inlineStr">
        <is>
          <t>近一月资金净额（最近22个交易日）：optional_missing</t>
        </is>
      </c>
      <c r="G85" t="b">
        <v>0</v>
      </c>
      <c r="H85" t="b">
        <v>1</v>
      </c>
      <c r="M85" t="b">
        <v>0</v>
      </c>
    </row>
    <row r="86">
      <c r="A86" t="inlineStr">
        <is>
          <t>港股</t>
        </is>
      </c>
      <c r="B86" t="inlineStr">
        <is>
          <t>00007</t>
        </is>
      </c>
      <c r="C86" t="inlineStr">
        <is>
          <t>WISDOM WEALTH</t>
        </is>
      </c>
      <c r="D86" t="inlineStr">
        <is>
          <t>大宗交易</t>
        </is>
      </c>
      <c r="E86" t="inlineStr">
        <is>
          <t>optional_missing</t>
        </is>
      </c>
      <c r="F86" t="inlineStr">
        <is>
          <t>港股大宗交易按允许缺失规则留空</t>
        </is>
      </c>
      <c r="G86" t="b">
        <v>0</v>
      </c>
      <c r="H86" t="b">
        <v>1</v>
      </c>
      <c r="I86" t="inlineStr">
        <is>
          <t>东方财富</t>
        </is>
      </c>
      <c r="J86" t="inlineStr">
        <is>
          <t>东方财富</t>
        </is>
      </c>
      <c r="K86" t="inlineStr">
        <is>
          <t>not-applicable-hk</t>
        </is>
      </c>
      <c r="L86" s="32" t="n">
        <v>46263.25725433244</v>
      </c>
      <c r="M86" t="b">
        <v>1</v>
      </c>
    </row>
    <row r="87">
      <c r="A87" t="inlineStr">
        <is>
          <t>港股</t>
        </is>
      </c>
      <c r="B87" t="inlineStr">
        <is>
          <t>00007</t>
        </is>
      </c>
      <c r="C87" t="inlineStr">
        <is>
          <t>WISDOM WEALTH</t>
        </is>
      </c>
      <c r="D87" t="inlineStr">
        <is>
          <t>营业收入</t>
        </is>
      </c>
      <c r="E87" t="inlineStr">
        <is>
          <t>missing</t>
        </is>
      </c>
      <c r="F87" t="inlineStr">
        <is>
          <t>港股缺少结构化核心财务数据，已按港股纳入规则排除</t>
        </is>
      </c>
      <c r="G87" t="b">
        <v>1</v>
      </c>
      <c r="H87" t="b">
        <v>0</v>
      </c>
      <c r="J87" t="inlineStr">
        <is>
          <t>公开结构化数据组合源</t>
        </is>
      </c>
      <c r="M87" t="b">
        <v>0</v>
      </c>
    </row>
    <row r="88">
      <c r="A88" t="inlineStr">
        <is>
          <t>港股</t>
        </is>
      </c>
      <c r="B88" t="inlineStr">
        <is>
          <t>00007</t>
        </is>
      </c>
      <c r="C88" t="inlineStr">
        <is>
          <t>WISDOM WEALTH</t>
        </is>
      </c>
      <c r="D88" t="inlineStr">
        <is>
          <t>营业收入</t>
        </is>
      </c>
      <c r="E88" t="inlineStr">
        <is>
          <t>missing</t>
        </is>
      </c>
      <c r="F88" t="inlineStr">
        <is>
          <t>缺少所选年度营业收入</t>
        </is>
      </c>
      <c r="G88" t="b">
        <v>1</v>
      </c>
      <c r="H88" t="b">
        <v>0</v>
      </c>
      <c r="M88" t="b">
        <v>0</v>
      </c>
    </row>
    <row r="89">
      <c r="A89" t="inlineStr">
        <is>
          <t>港股</t>
        </is>
      </c>
      <c r="B89" t="inlineStr">
        <is>
          <t>00007</t>
        </is>
      </c>
      <c r="C89" t="inlineStr">
        <is>
          <t>WISDOM WEALTH</t>
        </is>
      </c>
      <c r="D89" t="inlineStr">
        <is>
          <t>营业收入同比</t>
        </is>
      </c>
      <c r="E89" t="inlineStr">
        <is>
          <t>missing</t>
        </is>
      </c>
      <c r="F89" t="inlineStr">
        <is>
          <t>营业收入同比：missing</t>
        </is>
      </c>
      <c r="G89" t="b">
        <v>0</v>
      </c>
      <c r="H89" t="b">
        <v>0</v>
      </c>
      <c r="M89" t="b">
        <v>0</v>
      </c>
    </row>
    <row r="90">
      <c r="A90" t="inlineStr">
        <is>
          <t>港股</t>
        </is>
      </c>
      <c r="B90" t="inlineStr">
        <is>
          <t>00007</t>
        </is>
      </c>
      <c r="C90" t="inlineStr">
        <is>
          <t>WISDOM WEALTH</t>
        </is>
      </c>
      <c r="D90" t="inlineStr">
        <is>
          <t>营业收入三年 CAGR</t>
        </is>
      </c>
      <c r="E90" t="inlineStr">
        <is>
          <t>missing</t>
        </is>
      </c>
      <c r="F90" t="inlineStr">
        <is>
          <t>营业收入三年 CAGR：missing</t>
        </is>
      </c>
      <c r="G90" t="b">
        <v>0</v>
      </c>
      <c r="H90" t="b">
        <v>0</v>
      </c>
      <c r="M90" t="b">
        <v>0</v>
      </c>
    </row>
    <row r="91">
      <c r="A91" t="inlineStr">
        <is>
          <t>港股</t>
        </is>
      </c>
      <c r="B91" t="inlineStr">
        <is>
          <t>00007</t>
        </is>
      </c>
      <c r="C91" t="inlineStr">
        <is>
          <t>WISDOM WEALTH</t>
        </is>
      </c>
      <c r="D91" t="inlineStr">
        <is>
          <t>毛利率</t>
        </is>
      </c>
      <c r="E91" t="inlineStr">
        <is>
          <t>missing</t>
        </is>
      </c>
      <c r="F91" t="inlineStr">
        <is>
          <t>毛利率：missing</t>
        </is>
      </c>
      <c r="G91" t="b">
        <v>0</v>
      </c>
      <c r="H91" t="b">
        <v>0</v>
      </c>
      <c r="M91" t="b">
        <v>0</v>
      </c>
    </row>
    <row r="92">
      <c r="A92" t="inlineStr">
        <is>
          <t>港股</t>
        </is>
      </c>
      <c r="B92" t="inlineStr">
        <is>
          <t>00007</t>
        </is>
      </c>
      <c r="C92" t="inlineStr">
        <is>
          <t>WISDOM WEALTH</t>
        </is>
      </c>
      <c r="D92" t="inlineStr">
        <is>
          <t>毛利率同比变化（百分点）</t>
        </is>
      </c>
      <c r="E92" t="inlineStr">
        <is>
          <t>missing</t>
        </is>
      </c>
      <c r="F92" t="inlineStr">
        <is>
          <t>毛利率同比变化（百分点）：missing</t>
        </is>
      </c>
      <c r="G92" t="b">
        <v>0</v>
      </c>
      <c r="H92" t="b">
        <v>0</v>
      </c>
      <c r="M92" t="b">
        <v>0</v>
      </c>
    </row>
    <row r="93">
      <c r="A93" t="inlineStr">
        <is>
          <t>港股</t>
        </is>
      </c>
      <c r="B93" t="inlineStr">
        <is>
          <t>00007</t>
        </is>
      </c>
      <c r="C93" t="inlineStr">
        <is>
          <t>WISDOM WEALTH</t>
        </is>
      </c>
      <c r="D93" t="inlineStr">
        <is>
          <t>毛利率三年变化（百分点）</t>
        </is>
      </c>
      <c r="E93" t="inlineStr">
        <is>
          <t>missing</t>
        </is>
      </c>
      <c r="F93" t="inlineStr">
        <is>
          <t>毛利率三年变化（百分点）：missing</t>
        </is>
      </c>
      <c r="G93" t="b">
        <v>0</v>
      </c>
      <c r="H93" t="b">
        <v>0</v>
      </c>
      <c r="M93" t="b">
        <v>0</v>
      </c>
    </row>
    <row r="94">
      <c r="A94" t="inlineStr">
        <is>
          <t>港股</t>
        </is>
      </c>
      <c r="B94" t="inlineStr">
        <is>
          <t>00007</t>
        </is>
      </c>
      <c r="C94" t="inlineStr">
        <is>
          <t>WISDOM WEALTH</t>
        </is>
      </c>
      <c r="D94" t="inlineStr">
        <is>
          <t>归母净利润</t>
        </is>
      </c>
      <c r="E94" t="inlineStr">
        <is>
          <t>missing</t>
        </is>
      </c>
      <c r="F94" t="inlineStr">
        <is>
          <t>归母净利润：missing</t>
        </is>
      </c>
      <c r="G94" t="b">
        <v>0</v>
      </c>
      <c r="H94" t="b">
        <v>0</v>
      </c>
      <c r="M94" t="b">
        <v>0</v>
      </c>
    </row>
    <row r="95">
      <c r="A95" t="inlineStr">
        <is>
          <t>港股</t>
        </is>
      </c>
      <c r="B95" t="inlineStr">
        <is>
          <t>00007</t>
        </is>
      </c>
      <c r="C95" t="inlineStr">
        <is>
          <t>WISDOM WEALTH</t>
        </is>
      </c>
      <c r="D95" t="inlineStr">
        <is>
          <t>归母净利率</t>
        </is>
      </c>
      <c r="E95" t="inlineStr">
        <is>
          <t>missing</t>
        </is>
      </c>
      <c r="F95" t="inlineStr">
        <is>
          <t>归母净利率：missing</t>
        </is>
      </c>
      <c r="G95" t="b">
        <v>0</v>
      </c>
      <c r="H95" t="b">
        <v>0</v>
      </c>
      <c r="M95" t="b">
        <v>0</v>
      </c>
    </row>
    <row r="96">
      <c r="A96" t="inlineStr">
        <is>
          <t>港股</t>
        </is>
      </c>
      <c r="B96" t="inlineStr">
        <is>
          <t>00007</t>
        </is>
      </c>
      <c r="C96" t="inlineStr">
        <is>
          <t>WISDOM WEALTH</t>
        </is>
      </c>
      <c r="D96" t="inlineStr">
        <is>
          <t>归母净利润同比</t>
        </is>
      </c>
      <c r="E96" t="inlineStr">
        <is>
          <t>missing</t>
        </is>
      </c>
      <c r="F96" t="inlineStr">
        <is>
          <t>归母净利润同比：missing</t>
        </is>
      </c>
      <c r="G96" t="b">
        <v>0</v>
      </c>
      <c r="H96" t="b">
        <v>0</v>
      </c>
      <c r="M96" t="b">
        <v>0</v>
      </c>
    </row>
    <row r="97">
      <c r="A97" t="inlineStr">
        <is>
          <t>港股</t>
        </is>
      </c>
      <c r="B97" t="inlineStr">
        <is>
          <t>00007</t>
        </is>
      </c>
      <c r="C97" t="inlineStr">
        <is>
          <t>WISDOM WEALTH</t>
        </is>
      </c>
      <c r="D97" t="inlineStr">
        <is>
          <t>归母净利润三年 CAGR</t>
        </is>
      </c>
      <c r="E97" t="inlineStr">
        <is>
          <t>missing</t>
        </is>
      </c>
      <c r="F97" t="inlineStr">
        <is>
          <t>归母净利润三年 CAGR：missing</t>
        </is>
      </c>
      <c r="G97" t="b">
        <v>0</v>
      </c>
      <c r="H97" t="b">
        <v>0</v>
      </c>
      <c r="M97" t="b">
        <v>0</v>
      </c>
    </row>
    <row r="98">
      <c r="A98" t="inlineStr">
        <is>
          <t>港股</t>
        </is>
      </c>
      <c r="B98" t="inlineStr">
        <is>
          <t>00007</t>
        </is>
      </c>
      <c r="C98" t="inlineStr">
        <is>
          <t>WISDOM WEALTH</t>
        </is>
      </c>
      <c r="D98" t="inlineStr">
        <is>
          <t>经营活动现金流净额</t>
        </is>
      </c>
      <c r="E98" t="inlineStr">
        <is>
          <t>missing</t>
        </is>
      </c>
      <c r="F98" t="inlineStr">
        <is>
          <t>经营活动现金流净额：missing</t>
        </is>
      </c>
      <c r="G98" t="b">
        <v>0</v>
      </c>
      <c r="H98" t="b">
        <v>0</v>
      </c>
      <c r="M98" t="b">
        <v>0</v>
      </c>
    </row>
    <row r="99">
      <c r="A99" t="inlineStr">
        <is>
          <t>港股</t>
        </is>
      </c>
      <c r="B99" t="inlineStr">
        <is>
          <t>00007</t>
        </is>
      </c>
      <c r="C99" t="inlineStr">
        <is>
          <t>WISDOM WEALTH</t>
        </is>
      </c>
      <c r="D99" t="inlineStr">
        <is>
          <t>经营活动现金流同比</t>
        </is>
      </c>
      <c r="E99" t="inlineStr">
        <is>
          <t>missing</t>
        </is>
      </c>
      <c r="F99" t="inlineStr">
        <is>
          <t>经营活动现金流同比：missing</t>
        </is>
      </c>
      <c r="G99" t="b">
        <v>0</v>
      </c>
      <c r="H99" t="b">
        <v>0</v>
      </c>
      <c r="M99" t="b">
        <v>0</v>
      </c>
    </row>
    <row r="100">
      <c r="A100" t="inlineStr">
        <is>
          <t>港股</t>
        </is>
      </c>
      <c r="B100" t="inlineStr">
        <is>
          <t>00007</t>
        </is>
      </c>
      <c r="C100" t="inlineStr">
        <is>
          <t>WISDOM WEALTH</t>
        </is>
      </c>
      <c r="D100" t="inlineStr">
        <is>
          <t>经营活动现金流三年 CAGR</t>
        </is>
      </c>
      <c r="E100" t="inlineStr">
        <is>
          <t>missing</t>
        </is>
      </c>
      <c r="F100" t="inlineStr">
        <is>
          <t>经营活动现金流三年 CAGR：missing</t>
        </is>
      </c>
      <c r="G100" t="b">
        <v>0</v>
      </c>
      <c r="H100" t="b">
        <v>0</v>
      </c>
      <c r="M100" t="b">
        <v>0</v>
      </c>
    </row>
    <row r="101">
      <c r="A101" t="inlineStr">
        <is>
          <t>港股</t>
        </is>
      </c>
      <c r="B101" t="inlineStr">
        <is>
          <t>00007</t>
        </is>
      </c>
      <c r="C101" t="inlineStr">
        <is>
          <t>WISDOM WEALTH</t>
        </is>
      </c>
      <c r="D101" t="inlineStr">
        <is>
          <t>市值增长率</t>
        </is>
      </c>
      <c r="E101" t="inlineStr">
        <is>
          <t>missing</t>
        </is>
      </c>
      <c r="F101" t="inlineStr">
        <is>
          <t>市值增长率：missing</t>
        </is>
      </c>
      <c r="G101" t="b">
        <v>0</v>
      </c>
      <c r="H101" t="b">
        <v>1</v>
      </c>
      <c r="M101" t="b">
        <v>0</v>
      </c>
    </row>
    <row r="102">
      <c r="A102" t="inlineStr">
        <is>
          <t>港股</t>
        </is>
      </c>
      <c r="B102" t="inlineStr">
        <is>
          <t>00007</t>
        </is>
      </c>
      <c r="C102" t="inlineStr">
        <is>
          <t>WISDOM WEALTH</t>
        </is>
      </c>
      <c r="D102" t="inlineStr">
        <is>
          <t>最新价</t>
        </is>
      </c>
      <c r="E102" t="inlineStr">
        <is>
          <t>missing</t>
        </is>
      </c>
      <c r="F102" t="inlineStr">
        <is>
          <t>最新价：missing</t>
        </is>
      </c>
      <c r="G102" t="b">
        <v>0</v>
      </c>
      <c r="H102" t="b">
        <v>0</v>
      </c>
      <c r="M102" t="b">
        <v>0</v>
      </c>
    </row>
    <row r="103">
      <c r="A103" t="inlineStr">
        <is>
          <t>港股</t>
        </is>
      </c>
      <c r="B103" t="inlineStr">
        <is>
          <t>00007</t>
        </is>
      </c>
      <c r="C103" t="inlineStr">
        <is>
          <t>WISDOM WEALTH</t>
        </is>
      </c>
      <c r="D103" t="inlineStr">
        <is>
          <t>上市日期</t>
        </is>
      </c>
      <c r="E103" t="inlineStr">
        <is>
          <t>missing</t>
        </is>
      </c>
      <c r="F103" t="inlineStr">
        <is>
          <t>上市日期：missing</t>
        </is>
      </c>
      <c r="G103" t="b">
        <v>0</v>
      </c>
      <c r="H103" t="b">
        <v>0</v>
      </c>
      <c r="M103" t="b">
        <v>0</v>
      </c>
    </row>
    <row r="104">
      <c r="A104" t="inlineStr">
        <is>
          <t>港股</t>
        </is>
      </c>
      <c r="B104" t="inlineStr">
        <is>
          <t>00007</t>
        </is>
      </c>
      <c r="C104" t="inlineStr">
        <is>
          <t>WISDOM WEALTH</t>
        </is>
      </c>
      <c r="D104" t="inlineStr">
        <is>
          <t>发行价</t>
        </is>
      </c>
      <c r="E104" t="inlineStr">
        <is>
          <t>optional_missing</t>
        </is>
      </c>
      <c r="F104" t="inlineStr">
        <is>
          <t>发行价：optional_missing</t>
        </is>
      </c>
      <c r="G104" t="b">
        <v>0</v>
      </c>
      <c r="H104" t="b">
        <v>1</v>
      </c>
      <c r="M104" t="b">
        <v>0</v>
      </c>
    </row>
    <row r="105">
      <c r="A105" t="inlineStr">
        <is>
          <t>港股</t>
        </is>
      </c>
      <c r="B105" t="inlineStr">
        <is>
          <t>00007</t>
        </is>
      </c>
      <c r="C105" t="inlineStr">
        <is>
          <t>WISDOM WEALTH</t>
        </is>
      </c>
      <c r="D105" t="inlineStr">
        <is>
          <t>发行股数</t>
        </is>
      </c>
      <c r="E105" t="inlineStr">
        <is>
          <t>optional_missing</t>
        </is>
      </c>
      <c r="F105" t="inlineStr">
        <is>
          <t>发行股数：optional_missing</t>
        </is>
      </c>
      <c r="G105" t="b">
        <v>0</v>
      </c>
      <c r="H105" t="b">
        <v>1</v>
      </c>
      <c r="M105" t="b">
        <v>0</v>
      </c>
    </row>
    <row r="106">
      <c r="A106" t="inlineStr">
        <is>
          <t>港股</t>
        </is>
      </c>
      <c r="B106" t="inlineStr">
        <is>
          <t>00007</t>
        </is>
      </c>
      <c r="C106" t="inlineStr">
        <is>
          <t>WISDOM WEALTH</t>
        </is>
      </c>
      <c r="D106" t="inlineStr">
        <is>
          <t>发行时总市值</t>
        </is>
      </c>
      <c r="E106" t="inlineStr">
        <is>
          <t>optional_missing</t>
        </is>
      </c>
      <c r="F106" t="inlineStr">
        <is>
          <t>发行时总市值：optional_missing</t>
        </is>
      </c>
      <c r="G106" t="b">
        <v>0</v>
      </c>
      <c r="H106" t="b">
        <v>1</v>
      </c>
      <c r="M106" t="b">
        <v>0</v>
      </c>
    </row>
    <row r="107">
      <c r="A107" t="inlineStr">
        <is>
          <t>港股</t>
        </is>
      </c>
      <c r="B107" t="inlineStr">
        <is>
          <t>00007</t>
        </is>
      </c>
      <c r="C107" t="inlineStr">
        <is>
          <t>WISDOM WEALTH</t>
        </is>
      </c>
      <c r="D107" t="inlineStr">
        <is>
          <t>当年累计大宗交易笔数</t>
        </is>
      </c>
      <c r="E107" t="inlineStr">
        <is>
          <t>optional_missing</t>
        </is>
      </c>
      <c r="F107" t="inlineStr">
        <is>
          <t>当年累计大宗交易笔数：optional_missing</t>
        </is>
      </c>
      <c r="G107" t="b">
        <v>0</v>
      </c>
      <c r="H107" t="b">
        <v>1</v>
      </c>
      <c r="M107" t="b">
        <v>0</v>
      </c>
    </row>
    <row r="108">
      <c r="A108" t="inlineStr">
        <is>
          <t>港股</t>
        </is>
      </c>
      <c r="B108" t="inlineStr">
        <is>
          <t>00007</t>
        </is>
      </c>
      <c r="C108" t="inlineStr">
        <is>
          <t>WISDOM WEALTH</t>
        </is>
      </c>
      <c r="D108" t="inlineStr">
        <is>
          <t>当年累计大宗交易金额</t>
        </is>
      </c>
      <c r="E108" t="inlineStr">
        <is>
          <t>optional_missing</t>
        </is>
      </c>
      <c r="F108" t="inlineStr">
        <is>
          <t>当年累计大宗交易金额：optional_missing</t>
        </is>
      </c>
      <c r="G108" t="b">
        <v>0</v>
      </c>
      <c r="H108" t="b">
        <v>1</v>
      </c>
      <c r="M108" t="b">
        <v>0</v>
      </c>
    </row>
    <row r="109">
      <c r="A109" t="inlineStr">
        <is>
          <t>港股</t>
        </is>
      </c>
      <c r="B109" t="inlineStr">
        <is>
          <t>00007</t>
        </is>
      </c>
      <c r="C109" t="inlineStr">
        <is>
          <t>WISDOM WEALTH</t>
        </is>
      </c>
      <c r="D109" t="inlineStr">
        <is>
          <t>近五个交易日资金净额</t>
        </is>
      </c>
      <c r="E109" t="inlineStr">
        <is>
          <t>optional_missing</t>
        </is>
      </c>
      <c r="F109" t="inlineStr">
        <is>
          <t>近五个交易日资金净额：optional_missing</t>
        </is>
      </c>
      <c r="G109" t="b">
        <v>0</v>
      </c>
      <c r="H109" t="b">
        <v>1</v>
      </c>
      <c r="M109" t="b">
        <v>0</v>
      </c>
    </row>
    <row r="110">
      <c r="A110" t="inlineStr">
        <is>
          <t>港股</t>
        </is>
      </c>
      <c r="B110" t="inlineStr">
        <is>
          <t>00007</t>
        </is>
      </c>
      <c r="C110" t="inlineStr">
        <is>
          <t>WISDOM WEALTH</t>
        </is>
      </c>
      <c r="D110" t="inlineStr">
        <is>
          <t>近一月资金净额（最近22个交易日）</t>
        </is>
      </c>
      <c r="E110" t="inlineStr">
        <is>
          <t>optional_missing</t>
        </is>
      </c>
      <c r="F110" t="inlineStr">
        <is>
          <t>近一月资金净额（最近22个交易日）：optional_missing</t>
        </is>
      </c>
      <c r="G110" t="b">
        <v>0</v>
      </c>
      <c r="H110" t="b">
        <v>1</v>
      </c>
      <c r="M110" t="b">
        <v>0</v>
      </c>
    </row>
    <row r="111">
      <c r="A111" t="inlineStr">
        <is>
          <t>A股</t>
        </is>
      </c>
      <c r="B111" t="inlineStr">
        <is>
          <t>000011</t>
        </is>
      </c>
      <c r="C111" t="inlineStr">
        <is>
          <t>深物业A</t>
        </is>
      </c>
      <c r="D111" t="inlineStr">
        <is>
          <t>资金流</t>
        </is>
      </c>
      <c r="E111" t="inlineStr">
        <is>
          <t>optional_missing</t>
        </is>
      </c>
      <c r="F111" t="inlineStr">
        <is>
          <t>用户选择不抓取资金流</t>
        </is>
      </c>
      <c r="G111" t="b">
        <v>0</v>
      </c>
      <c r="H111" t="b">
        <v>1</v>
      </c>
      <c r="I111" t="inlineStr">
        <is>
          <t>配置</t>
        </is>
      </c>
      <c r="J111" t="inlineStr">
        <is>
          <t>配置</t>
        </is>
      </c>
      <c r="K111" t="inlineStr">
        <is>
          <t>flow-mode-off</t>
        </is>
      </c>
      <c r="L111" s="32" t="n">
        <v>46263.25754607147</v>
      </c>
      <c r="M111" t="b">
        <v>0</v>
      </c>
    </row>
    <row r="112">
      <c r="A112" t="inlineStr">
        <is>
          <t>A股</t>
        </is>
      </c>
      <c r="B112" t="inlineStr">
        <is>
          <t>000011</t>
        </is>
      </c>
      <c r="C112" t="inlineStr">
        <is>
          <t>深物业A</t>
        </is>
      </c>
      <c r="D112" t="inlineStr">
        <is>
          <t>近五个交易日资金净额</t>
        </is>
      </c>
      <c r="E112" t="inlineStr">
        <is>
          <t>optional_missing</t>
        </is>
      </c>
      <c r="F112" t="inlineStr">
        <is>
          <t>近五个交易日资金净额：optional_missing</t>
        </is>
      </c>
      <c r="G112" t="b">
        <v>0</v>
      </c>
      <c r="H112" t="b">
        <v>1</v>
      </c>
      <c r="M112" t="b">
        <v>0</v>
      </c>
    </row>
    <row r="113">
      <c r="A113" t="inlineStr">
        <is>
          <t>A股</t>
        </is>
      </c>
      <c r="B113" t="inlineStr">
        <is>
          <t>000011</t>
        </is>
      </c>
      <c r="C113" t="inlineStr">
        <is>
          <t>深物业A</t>
        </is>
      </c>
      <c r="D113" t="inlineStr">
        <is>
          <t>近一月资金净额（最近22个交易日）</t>
        </is>
      </c>
      <c r="E113" t="inlineStr">
        <is>
          <t>optional_missing</t>
        </is>
      </c>
      <c r="F113" t="inlineStr">
        <is>
          <t>近一月资金净额（最近22个交易日）：optional_missing</t>
        </is>
      </c>
      <c r="G113" t="b">
        <v>0</v>
      </c>
      <c r="H113" t="b">
        <v>1</v>
      </c>
      <c r="M113" t="b">
        <v>0</v>
      </c>
    </row>
    <row r="114">
      <c r="A114" t="inlineStr">
        <is>
          <t>港股</t>
        </is>
      </c>
      <c r="B114" t="inlineStr">
        <is>
          <t>00008</t>
        </is>
      </c>
      <c r="C114" t="inlineStr">
        <is>
          <t>PCCW</t>
        </is>
      </c>
      <c r="D114" t="inlineStr">
        <is>
          <t>大宗交易</t>
        </is>
      </c>
      <c r="E114" t="inlineStr">
        <is>
          <t>optional_missing</t>
        </is>
      </c>
      <c r="F114" t="inlineStr">
        <is>
          <t>港股大宗交易按允许缺失规则留空</t>
        </is>
      </c>
      <c r="G114" t="b">
        <v>0</v>
      </c>
      <c r="H114" t="b">
        <v>1</v>
      </c>
      <c r="I114" t="inlineStr">
        <is>
          <t>东方财富</t>
        </is>
      </c>
      <c r="J114" t="inlineStr">
        <is>
          <t>东方财富</t>
        </is>
      </c>
      <c r="K114" t="inlineStr">
        <is>
          <t>not-applicable-hk</t>
        </is>
      </c>
      <c r="L114" s="32" t="n">
        <v>46263.25725433244</v>
      </c>
      <c r="M114" t="b">
        <v>1</v>
      </c>
    </row>
    <row r="115">
      <c r="A115" t="inlineStr">
        <is>
          <t>港股</t>
        </is>
      </c>
      <c r="B115" t="inlineStr">
        <is>
          <t>00008</t>
        </is>
      </c>
      <c r="C115" t="inlineStr">
        <is>
          <t>PCCW</t>
        </is>
      </c>
      <c r="D115" t="inlineStr">
        <is>
          <t>资金流</t>
        </is>
      </c>
      <c r="E115" t="inlineStr">
        <is>
          <t>optional_missing</t>
        </is>
      </c>
      <c r="F115" t="inlineStr">
        <is>
          <t>用户选择不抓取资金流</t>
        </is>
      </c>
      <c r="G115" t="b">
        <v>0</v>
      </c>
      <c r="H115" t="b">
        <v>1</v>
      </c>
      <c r="I115" t="inlineStr">
        <is>
          <t>配置</t>
        </is>
      </c>
      <c r="J115" t="inlineStr">
        <is>
          <t>配置</t>
        </is>
      </c>
      <c r="K115" t="inlineStr">
        <is>
          <t>flow-mode-off</t>
        </is>
      </c>
      <c r="L115" s="32" t="n">
        <v>46263.25754607147</v>
      </c>
      <c r="M115" t="b">
        <v>0</v>
      </c>
    </row>
    <row r="116">
      <c r="A116" t="inlineStr">
        <is>
          <t>港股</t>
        </is>
      </c>
      <c r="B116" t="inlineStr">
        <is>
          <t>00008</t>
        </is>
      </c>
      <c r="C116" t="inlineStr">
        <is>
          <t>PCCW</t>
        </is>
      </c>
      <c r="D116" t="inlineStr">
        <is>
          <t>当年累计大宗交易笔数</t>
        </is>
      </c>
      <c r="E116" t="inlineStr">
        <is>
          <t>optional_missing</t>
        </is>
      </c>
      <c r="F116" t="inlineStr">
        <is>
          <t>当年累计大宗交易笔数：optional_missing</t>
        </is>
      </c>
      <c r="G116" t="b">
        <v>0</v>
      </c>
      <c r="H116" t="b">
        <v>1</v>
      </c>
      <c r="M116" t="b">
        <v>0</v>
      </c>
    </row>
    <row r="117">
      <c r="A117" t="inlineStr">
        <is>
          <t>港股</t>
        </is>
      </c>
      <c r="B117" t="inlineStr">
        <is>
          <t>00008</t>
        </is>
      </c>
      <c r="C117" t="inlineStr">
        <is>
          <t>PCCW</t>
        </is>
      </c>
      <c r="D117" t="inlineStr">
        <is>
          <t>当年累计大宗交易金额</t>
        </is>
      </c>
      <c r="E117" t="inlineStr">
        <is>
          <t>optional_missing</t>
        </is>
      </c>
      <c r="F117" t="inlineStr">
        <is>
          <t>当年累计大宗交易金额：optional_missing</t>
        </is>
      </c>
      <c r="G117" t="b">
        <v>0</v>
      </c>
      <c r="H117" t="b">
        <v>1</v>
      </c>
      <c r="M117" t="b">
        <v>0</v>
      </c>
    </row>
    <row r="118">
      <c r="A118" t="inlineStr">
        <is>
          <t>港股</t>
        </is>
      </c>
      <c r="B118" t="inlineStr">
        <is>
          <t>00008</t>
        </is>
      </c>
      <c r="C118" t="inlineStr">
        <is>
          <t>PCCW</t>
        </is>
      </c>
      <c r="D118" t="inlineStr">
        <is>
          <t>近五个交易日资金净额</t>
        </is>
      </c>
      <c r="E118" t="inlineStr">
        <is>
          <t>optional_missing</t>
        </is>
      </c>
      <c r="F118" t="inlineStr">
        <is>
          <t>近五个交易日资金净额：optional_missing</t>
        </is>
      </c>
      <c r="G118" t="b">
        <v>0</v>
      </c>
      <c r="H118" t="b">
        <v>1</v>
      </c>
      <c r="M118" t="b">
        <v>0</v>
      </c>
    </row>
    <row r="119">
      <c r="A119" t="inlineStr">
        <is>
          <t>港股</t>
        </is>
      </c>
      <c r="B119" t="inlineStr">
        <is>
          <t>00008</t>
        </is>
      </c>
      <c r="C119" t="inlineStr">
        <is>
          <t>PCCW</t>
        </is>
      </c>
      <c r="D119" t="inlineStr">
        <is>
          <t>近一月资金净额（最近22个交易日）</t>
        </is>
      </c>
      <c r="E119" t="inlineStr">
        <is>
          <t>optional_missing</t>
        </is>
      </c>
      <c r="F119" t="inlineStr">
        <is>
          <t>近一月资金净额（最近22个交易日）：optional_missing</t>
        </is>
      </c>
      <c r="G119" t="b">
        <v>0</v>
      </c>
      <c r="H119" t="b">
        <v>1</v>
      </c>
      <c r="M119" t="b">
        <v>0</v>
      </c>
    </row>
    <row r="120">
      <c r="A120" t="inlineStr">
        <is>
          <t>A股</t>
        </is>
      </c>
      <c r="B120" t="inlineStr">
        <is>
          <t>000012</t>
        </is>
      </c>
      <c r="C120" t="inlineStr">
        <is>
          <t>南玻Ａ</t>
        </is>
      </c>
      <c r="D120" t="inlineStr">
        <is>
          <t>资金流</t>
        </is>
      </c>
      <c r="E120" t="inlineStr">
        <is>
          <t>optional_missing</t>
        </is>
      </c>
      <c r="F120" t="inlineStr">
        <is>
          <t>用户选择不抓取资金流</t>
        </is>
      </c>
      <c r="G120" t="b">
        <v>0</v>
      </c>
      <c r="H120" t="b">
        <v>1</v>
      </c>
      <c r="I120" t="inlineStr">
        <is>
          <t>配置</t>
        </is>
      </c>
      <c r="J120" t="inlineStr">
        <is>
          <t>配置</t>
        </is>
      </c>
      <c r="K120" t="inlineStr">
        <is>
          <t>flow-mode-off</t>
        </is>
      </c>
      <c r="L120" s="32" t="n">
        <v>46263.25754607147</v>
      </c>
      <c r="M120" t="b">
        <v>0</v>
      </c>
    </row>
    <row r="121">
      <c r="A121" t="inlineStr">
        <is>
          <t>A股</t>
        </is>
      </c>
      <c r="B121" t="inlineStr">
        <is>
          <t>000012</t>
        </is>
      </c>
      <c r="C121" t="inlineStr">
        <is>
          <t>南玻Ａ</t>
        </is>
      </c>
      <c r="D121" t="inlineStr">
        <is>
          <t>近五个交易日资金净额</t>
        </is>
      </c>
      <c r="E121" t="inlineStr">
        <is>
          <t>optional_missing</t>
        </is>
      </c>
      <c r="F121" t="inlineStr">
        <is>
          <t>近五个交易日资金净额：optional_missing</t>
        </is>
      </c>
      <c r="G121" t="b">
        <v>0</v>
      </c>
      <c r="H121" t="b">
        <v>1</v>
      </c>
      <c r="M121" t="b">
        <v>0</v>
      </c>
    </row>
    <row r="122">
      <c r="A122" t="inlineStr">
        <is>
          <t>A股</t>
        </is>
      </c>
      <c r="B122" t="inlineStr">
        <is>
          <t>000012</t>
        </is>
      </c>
      <c r="C122" t="inlineStr">
        <is>
          <t>南玻Ａ</t>
        </is>
      </c>
      <c r="D122" t="inlineStr">
        <is>
          <t>近一月资金净额（最近22个交易日）</t>
        </is>
      </c>
      <c r="E122" t="inlineStr">
        <is>
          <t>optional_missing</t>
        </is>
      </c>
      <c r="F122" t="inlineStr">
        <is>
          <t>近一月资金净额（最近22个交易日）：optional_missing</t>
        </is>
      </c>
      <c r="G122" t="b">
        <v>0</v>
      </c>
      <c r="H122" t="b">
        <v>1</v>
      </c>
      <c r="M122" t="b">
        <v>0</v>
      </c>
    </row>
    <row r="123">
      <c r="A123" t="inlineStr">
        <is>
          <t>港股</t>
        </is>
      </c>
      <c r="B123" t="inlineStr">
        <is>
          <t>00010</t>
        </is>
      </c>
      <c r="C123" t="inlineStr">
        <is>
          <t>HANG LUNG GROUP</t>
        </is>
      </c>
      <c r="D123" t="inlineStr">
        <is>
          <t>大宗交易</t>
        </is>
      </c>
      <c r="E123" t="inlineStr">
        <is>
          <t>optional_missing</t>
        </is>
      </c>
      <c r="F123" t="inlineStr">
        <is>
          <t>港股大宗交易按允许缺失规则留空</t>
        </is>
      </c>
      <c r="G123" t="b">
        <v>0</v>
      </c>
      <c r="H123" t="b">
        <v>1</v>
      </c>
      <c r="I123" t="inlineStr">
        <is>
          <t>东方财富</t>
        </is>
      </c>
      <c r="J123" t="inlineStr">
        <is>
          <t>东方财富</t>
        </is>
      </c>
      <c r="K123" t="inlineStr">
        <is>
          <t>not-applicable-hk</t>
        </is>
      </c>
      <c r="L123" s="32" t="n">
        <v>46263.25725433244</v>
      </c>
      <c r="M123" t="b">
        <v>1</v>
      </c>
    </row>
    <row r="124">
      <c r="A124" t="inlineStr">
        <is>
          <t>港股</t>
        </is>
      </c>
      <c r="B124" t="inlineStr">
        <is>
          <t>00010</t>
        </is>
      </c>
      <c r="C124" t="inlineStr">
        <is>
          <t>HANG LUNG GROUP</t>
        </is>
      </c>
      <c r="D124" t="inlineStr">
        <is>
          <t>资金流</t>
        </is>
      </c>
      <c r="E124" t="inlineStr">
        <is>
          <t>optional_missing</t>
        </is>
      </c>
      <c r="F124" t="inlineStr">
        <is>
          <t>用户选择不抓取资金流</t>
        </is>
      </c>
      <c r="G124" t="b">
        <v>0</v>
      </c>
      <c r="H124" t="b">
        <v>1</v>
      </c>
      <c r="I124" t="inlineStr">
        <is>
          <t>配置</t>
        </is>
      </c>
      <c r="J124" t="inlineStr">
        <is>
          <t>配置</t>
        </is>
      </c>
      <c r="K124" t="inlineStr">
        <is>
          <t>flow-mode-off</t>
        </is>
      </c>
      <c r="L124" s="32" t="n">
        <v>46263.25754607147</v>
      </c>
      <c r="M124" t="b">
        <v>0</v>
      </c>
    </row>
    <row r="125">
      <c r="A125" t="inlineStr">
        <is>
          <t>港股</t>
        </is>
      </c>
      <c r="B125" t="inlineStr">
        <is>
          <t>00010</t>
        </is>
      </c>
      <c r="C125" t="inlineStr">
        <is>
          <t>HANG LUNG GROUP</t>
        </is>
      </c>
      <c r="D125" t="inlineStr">
        <is>
          <t>市值增长率</t>
        </is>
      </c>
      <c r="E125" t="inlineStr">
        <is>
          <t>missing</t>
        </is>
      </c>
      <c r="F125" t="inlineStr">
        <is>
          <t>市值增长率：missing</t>
        </is>
      </c>
      <c r="G125" t="b">
        <v>0</v>
      </c>
      <c r="H125" t="b">
        <v>1</v>
      </c>
      <c r="M125" t="b">
        <v>0</v>
      </c>
    </row>
    <row r="126">
      <c r="A126" t="inlineStr">
        <is>
          <t>港股</t>
        </is>
      </c>
      <c r="B126" t="inlineStr">
        <is>
          <t>00010</t>
        </is>
      </c>
      <c r="C126" t="inlineStr">
        <is>
          <t>HANG LUNG GROUP</t>
        </is>
      </c>
      <c r="D126" t="inlineStr">
        <is>
          <t>发行价</t>
        </is>
      </c>
      <c r="E126" t="inlineStr">
        <is>
          <t>optional_missing</t>
        </is>
      </c>
      <c r="F126" t="inlineStr">
        <is>
          <t>发行价：optional_missing</t>
        </is>
      </c>
      <c r="G126" t="b">
        <v>0</v>
      </c>
      <c r="H126" t="b">
        <v>1</v>
      </c>
      <c r="M126" t="b">
        <v>0</v>
      </c>
    </row>
    <row r="127">
      <c r="A127" t="inlineStr">
        <is>
          <t>港股</t>
        </is>
      </c>
      <c r="B127" t="inlineStr">
        <is>
          <t>00010</t>
        </is>
      </c>
      <c r="C127" t="inlineStr">
        <is>
          <t>HANG LUNG GROUP</t>
        </is>
      </c>
      <c r="D127" t="inlineStr">
        <is>
          <t>发行股数</t>
        </is>
      </c>
      <c r="E127" t="inlineStr">
        <is>
          <t>optional_missing</t>
        </is>
      </c>
      <c r="F127" t="inlineStr">
        <is>
          <t>发行股数：optional_missing</t>
        </is>
      </c>
      <c r="G127" t="b">
        <v>0</v>
      </c>
      <c r="H127" t="b">
        <v>1</v>
      </c>
      <c r="M127" t="b">
        <v>0</v>
      </c>
    </row>
    <row r="128">
      <c r="A128" t="inlineStr">
        <is>
          <t>港股</t>
        </is>
      </c>
      <c r="B128" t="inlineStr">
        <is>
          <t>00010</t>
        </is>
      </c>
      <c r="C128" t="inlineStr">
        <is>
          <t>HANG LUNG GROUP</t>
        </is>
      </c>
      <c r="D128" t="inlineStr">
        <is>
          <t>发行时总市值</t>
        </is>
      </c>
      <c r="E128" t="inlineStr">
        <is>
          <t>optional_missing</t>
        </is>
      </c>
      <c r="F128" t="inlineStr">
        <is>
          <t>发行时总市值：optional_missing</t>
        </is>
      </c>
      <c r="G128" t="b">
        <v>0</v>
      </c>
      <c r="H128" t="b">
        <v>1</v>
      </c>
      <c r="M128" t="b">
        <v>0</v>
      </c>
    </row>
    <row r="129">
      <c r="A129" t="inlineStr">
        <is>
          <t>港股</t>
        </is>
      </c>
      <c r="B129" t="inlineStr">
        <is>
          <t>00010</t>
        </is>
      </c>
      <c r="C129" t="inlineStr">
        <is>
          <t>HANG LUNG GROUP</t>
        </is>
      </c>
      <c r="D129" t="inlineStr">
        <is>
          <t>当年累计大宗交易笔数</t>
        </is>
      </c>
      <c r="E129" t="inlineStr">
        <is>
          <t>optional_missing</t>
        </is>
      </c>
      <c r="F129" t="inlineStr">
        <is>
          <t>当年累计大宗交易笔数：optional_missing</t>
        </is>
      </c>
      <c r="G129" t="b">
        <v>0</v>
      </c>
      <c r="H129" t="b">
        <v>1</v>
      </c>
      <c r="M129" t="b">
        <v>0</v>
      </c>
    </row>
    <row r="130">
      <c r="A130" t="inlineStr">
        <is>
          <t>港股</t>
        </is>
      </c>
      <c r="B130" t="inlineStr">
        <is>
          <t>00010</t>
        </is>
      </c>
      <c r="C130" t="inlineStr">
        <is>
          <t>HANG LUNG GROUP</t>
        </is>
      </c>
      <c r="D130" t="inlineStr">
        <is>
          <t>当年累计大宗交易金额</t>
        </is>
      </c>
      <c r="E130" t="inlineStr">
        <is>
          <t>optional_missing</t>
        </is>
      </c>
      <c r="F130" t="inlineStr">
        <is>
          <t>当年累计大宗交易金额：optional_missing</t>
        </is>
      </c>
      <c r="G130" t="b">
        <v>0</v>
      </c>
      <c r="H130" t="b">
        <v>1</v>
      </c>
      <c r="M130" t="b">
        <v>0</v>
      </c>
    </row>
    <row r="131">
      <c r="A131" t="inlineStr">
        <is>
          <t>港股</t>
        </is>
      </c>
      <c r="B131" t="inlineStr">
        <is>
          <t>00010</t>
        </is>
      </c>
      <c r="C131" t="inlineStr">
        <is>
          <t>HANG LUNG GROUP</t>
        </is>
      </c>
      <c r="D131" t="inlineStr">
        <is>
          <t>近五个交易日资金净额</t>
        </is>
      </c>
      <c r="E131" t="inlineStr">
        <is>
          <t>optional_missing</t>
        </is>
      </c>
      <c r="F131" t="inlineStr">
        <is>
          <t>近五个交易日资金净额：optional_missing</t>
        </is>
      </c>
      <c r="G131" t="b">
        <v>0</v>
      </c>
      <c r="H131" t="b">
        <v>1</v>
      </c>
      <c r="M131" t="b">
        <v>0</v>
      </c>
    </row>
    <row r="132">
      <c r="A132" t="inlineStr">
        <is>
          <t>港股</t>
        </is>
      </c>
      <c r="B132" t="inlineStr">
        <is>
          <t>00010</t>
        </is>
      </c>
      <c r="C132" t="inlineStr">
        <is>
          <t>HANG LUNG GROUP</t>
        </is>
      </c>
      <c r="D132" t="inlineStr">
        <is>
          <t>近一月资金净额（最近22个交易日）</t>
        </is>
      </c>
      <c r="E132" t="inlineStr">
        <is>
          <t>optional_missing</t>
        </is>
      </c>
      <c r="F132" t="inlineStr">
        <is>
          <t>近一月资金净额（最近22个交易日）：optional_missing</t>
        </is>
      </c>
      <c r="G132" t="b">
        <v>0</v>
      </c>
      <c r="H132" t="b">
        <v>1</v>
      </c>
      <c r="M132" t="b">
        <v>0</v>
      </c>
    </row>
    <row r="133">
      <c r="A133" t="inlineStr">
        <is>
          <t>A股</t>
        </is>
      </c>
      <c r="B133" t="inlineStr">
        <is>
          <t>000014</t>
        </is>
      </c>
      <c r="C133" t="inlineStr">
        <is>
          <t>沙河股份</t>
        </is>
      </c>
      <c r="D133" t="inlineStr">
        <is>
          <t>资金流</t>
        </is>
      </c>
      <c r="E133" t="inlineStr">
        <is>
          <t>optional_missing</t>
        </is>
      </c>
      <c r="F133" t="inlineStr">
        <is>
          <t>用户选择不抓取资金流</t>
        </is>
      </c>
      <c r="G133" t="b">
        <v>0</v>
      </c>
      <c r="H133" t="b">
        <v>1</v>
      </c>
      <c r="I133" t="inlineStr">
        <is>
          <t>配置</t>
        </is>
      </c>
      <c r="J133" t="inlineStr">
        <is>
          <t>配置</t>
        </is>
      </c>
      <c r="K133" t="inlineStr">
        <is>
          <t>flow-mode-off</t>
        </is>
      </c>
      <c r="L133" s="32" t="n">
        <v>46263.25754607147</v>
      </c>
      <c r="M133" t="b">
        <v>0</v>
      </c>
    </row>
    <row r="134">
      <c r="A134" t="inlineStr">
        <is>
          <t>A股</t>
        </is>
      </c>
      <c r="B134" t="inlineStr">
        <is>
          <t>000014</t>
        </is>
      </c>
      <c r="C134" t="inlineStr">
        <is>
          <t>沙河股份</t>
        </is>
      </c>
      <c r="D134" t="inlineStr">
        <is>
          <t>近五个交易日资金净额</t>
        </is>
      </c>
      <c r="E134" t="inlineStr">
        <is>
          <t>optional_missing</t>
        </is>
      </c>
      <c r="F134" t="inlineStr">
        <is>
          <t>近五个交易日资金净额：optional_missing</t>
        </is>
      </c>
      <c r="G134" t="b">
        <v>0</v>
      </c>
      <c r="H134" t="b">
        <v>1</v>
      </c>
      <c r="M134" t="b">
        <v>0</v>
      </c>
    </row>
    <row r="135">
      <c r="A135" t="inlineStr">
        <is>
          <t>A股</t>
        </is>
      </c>
      <c r="B135" t="inlineStr">
        <is>
          <t>000014</t>
        </is>
      </c>
      <c r="C135" t="inlineStr">
        <is>
          <t>沙河股份</t>
        </is>
      </c>
      <c r="D135" t="inlineStr">
        <is>
          <t>近一月资金净额（最近22个交易日）</t>
        </is>
      </c>
      <c r="E135" t="inlineStr">
        <is>
          <t>optional_missing</t>
        </is>
      </c>
      <c r="F135" t="inlineStr">
        <is>
          <t>近一月资金净额（最近22个交易日）：optional_missing</t>
        </is>
      </c>
      <c r="G135" t="b">
        <v>0</v>
      </c>
      <c r="H135" t="b">
        <v>1</v>
      </c>
      <c r="M135" t="b">
        <v>0</v>
      </c>
    </row>
    <row r="136">
      <c r="A136" t="inlineStr">
        <is>
          <t>港股</t>
        </is>
      </c>
      <c r="B136" t="inlineStr">
        <is>
          <t>00012</t>
        </is>
      </c>
      <c r="C136" t="inlineStr">
        <is>
          <t>HENDERSON LAND</t>
        </is>
      </c>
      <c r="D136" t="inlineStr">
        <is>
          <t>大宗交易</t>
        </is>
      </c>
      <c r="E136" t="inlineStr">
        <is>
          <t>optional_missing</t>
        </is>
      </c>
      <c r="F136" t="inlineStr">
        <is>
          <t>港股大宗交易按允许缺失规则留空</t>
        </is>
      </c>
      <c r="G136" t="b">
        <v>0</v>
      </c>
      <c r="H136" t="b">
        <v>1</v>
      </c>
      <c r="I136" t="inlineStr">
        <is>
          <t>东方财富</t>
        </is>
      </c>
      <c r="J136" t="inlineStr">
        <is>
          <t>东方财富</t>
        </is>
      </c>
      <c r="K136" t="inlineStr">
        <is>
          <t>not-applicable-hk</t>
        </is>
      </c>
      <c r="L136" s="32" t="n">
        <v>46263.25725433244</v>
      </c>
      <c r="M136" t="b">
        <v>1</v>
      </c>
    </row>
    <row r="137">
      <c r="A137" t="inlineStr">
        <is>
          <t>港股</t>
        </is>
      </c>
      <c r="B137" t="inlineStr">
        <is>
          <t>00012</t>
        </is>
      </c>
      <c r="C137" t="inlineStr">
        <is>
          <t>HENDERSON LAND</t>
        </is>
      </c>
      <c r="D137" t="inlineStr">
        <is>
          <t>资金流</t>
        </is>
      </c>
      <c r="E137" t="inlineStr">
        <is>
          <t>optional_missing</t>
        </is>
      </c>
      <c r="F137" t="inlineStr">
        <is>
          <t>用户选择不抓取资金流</t>
        </is>
      </c>
      <c r="G137" t="b">
        <v>0</v>
      </c>
      <c r="H137" t="b">
        <v>1</v>
      </c>
      <c r="I137" t="inlineStr">
        <is>
          <t>配置</t>
        </is>
      </c>
      <c r="J137" t="inlineStr">
        <is>
          <t>配置</t>
        </is>
      </c>
      <c r="K137" t="inlineStr">
        <is>
          <t>flow-mode-off</t>
        </is>
      </c>
      <c r="L137" s="32" t="n">
        <v>46263.25754607147</v>
      </c>
      <c r="M137" t="b">
        <v>0</v>
      </c>
    </row>
    <row r="138">
      <c r="A138" t="inlineStr">
        <is>
          <t>港股</t>
        </is>
      </c>
      <c r="B138" t="inlineStr">
        <is>
          <t>00012</t>
        </is>
      </c>
      <c r="C138" t="inlineStr">
        <is>
          <t>HENDERSON LAND</t>
        </is>
      </c>
      <c r="D138" t="inlineStr">
        <is>
          <t>市值增长率</t>
        </is>
      </c>
      <c r="E138" t="inlineStr">
        <is>
          <t>missing</t>
        </is>
      </c>
      <c r="F138" t="inlineStr">
        <is>
          <t>市值增长率：missing</t>
        </is>
      </c>
      <c r="G138" t="b">
        <v>0</v>
      </c>
      <c r="H138" t="b">
        <v>1</v>
      </c>
      <c r="M138" t="b">
        <v>0</v>
      </c>
    </row>
    <row r="139">
      <c r="A139" t="inlineStr">
        <is>
          <t>港股</t>
        </is>
      </c>
      <c r="B139" t="inlineStr">
        <is>
          <t>00012</t>
        </is>
      </c>
      <c r="C139" t="inlineStr">
        <is>
          <t>HENDERSON LAND</t>
        </is>
      </c>
      <c r="D139" t="inlineStr">
        <is>
          <t>发行价</t>
        </is>
      </c>
      <c r="E139" t="inlineStr">
        <is>
          <t>optional_missing</t>
        </is>
      </c>
      <c r="F139" t="inlineStr">
        <is>
          <t>发行价：optional_missing</t>
        </is>
      </c>
      <c r="G139" t="b">
        <v>0</v>
      </c>
      <c r="H139" t="b">
        <v>1</v>
      </c>
      <c r="M139" t="b">
        <v>0</v>
      </c>
    </row>
    <row r="140">
      <c r="A140" t="inlineStr">
        <is>
          <t>港股</t>
        </is>
      </c>
      <c r="B140" t="inlineStr">
        <is>
          <t>00012</t>
        </is>
      </c>
      <c r="C140" t="inlineStr">
        <is>
          <t>HENDERSON LAND</t>
        </is>
      </c>
      <c r="D140" t="inlineStr">
        <is>
          <t>发行股数</t>
        </is>
      </c>
      <c r="E140" t="inlineStr">
        <is>
          <t>optional_missing</t>
        </is>
      </c>
      <c r="F140" t="inlineStr">
        <is>
          <t>发行股数：optional_missing</t>
        </is>
      </c>
      <c r="G140" t="b">
        <v>0</v>
      </c>
      <c r="H140" t="b">
        <v>1</v>
      </c>
      <c r="M140" t="b">
        <v>0</v>
      </c>
    </row>
    <row r="141">
      <c r="A141" t="inlineStr">
        <is>
          <t>港股</t>
        </is>
      </c>
      <c r="B141" t="inlineStr">
        <is>
          <t>00012</t>
        </is>
      </c>
      <c r="C141" t="inlineStr">
        <is>
          <t>HENDERSON LAND</t>
        </is>
      </c>
      <c r="D141" t="inlineStr">
        <is>
          <t>发行时总市值</t>
        </is>
      </c>
      <c r="E141" t="inlineStr">
        <is>
          <t>optional_missing</t>
        </is>
      </c>
      <c r="F141" t="inlineStr">
        <is>
          <t>发行时总市值：optional_missing</t>
        </is>
      </c>
      <c r="G141" t="b">
        <v>0</v>
      </c>
      <c r="H141" t="b">
        <v>1</v>
      </c>
      <c r="M141" t="b">
        <v>0</v>
      </c>
    </row>
    <row r="142">
      <c r="A142" t="inlineStr">
        <is>
          <t>港股</t>
        </is>
      </c>
      <c r="B142" t="inlineStr">
        <is>
          <t>00012</t>
        </is>
      </c>
      <c r="C142" t="inlineStr">
        <is>
          <t>HENDERSON LAND</t>
        </is>
      </c>
      <c r="D142" t="inlineStr">
        <is>
          <t>当年累计大宗交易笔数</t>
        </is>
      </c>
      <c r="E142" t="inlineStr">
        <is>
          <t>optional_missing</t>
        </is>
      </c>
      <c r="F142" t="inlineStr">
        <is>
          <t>当年累计大宗交易笔数：optional_missing</t>
        </is>
      </c>
      <c r="G142" t="b">
        <v>0</v>
      </c>
      <c r="H142" t="b">
        <v>1</v>
      </c>
      <c r="M142" t="b">
        <v>0</v>
      </c>
    </row>
    <row r="143">
      <c r="A143" t="inlineStr">
        <is>
          <t>港股</t>
        </is>
      </c>
      <c r="B143" t="inlineStr">
        <is>
          <t>00012</t>
        </is>
      </c>
      <c r="C143" t="inlineStr">
        <is>
          <t>HENDERSON LAND</t>
        </is>
      </c>
      <c r="D143" t="inlineStr">
        <is>
          <t>当年累计大宗交易金额</t>
        </is>
      </c>
      <c r="E143" t="inlineStr">
        <is>
          <t>optional_missing</t>
        </is>
      </c>
      <c r="F143" t="inlineStr">
        <is>
          <t>当年累计大宗交易金额：optional_missing</t>
        </is>
      </c>
      <c r="G143" t="b">
        <v>0</v>
      </c>
      <c r="H143" t="b">
        <v>1</v>
      </c>
      <c r="M143" t="b">
        <v>0</v>
      </c>
    </row>
    <row r="144">
      <c r="A144" t="inlineStr">
        <is>
          <t>港股</t>
        </is>
      </c>
      <c r="B144" t="inlineStr">
        <is>
          <t>00012</t>
        </is>
      </c>
      <c r="C144" t="inlineStr">
        <is>
          <t>HENDERSON LAND</t>
        </is>
      </c>
      <c r="D144" t="inlineStr">
        <is>
          <t>近五个交易日资金净额</t>
        </is>
      </c>
      <c r="E144" t="inlineStr">
        <is>
          <t>optional_missing</t>
        </is>
      </c>
      <c r="F144" t="inlineStr">
        <is>
          <t>近五个交易日资金净额：optional_missing</t>
        </is>
      </c>
      <c r="G144" t="b">
        <v>0</v>
      </c>
      <c r="H144" t="b">
        <v>1</v>
      </c>
      <c r="M144" t="b">
        <v>0</v>
      </c>
    </row>
    <row r="145">
      <c r="A145" t="inlineStr">
        <is>
          <t>港股</t>
        </is>
      </c>
      <c r="B145" t="inlineStr">
        <is>
          <t>00012</t>
        </is>
      </c>
      <c r="C145" t="inlineStr">
        <is>
          <t>HENDERSON LAND</t>
        </is>
      </c>
      <c r="D145" t="inlineStr">
        <is>
          <t>近一月资金净额（最近22个交易日）</t>
        </is>
      </c>
      <c r="E145" t="inlineStr">
        <is>
          <t>optional_missing</t>
        </is>
      </c>
      <c r="F145" t="inlineStr">
        <is>
          <t>近一月资金净额（最近22个交易日）：optional_missing</t>
        </is>
      </c>
      <c r="G145" t="b">
        <v>0</v>
      </c>
      <c r="H145" t="b">
        <v>1</v>
      </c>
      <c r="M145" t="b">
        <v>0</v>
      </c>
    </row>
    <row r="146">
      <c r="A146" t="inlineStr">
        <is>
          <t>A股</t>
        </is>
      </c>
      <c r="B146" t="inlineStr">
        <is>
          <t>000016</t>
        </is>
      </c>
      <c r="C146" t="inlineStr">
        <is>
          <t>*ST康佳A</t>
        </is>
      </c>
      <c r="D146" t="inlineStr">
        <is>
          <t>资金流</t>
        </is>
      </c>
      <c r="E146" t="inlineStr">
        <is>
          <t>optional_missing</t>
        </is>
      </c>
      <c r="F146" t="inlineStr">
        <is>
          <t>用户选择不抓取资金流</t>
        </is>
      </c>
      <c r="G146" t="b">
        <v>0</v>
      </c>
      <c r="H146" t="b">
        <v>1</v>
      </c>
      <c r="I146" t="inlineStr">
        <is>
          <t>配置</t>
        </is>
      </c>
      <c r="J146" t="inlineStr">
        <is>
          <t>配置</t>
        </is>
      </c>
      <c r="K146" t="inlineStr">
        <is>
          <t>flow-mode-off</t>
        </is>
      </c>
      <c r="L146" s="32" t="n">
        <v>46263.25754607147</v>
      </c>
      <c r="M146" t="b">
        <v>0</v>
      </c>
    </row>
    <row r="147">
      <c r="A147" t="inlineStr">
        <is>
          <t>A股</t>
        </is>
      </c>
      <c r="B147" t="inlineStr">
        <is>
          <t>000016</t>
        </is>
      </c>
      <c r="C147" t="inlineStr">
        <is>
          <t>*ST康佳A</t>
        </is>
      </c>
      <c r="D147" t="inlineStr">
        <is>
          <t>近五个交易日资金净额</t>
        </is>
      </c>
      <c r="E147" t="inlineStr">
        <is>
          <t>optional_missing</t>
        </is>
      </c>
      <c r="F147" t="inlineStr">
        <is>
          <t>近五个交易日资金净额：optional_missing</t>
        </is>
      </c>
      <c r="G147" t="b">
        <v>0</v>
      </c>
      <c r="H147" t="b">
        <v>1</v>
      </c>
      <c r="M147" t="b">
        <v>0</v>
      </c>
    </row>
    <row r="148">
      <c r="A148" t="inlineStr">
        <is>
          <t>A股</t>
        </is>
      </c>
      <c r="B148" t="inlineStr">
        <is>
          <t>000016</t>
        </is>
      </c>
      <c r="C148" t="inlineStr">
        <is>
          <t>*ST康佳A</t>
        </is>
      </c>
      <c r="D148" t="inlineStr">
        <is>
          <t>近一月资金净额（最近22个交易日）</t>
        </is>
      </c>
      <c r="E148" t="inlineStr">
        <is>
          <t>optional_missing</t>
        </is>
      </c>
      <c r="F148" t="inlineStr">
        <is>
          <t>近一月资金净额（最近22个交易日）：optional_missing</t>
        </is>
      </c>
      <c r="G148" t="b">
        <v>0</v>
      </c>
      <c r="H148" t="b">
        <v>1</v>
      </c>
      <c r="M148" t="b">
        <v>0</v>
      </c>
    </row>
    <row r="149">
      <c r="A149" t="inlineStr">
        <is>
          <t>港股</t>
        </is>
      </c>
      <c r="B149" t="inlineStr">
        <is>
          <t>00013</t>
        </is>
      </c>
      <c r="C149" t="inlineStr">
        <is>
          <t>HUTCHMED</t>
        </is>
      </c>
      <c r="D149" t="inlineStr">
        <is>
          <t>大宗交易</t>
        </is>
      </c>
      <c r="E149" t="inlineStr">
        <is>
          <t>optional_missing</t>
        </is>
      </c>
      <c r="F149" t="inlineStr">
        <is>
          <t>港股大宗交易按允许缺失规则留空</t>
        </is>
      </c>
      <c r="G149" t="b">
        <v>0</v>
      </c>
      <c r="H149" t="b">
        <v>1</v>
      </c>
      <c r="I149" t="inlineStr">
        <is>
          <t>东方财富</t>
        </is>
      </c>
      <c r="J149" t="inlineStr">
        <is>
          <t>东方财富</t>
        </is>
      </c>
      <c r="K149" t="inlineStr">
        <is>
          <t>not-applicable-hk</t>
        </is>
      </c>
      <c r="L149" s="32" t="n">
        <v>46263.25725433244</v>
      </c>
      <c r="M149" t="b">
        <v>1</v>
      </c>
    </row>
    <row r="150">
      <c r="A150" t="inlineStr">
        <is>
          <t>港股</t>
        </is>
      </c>
      <c r="B150" t="inlineStr">
        <is>
          <t>00013</t>
        </is>
      </c>
      <c r="C150" t="inlineStr">
        <is>
          <t>HUTCHMED</t>
        </is>
      </c>
      <c r="D150" t="inlineStr">
        <is>
          <t>资金流</t>
        </is>
      </c>
      <c r="E150" t="inlineStr">
        <is>
          <t>optional_missing</t>
        </is>
      </c>
      <c r="F150" t="inlineStr">
        <is>
          <t>用户选择不抓取资金流</t>
        </is>
      </c>
      <c r="G150" t="b">
        <v>0</v>
      </c>
      <c r="H150" t="b">
        <v>1</v>
      </c>
      <c r="I150" t="inlineStr">
        <is>
          <t>配置</t>
        </is>
      </c>
      <c r="J150" t="inlineStr">
        <is>
          <t>配置</t>
        </is>
      </c>
      <c r="K150" t="inlineStr">
        <is>
          <t>flow-mode-off</t>
        </is>
      </c>
      <c r="L150" s="32" t="n">
        <v>46263.25754607147</v>
      </c>
      <c r="M150" t="b">
        <v>0</v>
      </c>
    </row>
    <row r="151">
      <c r="A151" t="inlineStr">
        <is>
          <t>港股</t>
        </is>
      </c>
      <c r="B151" t="inlineStr">
        <is>
          <t>00013</t>
        </is>
      </c>
      <c r="C151" t="inlineStr">
        <is>
          <t>HUTCHMED</t>
        </is>
      </c>
      <c r="D151" t="inlineStr">
        <is>
          <t>当年累计大宗交易笔数</t>
        </is>
      </c>
      <c r="E151" t="inlineStr">
        <is>
          <t>optional_missing</t>
        </is>
      </c>
      <c r="F151" t="inlineStr">
        <is>
          <t>当年累计大宗交易笔数：optional_missing</t>
        </is>
      </c>
      <c r="G151" t="b">
        <v>0</v>
      </c>
      <c r="H151" t="b">
        <v>1</v>
      </c>
      <c r="M151" t="b">
        <v>0</v>
      </c>
    </row>
    <row r="152">
      <c r="A152" t="inlineStr">
        <is>
          <t>港股</t>
        </is>
      </c>
      <c r="B152" t="inlineStr">
        <is>
          <t>00013</t>
        </is>
      </c>
      <c r="C152" t="inlineStr">
        <is>
          <t>HUTCHMED</t>
        </is>
      </c>
      <c r="D152" t="inlineStr">
        <is>
          <t>当年累计大宗交易金额</t>
        </is>
      </c>
      <c r="E152" t="inlineStr">
        <is>
          <t>optional_missing</t>
        </is>
      </c>
      <c r="F152" t="inlineStr">
        <is>
          <t>当年累计大宗交易金额：optional_missing</t>
        </is>
      </c>
      <c r="G152" t="b">
        <v>0</v>
      </c>
      <c r="H152" t="b">
        <v>1</v>
      </c>
      <c r="M152" t="b">
        <v>0</v>
      </c>
    </row>
    <row r="153">
      <c r="A153" t="inlineStr">
        <is>
          <t>港股</t>
        </is>
      </c>
      <c r="B153" t="inlineStr">
        <is>
          <t>00013</t>
        </is>
      </c>
      <c r="C153" t="inlineStr">
        <is>
          <t>HUTCHMED</t>
        </is>
      </c>
      <c r="D153" t="inlineStr">
        <is>
          <t>近五个交易日资金净额</t>
        </is>
      </c>
      <c r="E153" t="inlineStr">
        <is>
          <t>optional_missing</t>
        </is>
      </c>
      <c r="F153" t="inlineStr">
        <is>
          <t>近五个交易日资金净额：optional_missing</t>
        </is>
      </c>
      <c r="G153" t="b">
        <v>0</v>
      </c>
      <c r="H153" t="b">
        <v>1</v>
      </c>
      <c r="M153" t="b">
        <v>0</v>
      </c>
    </row>
    <row r="154">
      <c r="A154" t="inlineStr">
        <is>
          <t>港股</t>
        </is>
      </c>
      <c r="B154" t="inlineStr">
        <is>
          <t>00013</t>
        </is>
      </c>
      <c r="C154" t="inlineStr">
        <is>
          <t>HUTCHMED</t>
        </is>
      </c>
      <c r="D154" t="inlineStr">
        <is>
          <t>近一月资金净额（最近22个交易日）</t>
        </is>
      </c>
      <c r="E154" t="inlineStr">
        <is>
          <t>optional_missing</t>
        </is>
      </c>
      <c r="F154" t="inlineStr">
        <is>
          <t>近一月资金净额（最近22个交易日）：optional_missing</t>
        </is>
      </c>
      <c r="G154" t="b">
        <v>0</v>
      </c>
      <c r="H154" t="b">
        <v>1</v>
      </c>
      <c r="M154" t="b">
        <v>0</v>
      </c>
    </row>
    <row r="155">
      <c r="A155" t="inlineStr">
        <is>
          <t>A股</t>
        </is>
      </c>
      <c r="B155" t="inlineStr">
        <is>
          <t>000017</t>
        </is>
      </c>
      <c r="C155" t="inlineStr">
        <is>
          <t>深中华A</t>
        </is>
      </c>
      <c r="D155" t="inlineStr">
        <is>
          <t>资金流</t>
        </is>
      </c>
      <c r="E155" t="inlineStr">
        <is>
          <t>optional_missing</t>
        </is>
      </c>
      <c r="F155" t="inlineStr">
        <is>
          <t>用户选择不抓取资金流</t>
        </is>
      </c>
      <c r="G155" t="b">
        <v>0</v>
      </c>
      <c r="H155" t="b">
        <v>1</v>
      </c>
      <c r="I155" t="inlineStr">
        <is>
          <t>配置</t>
        </is>
      </c>
      <c r="J155" t="inlineStr">
        <is>
          <t>配置</t>
        </is>
      </c>
      <c r="K155" t="inlineStr">
        <is>
          <t>flow-mode-off</t>
        </is>
      </c>
      <c r="L155" s="32" t="n">
        <v>46263.25754607147</v>
      </c>
      <c r="M155" t="b">
        <v>0</v>
      </c>
    </row>
    <row r="156">
      <c r="A156" t="inlineStr">
        <is>
          <t>A股</t>
        </is>
      </c>
      <c r="B156" t="inlineStr">
        <is>
          <t>000017</t>
        </is>
      </c>
      <c r="C156" t="inlineStr">
        <is>
          <t>深中华A</t>
        </is>
      </c>
      <c r="D156" t="inlineStr">
        <is>
          <t>近五个交易日资金净额</t>
        </is>
      </c>
      <c r="E156" t="inlineStr">
        <is>
          <t>optional_missing</t>
        </is>
      </c>
      <c r="F156" t="inlineStr">
        <is>
          <t>近五个交易日资金净额：optional_missing</t>
        </is>
      </c>
      <c r="G156" t="b">
        <v>0</v>
      </c>
      <c r="H156" t="b">
        <v>1</v>
      </c>
      <c r="M156" t="b">
        <v>0</v>
      </c>
    </row>
    <row r="157">
      <c r="A157" t="inlineStr">
        <is>
          <t>A股</t>
        </is>
      </c>
      <c r="B157" t="inlineStr">
        <is>
          <t>000017</t>
        </is>
      </c>
      <c r="C157" t="inlineStr">
        <is>
          <t>深中华A</t>
        </is>
      </c>
      <c r="D157" t="inlineStr">
        <is>
          <t>近一月资金净额（最近22个交易日）</t>
        </is>
      </c>
      <c r="E157" t="inlineStr">
        <is>
          <t>optional_missing</t>
        </is>
      </c>
      <c r="F157" t="inlineStr">
        <is>
          <t>近一月资金净额（最近22个交易日）：optional_missing</t>
        </is>
      </c>
      <c r="G157" t="b">
        <v>0</v>
      </c>
      <c r="H157" t="b">
        <v>1</v>
      </c>
      <c r="M157" t="b">
        <v>0</v>
      </c>
    </row>
    <row r="158">
      <c r="A158" t="inlineStr">
        <is>
          <t>港股</t>
        </is>
      </c>
      <c r="B158" t="inlineStr">
        <is>
          <t>00014</t>
        </is>
      </c>
      <c r="C158" t="inlineStr">
        <is>
          <t>HYSAN DEV</t>
        </is>
      </c>
      <c r="D158" t="inlineStr">
        <is>
          <t>大宗交易</t>
        </is>
      </c>
      <c r="E158" t="inlineStr">
        <is>
          <t>optional_missing</t>
        </is>
      </c>
      <c r="F158" t="inlineStr">
        <is>
          <t>港股大宗交易按允许缺失规则留空</t>
        </is>
      </c>
      <c r="G158" t="b">
        <v>0</v>
      </c>
      <c r="H158" t="b">
        <v>1</v>
      </c>
      <c r="I158" t="inlineStr">
        <is>
          <t>东方财富</t>
        </is>
      </c>
      <c r="J158" t="inlineStr">
        <is>
          <t>东方财富</t>
        </is>
      </c>
      <c r="K158" t="inlineStr">
        <is>
          <t>not-applicable-hk</t>
        </is>
      </c>
      <c r="L158" s="32" t="n">
        <v>46263.25725433244</v>
      </c>
      <c r="M158" t="b">
        <v>1</v>
      </c>
    </row>
    <row r="159">
      <c r="A159" t="inlineStr">
        <is>
          <t>港股</t>
        </is>
      </c>
      <c r="B159" t="inlineStr">
        <is>
          <t>00014</t>
        </is>
      </c>
      <c r="C159" t="inlineStr">
        <is>
          <t>HYSAN DEV</t>
        </is>
      </c>
      <c r="D159" t="inlineStr">
        <is>
          <t>资金流</t>
        </is>
      </c>
      <c r="E159" t="inlineStr">
        <is>
          <t>optional_missing</t>
        </is>
      </c>
      <c r="F159" t="inlineStr">
        <is>
          <t>用户选择不抓取资金流</t>
        </is>
      </c>
      <c r="G159" t="b">
        <v>0</v>
      </c>
      <c r="H159" t="b">
        <v>1</v>
      </c>
      <c r="I159" t="inlineStr">
        <is>
          <t>配置</t>
        </is>
      </c>
      <c r="J159" t="inlineStr">
        <is>
          <t>配置</t>
        </is>
      </c>
      <c r="K159" t="inlineStr">
        <is>
          <t>flow-mode-off</t>
        </is>
      </c>
      <c r="L159" s="32" t="n">
        <v>46263.25754607147</v>
      </c>
      <c r="M159" t="b">
        <v>0</v>
      </c>
    </row>
    <row r="160">
      <c r="A160" t="inlineStr">
        <is>
          <t>港股</t>
        </is>
      </c>
      <c r="B160" t="inlineStr">
        <is>
          <t>00014</t>
        </is>
      </c>
      <c r="C160" t="inlineStr">
        <is>
          <t>HYSAN DEV</t>
        </is>
      </c>
      <c r="D160" t="inlineStr">
        <is>
          <t>市值增长率</t>
        </is>
      </c>
      <c r="E160" t="inlineStr">
        <is>
          <t>missing</t>
        </is>
      </c>
      <c r="F160" t="inlineStr">
        <is>
          <t>市值增长率：missing</t>
        </is>
      </c>
      <c r="G160" t="b">
        <v>0</v>
      </c>
      <c r="H160" t="b">
        <v>1</v>
      </c>
      <c r="M160" t="b">
        <v>0</v>
      </c>
    </row>
    <row r="161">
      <c r="A161" t="inlineStr">
        <is>
          <t>港股</t>
        </is>
      </c>
      <c r="B161" t="inlineStr">
        <is>
          <t>00014</t>
        </is>
      </c>
      <c r="C161" t="inlineStr">
        <is>
          <t>HYSAN DEV</t>
        </is>
      </c>
      <c r="D161" t="inlineStr">
        <is>
          <t>发行价</t>
        </is>
      </c>
      <c r="E161" t="inlineStr">
        <is>
          <t>optional_missing</t>
        </is>
      </c>
      <c r="F161" t="inlineStr">
        <is>
          <t>发行价：optional_missing</t>
        </is>
      </c>
      <c r="G161" t="b">
        <v>0</v>
      </c>
      <c r="H161" t="b">
        <v>1</v>
      </c>
      <c r="M161" t="b">
        <v>0</v>
      </c>
    </row>
    <row r="162">
      <c r="A162" t="inlineStr">
        <is>
          <t>港股</t>
        </is>
      </c>
      <c r="B162" t="inlineStr">
        <is>
          <t>00014</t>
        </is>
      </c>
      <c r="C162" t="inlineStr">
        <is>
          <t>HYSAN DEV</t>
        </is>
      </c>
      <c r="D162" t="inlineStr">
        <is>
          <t>发行股数</t>
        </is>
      </c>
      <c r="E162" t="inlineStr">
        <is>
          <t>optional_missing</t>
        </is>
      </c>
      <c r="F162" t="inlineStr">
        <is>
          <t>发行股数：optional_missing</t>
        </is>
      </c>
      <c r="G162" t="b">
        <v>0</v>
      </c>
      <c r="H162" t="b">
        <v>1</v>
      </c>
      <c r="M162" t="b">
        <v>0</v>
      </c>
    </row>
    <row r="163">
      <c r="A163" t="inlineStr">
        <is>
          <t>港股</t>
        </is>
      </c>
      <c r="B163" t="inlineStr">
        <is>
          <t>00014</t>
        </is>
      </c>
      <c r="C163" t="inlineStr">
        <is>
          <t>HYSAN DEV</t>
        </is>
      </c>
      <c r="D163" t="inlineStr">
        <is>
          <t>发行时总市值</t>
        </is>
      </c>
      <c r="E163" t="inlineStr">
        <is>
          <t>optional_missing</t>
        </is>
      </c>
      <c r="F163" t="inlineStr">
        <is>
          <t>发行时总市值：optional_missing</t>
        </is>
      </c>
      <c r="G163" t="b">
        <v>0</v>
      </c>
      <c r="H163" t="b">
        <v>1</v>
      </c>
      <c r="M163" t="b">
        <v>0</v>
      </c>
    </row>
    <row r="164">
      <c r="A164" t="inlineStr">
        <is>
          <t>港股</t>
        </is>
      </c>
      <c r="B164" t="inlineStr">
        <is>
          <t>00014</t>
        </is>
      </c>
      <c r="C164" t="inlineStr">
        <is>
          <t>HYSAN DEV</t>
        </is>
      </c>
      <c r="D164" t="inlineStr">
        <is>
          <t>当年累计大宗交易笔数</t>
        </is>
      </c>
      <c r="E164" t="inlineStr">
        <is>
          <t>optional_missing</t>
        </is>
      </c>
      <c r="F164" t="inlineStr">
        <is>
          <t>当年累计大宗交易笔数：optional_missing</t>
        </is>
      </c>
      <c r="G164" t="b">
        <v>0</v>
      </c>
      <c r="H164" t="b">
        <v>1</v>
      </c>
      <c r="M164" t="b">
        <v>0</v>
      </c>
    </row>
    <row r="165">
      <c r="A165" t="inlineStr">
        <is>
          <t>港股</t>
        </is>
      </c>
      <c r="B165" t="inlineStr">
        <is>
          <t>00014</t>
        </is>
      </c>
      <c r="C165" t="inlineStr">
        <is>
          <t>HYSAN DEV</t>
        </is>
      </c>
      <c r="D165" t="inlineStr">
        <is>
          <t>当年累计大宗交易金额</t>
        </is>
      </c>
      <c r="E165" t="inlineStr">
        <is>
          <t>optional_missing</t>
        </is>
      </c>
      <c r="F165" t="inlineStr">
        <is>
          <t>当年累计大宗交易金额：optional_missing</t>
        </is>
      </c>
      <c r="G165" t="b">
        <v>0</v>
      </c>
      <c r="H165" t="b">
        <v>1</v>
      </c>
      <c r="M165" t="b">
        <v>0</v>
      </c>
    </row>
    <row r="166">
      <c r="A166" t="inlineStr">
        <is>
          <t>港股</t>
        </is>
      </c>
      <c r="B166" t="inlineStr">
        <is>
          <t>00014</t>
        </is>
      </c>
      <c r="C166" t="inlineStr">
        <is>
          <t>HYSAN DEV</t>
        </is>
      </c>
      <c r="D166" t="inlineStr">
        <is>
          <t>近五个交易日资金净额</t>
        </is>
      </c>
      <c r="E166" t="inlineStr">
        <is>
          <t>optional_missing</t>
        </is>
      </c>
      <c r="F166" t="inlineStr">
        <is>
          <t>近五个交易日资金净额：optional_missing</t>
        </is>
      </c>
      <c r="G166" t="b">
        <v>0</v>
      </c>
      <c r="H166" t="b">
        <v>1</v>
      </c>
      <c r="M166" t="b">
        <v>0</v>
      </c>
    </row>
    <row r="167">
      <c r="A167" t="inlineStr">
        <is>
          <t>港股</t>
        </is>
      </c>
      <c r="B167" t="inlineStr">
        <is>
          <t>00014</t>
        </is>
      </c>
      <c r="C167" t="inlineStr">
        <is>
          <t>HYSAN DEV</t>
        </is>
      </c>
      <c r="D167" t="inlineStr">
        <is>
          <t>近一月资金净额（最近22个交易日）</t>
        </is>
      </c>
      <c r="E167" t="inlineStr">
        <is>
          <t>optional_missing</t>
        </is>
      </c>
      <c r="F167" t="inlineStr">
        <is>
          <t>近一月资金净额（最近22个交易日）：optional_missing</t>
        </is>
      </c>
      <c r="G167" t="b">
        <v>0</v>
      </c>
      <c r="H167" t="b">
        <v>1</v>
      </c>
      <c r="M167" t="b">
        <v>0</v>
      </c>
    </row>
    <row r="168">
      <c r="A168" t="inlineStr">
        <is>
          <t>A股</t>
        </is>
      </c>
      <c r="B168" t="inlineStr">
        <is>
          <t>000019</t>
        </is>
      </c>
      <c r="C168" t="inlineStr">
        <is>
          <t>深粮控股</t>
        </is>
      </c>
      <c r="D168" t="inlineStr">
        <is>
          <t>资金流</t>
        </is>
      </c>
      <c r="E168" t="inlineStr">
        <is>
          <t>optional_missing</t>
        </is>
      </c>
      <c r="F168" t="inlineStr">
        <is>
          <t>用户选择不抓取资金流</t>
        </is>
      </c>
      <c r="G168" t="b">
        <v>0</v>
      </c>
      <c r="H168" t="b">
        <v>1</v>
      </c>
      <c r="I168" t="inlineStr">
        <is>
          <t>配置</t>
        </is>
      </c>
      <c r="J168" t="inlineStr">
        <is>
          <t>配置</t>
        </is>
      </c>
      <c r="K168" t="inlineStr">
        <is>
          <t>flow-mode-off</t>
        </is>
      </c>
      <c r="L168" s="32" t="n">
        <v>46263.25754607147</v>
      </c>
      <c r="M168" t="b">
        <v>0</v>
      </c>
    </row>
    <row r="169">
      <c r="A169" t="inlineStr">
        <is>
          <t>A股</t>
        </is>
      </c>
      <c r="B169" t="inlineStr">
        <is>
          <t>000019</t>
        </is>
      </c>
      <c r="C169" t="inlineStr">
        <is>
          <t>深粮控股</t>
        </is>
      </c>
      <c r="D169" t="inlineStr">
        <is>
          <t>近五个交易日资金净额</t>
        </is>
      </c>
      <c r="E169" t="inlineStr">
        <is>
          <t>optional_missing</t>
        </is>
      </c>
      <c r="F169" t="inlineStr">
        <is>
          <t>近五个交易日资金净额：optional_missing</t>
        </is>
      </c>
      <c r="G169" t="b">
        <v>0</v>
      </c>
      <c r="H169" t="b">
        <v>1</v>
      </c>
      <c r="M169" t="b">
        <v>0</v>
      </c>
    </row>
    <row r="170">
      <c r="A170" t="inlineStr">
        <is>
          <t>A股</t>
        </is>
      </c>
      <c r="B170" t="inlineStr">
        <is>
          <t>000019</t>
        </is>
      </c>
      <c r="C170" t="inlineStr">
        <is>
          <t>深粮控股</t>
        </is>
      </c>
      <c r="D170" t="inlineStr">
        <is>
          <t>近一月资金净额（最近22个交易日）</t>
        </is>
      </c>
      <c r="E170" t="inlineStr">
        <is>
          <t>optional_missing</t>
        </is>
      </c>
      <c r="F170" t="inlineStr">
        <is>
          <t>近一月资金净额（最近22个交易日）：optional_missing</t>
        </is>
      </c>
      <c r="G170" t="b">
        <v>0</v>
      </c>
      <c r="H170" t="b">
        <v>1</v>
      </c>
      <c r="M170" t="b">
        <v>0</v>
      </c>
    </row>
    <row r="171">
      <c r="A171" t="inlineStr">
        <is>
          <t>港股</t>
        </is>
      </c>
      <c r="B171" t="inlineStr">
        <is>
          <t>00016</t>
        </is>
      </c>
      <c r="C171" t="inlineStr">
        <is>
          <t>SHK PPT</t>
        </is>
      </c>
      <c r="D171" t="inlineStr">
        <is>
          <t>大宗交易</t>
        </is>
      </c>
      <c r="E171" t="inlineStr">
        <is>
          <t>optional_missing</t>
        </is>
      </c>
      <c r="F171" t="inlineStr">
        <is>
          <t>港股大宗交易按允许缺失规则留空</t>
        </is>
      </c>
      <c r="G171" t="b">
        <v>0</v>
      </c>
      <c r="H171" t="b">
        <v>1</v>
      </c>
      <c r="I171" t="inlineStr">
        <is>
          <t>东方财富</t>
        </is>
      </c>
      <c r="J171" t="inlineStr">
        <is>
          <t>东方财富</t>
        </is>
      </c>
      <c r="K171" t="inlineStr">
        <is>
          <t>not-applicable-hk</t>
        </is>
      </c>
      <c r="L171" s="32" t="n">
        <v>46263.25725433244</v>
      </c>
      <c r="M171" t="b">
        <v>1</v>
      </c>
    </row>
    <row r="172">
      <c r="A172" t="inlineStr">
        <is>
          <t>港股</t>
        </is>
      </c>
      <c r="B172" t="inlineStr">
        <is>
          <t>00016</t>
        </is>
      </c>
      <c r="C172" t="inlineStr">
        <is>
          <t>SHK PPT</t>
        </is>
      </c>
      <c r="D172" t="inlineStr">
        <is>
          <t>资金流</t>
        </is>
      </c>
      <c r="E172" t="inlineStr">
        <is>
          <t>optional_missing</t>
        </is>
      </c>
      <c r="F172" t="inlineStr">
        <is>
          <t>用户选择不抓取资金流</t>
        </is>
      </c>
      <c r="G172" t="b">
        <v>0</v>
      </c>
      <c r="H172" t="b">
        <v>1</v>
      </c>
      <c r="I172" t="inlineStr">
        <is>
          <t>配置</t>
        </is>
      </c>
      <c r="J172" t="inlineStr">
        <is>
          <t>配置</t>
        </is>
      </c>
      <c r="K172" t="inlineStr">
        <is>
          <t>flow-mode-off</t>
        </is>
      </c>
      <c r="L172" s="32" t="n">
        <v>46263.25754607147</v>
      </c>
      <c r="M172" t="b">
        <v>0</v>
      </c>
    </row>
    <row r="173">
      <c r="A173" t="inlineStr">
        <is>
          <t>港股</t>
        </is>
      </c>
      <c r="B173" t="inlineStr">
        <is>
          <t>00016</t>
        </is>
      </c>
      <c r="C173" t="inlineStr">
        <is>
          <t>SHK PPT</t>
        </is>
      </c>
      <c r="D173" t="inlineStr">
        <is>
          <t>市值增长率</t>
        </is>
      </c>
      <c r="E173" t="inlineStr">
        <is>
          <t>missing</t>
        </is>
      </c>
      <c r="F173" t="inlineStr">
        <is>
          <t>市值增长率：missing</t>
        </is>
      </c>
      <c r="G173" t="b">
        <v>0</v>
      </c>
      <c r="H173" t="b">
        <v>1</v>
      </c>
      <c r="M173" t="b">
        <v>0</v>
      </c>
    </row>
    <row r="174">
      <c r="A174" t="inlineStr">
        <is>
          <t>港股</t>
        </is>
      </c>
      <c r="B174" t="inlineStr">
        <is>
          <t>00016</t>
        </is>
      </c>
      <c r="C174" t="inlineStr">
        <is>
          <t>SHK PPT</t>
        </is>
      </c>
      <c r="D174" t="inlineStr">
        <is>
          <t>发行价</t>
        </is>
      </c>
      <c r="E174" t="inlineStr">
        <is>
          <t>optional_missing</t>
        </is>
      </c>
      <c r="F174" t="inlineStr">
        <is>
          <t>发行价：optional_missing</t>
        </is>
      </c>
      <c r="G174" t="b">
        <v>0</v>
      </c>
      <c r="H174" t="b">
        <v>1</v>
      </c>
      <c r="M174" t="b">
        <v>0</v>
      </c>
    </row>
    <row r="175">
      <c r="A175" t="inlineStr">
        <is>
          <t>港股</t>
        </is>
      </c>
      <c r="B175" t="inlineStr">
        <is>
          <t>00016</t>
        </is>
      </c>
      <c r="C175" t="inlineStr">
        <is>
          <t>SHK PPT</t>
        </is>
      </c>
      <c r="D175" t="inlineStr">
        <is>
          <t>发行股数</t>
        </is>
      </c>
      <c r="E175" t="inlineStr">
        <is>
          <t>optional_missing</t>
        </is>
      </c>
      <c r="F175" t="inlineStr">
        <is>
          <t>发行股数：optional_missing</t>
        </is>
      </c>
      <c r="G175" t="b">
        <v>0</v>
      </c>
      <c r="H175" t="b">
        <v>1</v>
      </c>
      <c r="M175" t="b">
        <v>0</v>
      </c>
    </row>
    <row r="176">
      <c r="A176" t="inlineStr">
        <is>
          <t>港股</t>
        </is>
      </c>
      <c r="B176" t="inlineStr">
        <is>
          <t>00016</t>
        </is>
      </c>
      <c r="C176" t="inlineStr">
        <is>
          <t>SHK PPT</t>
        </is>
      </c>
      <c r="D176" t="inlineStr">
        <is>
          <t>发行时总市值</t>
        </is>
      </c>
      <c r="E176" t="inlineStr">
        <is>
          <t>optional_missing</t>
        </is>
      </c>
      <c r="F176" t="inlineStr">
        <is>
          <t>发行时总市值：optional_missing</t>
        </is>
      </c>
      <c r="G176" t="b">
        <v>0</v>
      </c>
      <c r="H176" t="b">
        <v>1</v>
      </c>
      <c r="M176" t="b">
        <v>0</v>
      </c>
    </row>
    <row r="177">
      <c r="A177" t="inlineStr">
        <is>
          <t>港股</t>
        </is>
      </c>
      <c r="B177" t="inlineStr">
        <is>
          <t>00016</t>
        </is>
      </c>
      <c r="C177" t="inlineStr">
        <is>
          <t>SHK PPT</t>
        </is>
      </c>
      <c r="D177" t="inlineStr">
        <is>
          <t>当年累计大宗交易笔数</t>
        </is>
      </c>
      <c r="E177" t="inlineStr">
        <is>
          <t>optional_missing</t>
        </is>
      </c>
      <c r="F177" t="inlineStr">
        <is>
          <t>当年累计大宗交易笔数：optional_missing</t>
        </is>
      </c>
      <c r="G177" t="b">
        <v>0</v>
      </c>
      <c r="H177" t="b">
        <v>1</v>
      </c>
      <c r="M177" t="b">
        <v>0</v>
      </c>
    </row>
    <row r="178">
      <c r="A178" t="inlineStr">
        <is>
          <t>港股</t>
        </is>
      </c>
      <c r="B178" t="inlineStr">
        <is>
          <t>00016</t>
        </is>
      </c>
      <c r="C178" t="inlineStr">
        <is>
          <t>SHK PPT</t>
        </is>
      </c>
      <c r="D178" t="inlineStr">
        <is>
          <t>当年累计大宗交易金额</t>
        </is>
      </c>
      <c r="E178" t="inlineStr">
        <is>
          <t>optional_missing</t>
        </is>
      </c>
      <c r="F178" t="inlineStr">
        <is>
          <t>当年累计大宗交易金额：optional_missing</t>
        </is>
      </c>
      <c r="G178" t="b">
        <v>0</v>
      </c>
      <c r="H178" t="b">
        <v>1</v>
      </c>
      <c r="M178" t="b">
        <v>0</v>
      </c>
    </row>
    <row r="179">
      <c r="A179" t="inlineStr">
        <is>
          <t>港股</t>
        </is>
      </c>
      <c r="B179" t="inlineStr">
        <is>
          <t>00016</t>
        </is>
      </c>
      <c r="C179" t="inlineStr">
        <is>
          <t>SHK PPT</t>
        </is>
      </c>
      <c r="D179" t="inlineStr">
        <is>
          <t>近五个交易日资金净额</t>
        </is>
      </c>
      <c r="E179" t="inlineStr">
        <is>
          <t>optional_missing</t>
        </is>
      </c>
      <c r="F179" t="inlineStr">
        <is>
          <t>近五个交易日资金净额：optional_missing</t>
        </is>
      </c>
      <c r="G179" t="b">
        <v>0</v>
      </c>
      <c r="H179" t="b">
        <v>1</v>
      </c>
      <c r="M179" t="b">
        <v>0</v>
      </c>
    </row>
    <row r="180">
      <c r="A180" t="inlineStr">
        <is>
          <t>港股</t>
        </is>
      </c>
      <c r="B180" t="inlineStr">
        <is>
          <t>00016</t>
        </is>
      </c>
      <c r="C180" t="inlineStr">
        <is>
          <t>SHK PPT</t>
        </is>
      </c>
      <c r="D180" t="inlineStr">
        <is>
          <t>近一月资金净额（最近22个交易日）</t>
        </is>
      </c>
      <c r="E180" t="inlineStr">
        <is>
          <t>optional_missing</t>
        </is>
      </c>
      <c r="F180" t="inlineStr">
        <is>
          <t>近一月资金净额（最近22个交易日）：optional_missing</t>
        </is>
      </c>
      <c r="G180" t="b">
        <v>0</v>
      </c>
      <c r="H180" t="b">
        <v>1</v>
      </c>
      <c r="M180" t="b">
        <v>0</v>
      </c>
    </row>
    <row r="181">
      <c r="A181" t="inlineStr">
        <is>
          <t>A股</t>
        </is>
      </c>
      <c r="B181" t="inlineStr">
        <is>
          <t>000020</t>
        </is>
      </c>
      <c r="C181" t="inlineStr">
        <is>
          <t>深华发Ａ</t>
        </is>
      </c>
      <c r="D181" t="inlineStr">
        <is>
          <t>资金流</t>
        </is>
      </c>
      <c r="E181" t="inlineStr">
        <is>
          <t>optional_missing</t>
        </is>
      </c>
      <c r="F181" t="inlineStr">
        <is>
          <t>用户选择不抓取资金流</t>
        </is>
      </c>
      <c r="G181" t="b">
        <v>0</v>
      </c>
      <c r="H181" t="b">
        <v>1</v>
      </c>
      <c r="I181" t="inlineStr">
        <is>
          <t>配置</t>
        </is>
      </c>
      <c r="J181" t="inlineStr">
        <is>
          <t>配置</t>
        </is>
      </c>
      <c r="K181" t="inlineStr">
        <is>
          <t>flow-mode-off</t>
        </is>
      </c>
      <c r="L181" s="32" t="n">
        <v>46263.25754607147</v>
      </c>
      <c r="M181" t="b">
        <v>0</v>
      </c>
    </row>
    <row r="182">
      <c r="A182" t="inlineStr">
        <is>
          <t>A股</t>
        </is>
      </c>
      <c r="B182" t="inlineStr">
        <is>
          <t>000020</t>
        </is>
      </c>
      <c r="C182" t="inlineStr">
        <is>
          <t>深华发Ａ</t>
        </is>
      </c>
      <c r="D182" t="inlineStr">
        <is>
          <t>近五个交易日资金净额</t>
        </is>
      </c>
      <c r="E182" t="inlineStr">
        <is>
          <t>optional_missing</t>
        </is>
      </c>
      <c r="F182" t="inlineStr">
        <is>
          <t>近五个交易日资金净额：optional_missing</t>
        </is>
      </c>
      <c r="G182" t="b">
        <v>0</v>
      </c>
      <c r="H182" t="b">
        <v>1</v>
      </c>
      <c r="M182" t="b">
        <v>0</v>
      </c>
    </row>
    <row r="183">
      <c r="A183" t="inlineStr">
        <is>
          <t>A股</t>
        </is>
      </c>
      <c r="B183" t="inlineStr">
        <is>
          <t>000020</t>
        </is>
      </c>
      <c r="C183" t="inlineStr">
        <is>
          <t>深华发Ａ</t>
        </is>
      </c>
      <c r="D183" t="inlineStr">
        <is>
          <t>近一月资金净额（最近22个交易日）</t>
        </is>
      </c>
      <c r="E183" t="inlineStr">
        <is>
          <t>optional_missing</t>
        </is>
      </c>
      <c r="F183" t="inlineStr">
        <is>
          <t>近一月资金净额（最近22个交易日）：optional_missing</t>
        </is>
      </c>
      <c r="G183" t="b">
        <v>0</v>
      </c>
      <c r="H183" t="b">
        <v>1</v>
      </c>
      <c r="M183" t="b">
        <v>0</v>
      </c>
    </row>
    <row r="184">
      <c r="A184" t="inlineStr">
        <is>
          <t>港股</t>
        </is>
      </c>
      <c r="B184" t="inlineStr">
        <is>
          <t>00017</t>
        </is>
      </c>
      <c r="C184" t="inlineStr">
        <is>
          <t>NEW WORLD DEV</t>
        </is>
      </c>
      <c r="D184" t="inlineStr">
        <is>
          <t>大宗交易</t>
        </is>
      </c>
      <c r="E184" t="inlineStr">
        <is>
          <t>optional_missing</t>
        </is>
      </c>
      <c r="F184" t="inlineStr">
        <is>
          <t>港股大宗交易按允许缺失规则留空</t>
        </is>
      </c>
      <c r="G184" t="b">
        <v>0</v>
      </c>
      <c r="H184" t="b">
        <v>1</v>
      </c>
      <c r="I184" t="inlineStr">
        <is>
          <t>东方财富</t>
        </is>
      </c>
      <c r="J184" t="inlineStr">
        <is>
          <t>东方财富</t>
        </is>
      </c>
      <c r="K184" t="inlineStr">
        <is>
          <t>not-applicable-hk</t>
        </is>
      </c>
      <c r="L184" s="32" t="n">
        <v>46263.25725433244</v>
      </c>
      <c r="M184" t="b">
        <v>1</v>
      </c>
    </row>
    <row r="185">
      <c r="A185" t="inlineStr">
        <is>
          <t>港股</t>
        </is>
      </c>
      <c r="B185" t="inlineStr">
        <is>
          <t>00017</t>
        </is>
      </c>
      <c r="C185" t="inlineStr">
        <is>
          <t>NEW WORLD DEV</t>
        </is>
      </c>
      <c r="D185" t="inlineStr">
        <is>
          <t>资金流</t>
        </is>
      </c>
      <c r="E185" t="inlineStr">
        <is>
          <t>optional_missing</t>
        </is>
      </c>
      <c r="F185" t="inlineStr">
        <is>
          <t>用户选择不抓取资金流</t>
        </is>
      </c>
      <c r="G185" t="b">
        <v>0</v>
      </c>
      <c r="H185" t="b">
        <v>1</v>
      </c>
      <c r="I185" t="inlineStr">
        <is>
          <t>配置</t>
        </is>
      </c>
      <c r="J185" t="inlineStr">
        <is>
          <t>配置</t>
        </is>
      </c>
      <c r="K185" t="inlineStr">
        <is>
          <t>flow-mode-off</t>
        </is>
      </c>
      <c r="L185" s="32" t="n">
        <v>46263.25754607147</v>
      </c>
      <c r="M185" t="b">
        <v>0</v>
      </c>
    </row>
    <row r="186">
      <c r="A186" t="inlineStr">
        <is>
          <t>港股</t>
        </is>
      </c>
      <c r="B186" t="inlineStr">
        <is>
          <t>00017</t>
        </is>
      </c>
      <c r="C186" t="inlineStr">
        <is>
          <t>NEW WORLD DEV</t>
        </is>
      </c>
      <c r="D186" t="inlineStr">
        <is>
          <t>当年累计大宗交易笔数</t>
        </is>
      </c>
      <c r="E186" t="inlineStr">
        <is>
          <t>optional_missing</t>
        </is>
      </c>
      <c r="F186" t="inlineStr">
        <is>
          <t>当年累计大宗交易笔数：optional_missing</t>
        </is>
      </c>
      <c r="G186" t="b">
        <v>0</v>
      </c>
      <c r="H186" t="b">
        <v>1</v>
      </c>
      <c r="M186" t="b">
        <v>0</v>
      </c>
    </row>
    <row r="187">
      <c r="A187" t="inlineStr">
        <is>
          <t>港股</t>
        </is>
      </c>
      <c r="B187" t="inlineStr">
        <is>
          <t>00017</t>
        </is>
      </c>
      <c r="C187" t="inlineStr">
        <is>
          <t>NEW WORLD DEV</t>
        </is>
      </c>
      <c r="D187" t="inlineStr">
        <is>
          <t>当年累计大宗交易金额</t>
        </is>
      </c>
      <c r="E187" t="inlineStr">
        <is>
          <t>optional_missing</t>
        </is>
      </c>
      <c r="F187" t="inlineStr">
        <is>
          <t>当年累计大宗交易金额：optional_missing</t>
        </is>
      </c>
      <c r="G187" t="b">
        <v>0</v>
      </c>
      <c r="H187" t="b">
        <v>1</v>
      </c>
      <c r="M187" t="b">
        <v>0</v>
      </c>
    </row>
    <row r="188">
      <c r="A188" t="inlineStr">
        <is>
          <t>港股</t>
        </is>
      </c>
      <c r="B188" t="inlineStr">
        <is>
          <t>00017</t>
        </is>
      </c>
      <c r="C188" t="inlineStr">
        <is>
          <t>NEW WORLD DEV</t>
        </is>
      </c>
      <c r="D188" t="inlineStr">
        <is>
          <t>近五个交易日资金净额</t>
        </is>
      </c>
      <c r="E188" t="inlineStr">
        <is>
          <t>optional_missing</t>
        </is>
      </c>
      <c r="F188" t="inlineStr">
        <is>
          <t>近五个交易日资金净额：optional_missing</t>
        </is>
      </c>
      <c r="G188" t="b">
        <v>0</v>
      </c>
      <c r="H188" t="b">
        <v>1</v>
      </c>
      <c r="M188" t="b">
        <v>0</v>
      </c>
    </row>
    <row r="189">
      <c r="A189" t="inlineStr">
        <is>
          <t>港股</t>
        </is>
      </c>
      <c r="B189" t="inlineStr">
        <is>
          <t>00017</t>
        </is>
      </c>
      <c r="C189" t="inlineStr">
        <is>
          <t>NEW WORLD DEV</t>
        </is>
      </c>
      <c r="D189" t="inlineStr">
        <is>
          <t>近一月资金净额（最近22个交易日）</t>
        </is>
      </c>
      <c r="E189" t="inlineStr">
        <is>
          <t>optional_missing</t>
        </is>
      </c>
      <c r="F189" t="inlineStr">
        <is>
          <t>近一月资金净额（最近22个交易日）：optional_missing</t>
        </is>
      </c>
      <c r="G189" t="b">
        <v>0</v>
      </c>
      <c r="H189" t="b">
        <v>1</v>
      </c>
      <c r="M189" t="b">
        <v>0</v>
      </c>
    </row>
    <row r="190">
      <c r="A190" t="inlineStr">
        <is>
          <t>A股</t>
        </is>
      </c>
      <c r="B190" t="inlineStr">
        <is>
          <t>000021</t>
        </is>
      </c>
      <c r="C190" t="inlineStr">
        <is>
          <t>深科技</t>
        </is>
      </c>
      <c r="D190" t="inlineStr">
        <is>
          <t>资金流</t>
        </is>
      </c>
      <c r="E190" t="inlineStr">
        <is>
          <t>optional_missing</t>
        </is>
      </c>
      <c r="F190" t="inlineStr">
        <is>
          <t>用户选择不抓取资金流</t>
        </is>
      </c>
      <c r="G190" t="b">
        <v>0</v>
      </c>
      <c r="H190" t="b">
        <v>1</v>
      </c>
      <c r="I190" t="inlineStr">
        <is>
          <t>配置</t>
        </is>
      </c>
      <c r="J190" t="inlineStr">
        <is>
          <t>配置</t>
        </is>
      </c>
      <c r="K190" t="inlineStr">
        <is>
          <t>flow-mode-off</t>
        </is>
      </c>
      <c r="L190" s="32" t="n">
        <v>46263.25754607147</v>
      </c>
      <c r="M190" t="b">
        <v>0</v>
      </c>
    </row>
    <row r="191">
      <c r="A191" t="inlineStr">
        <is>
          <t>A股</t>
        </is>
      </c>
      <c r="B191" t="inlineStr">
        <is>
          <t>000021</t>
        </is>
      </c>
      <c r="C191" t="inlineStr">
        <is>
          <t>深科技</t>
        </is>
      </c>
      <c r="D191" t="inlineStr">
        <is>
          <t>近五个交易日资金净额</t>
        </is>
      </c>
      <c r="E191" t="inlineStr">
        <is>
          <t>optional_missing</t>
        </is>
      </c>
      <c r="F191" t="inlineStr">
        <is>
          <t>近五个交易日资金净额：optional_missing</t>
        </is>
      </c>
      <c r="G191" t="b">
        <v>0</v>
      </c>
      <c r="H191" t="b">
        <v>1</v>
      </c>
      <c r="M191" t="b">
        <v>0</v>
      </c>
    </row>
    <row r="192">
      <c r="A192" t="inlineStr">
        <is>
          <t>A股</t>
        </is>
      </c>
      <c r="B192" t="inlineStr">
        <is>
          <t>000021</t>
        </is>
      </c>
      <c r="C192" t="inlineStr">
        <is>
          <t>深科技</t>
        </is>
      </c>
      <c r="D192" t="inlineStr">
        <is>
          <t>近一月资金净额（最近22个交易日）</t>
        </is>
      </c>
      <c r="E192" t="inlineStr">
        <is>
          <t>optional_missing</t>
        </is>
      </c>
      <c r="F192" t="inlineStr">
        <is>
          <t>近一月资金净额（最近22个交易日）：optional_missing</t>
        </is>
      </c>
      <c r="G192" t="b">
        <v>0</v>
      </c>
      <c r="H192" t="b">
        <v>1</v>
      </c>
      <c r="M192" t="b">
        <v>0</v>
      </c>
    </row>
    <row r="193">
      <c r="A193" t="inlineStr">
        <is>
          <t>港股</t>
        </is>
      </c>
      <c r="B193" t="inlineStr">
        <is>
          <t>00018</t>
        </is>
      </c>
      <c r="C193" t="inlineStr">
        <is>
          <t>ORIENTAL M G</t>
        </is>
      </c>
      <c r="D193" t="inlineStr">
        <is>
          <t>大宗交易</t>
        </is>
      </c>
      <c r="E193" t="inlineStr">
        <is>
          <t>optional_missing</t>
        </is>
      </c>
      <c r="F193" t="inlineStr">
        <is>
          <t>港股大宗交易按允许缺失规则留空</t>
        </is>
      </c>
      <c r="G193" t="b">
        <v>0</v>
      </c>
      <c r="H193" t="b">
        <v>1</v>
      </c>
      <c r="I193" t="inlineStr">
        <is>
          <t>东方财富</t>
        </is>
      </c>
      <c r="J193" t="inlineStr">
        <is>
          <t>东方财富</t>
        </is>
      </c>
      <c r="K193" t="inlineStr">
        <is>
          <t>not-applicable-hk</t>
        </is>
      </c>
      <c r="L193" s="32" t="n">
        <v>46263.25725433244</v>
      </c>
      <c r="M193" t="b">
        <v>1</v>
      </c>
    </row>
    <row r="194">
      <c r="A194" t="inlineStr">
        <is>
          <t>港股</t>
        </is>
      </c>
      <c r="B194" t="inlineStr">
        <is>
          <t>00018</t>
        </is>
      </c>
      <c r="C194" t="inlineStr">
        <is>
          <t>ORIENTAL M G</t>
        </is>
      </c>
      <c r="D194" t="inlineStr">
        <is>
          <t>资金流</t>
        </is>
      </c>
      <c r="E194" t="inlineStr">
        <is>
          <t>optional_missing</t>
        </is>
      </c>
      <c r="F194" t="inlineStr">
        <is>
          <t>用户选择不抓取资金流</t>
        </is>
      </c>
      <c r="G194" t="b">
        <v>0</v>
      </c>
      <c r="H194" t="b">
        <v>1</v>
      </c>
      <c r="I194" t="inlineStr">
        <is>
          <t>配置</t>
        </is>
      </c>
      <c r="J194" t="inlineStr">
        <is>
          <t>配置</t>
        </is>
      </c>
      <c r="K194" t="inlineStr">
        <is>
          <t>flow-mode-off</t>
        </is>
      </c>
      <c r="L194" s="32" t="n">
        <v>46263.25754607147</v>
      </c>
      <c r="M194" t="b">
        <v>0</v>
      </c>
    </row>
    <row r="195">
      <c r="A195" t="inlineStr">
        <is>
          <t>港股</t>
        </is>
      </c>
      <c r="B195" t="inlineStr">
        <is>
          <t>00018</t>
        </is>
      </c>
      <c r="C195" t="inlineStr">
        <is>
          <t>ORIENTAL M G</t>
        </is>
      </c>
      <c r="D195" t="inlineStr">
        <is>
          <t>市值增长率</t>
        </is>
      </c>
      <c r="E195" t="inlineStr">
        <is>
          <t>missing</t>
        </is>
      </c>
      <c r="F195" t="inlineStr">
        <is>
          <t>市值增长率：missing</t>
        </is>
      </c>
      <c r="G195" t="b">
        <v>0</v>
      </c>
      <c r="H195" t="b">
        <v>1</v>
      </c>
      <c r="M195" t="b">
        <v>0</v>
      </c>
    </row>
    <row r="196">
      <c r="A196" t="inlineStr">
        <is>
          <t>港股</t>
        </is>
      </c>
      <c r="B196" t="inlineStr">
        <is>
          <t>00018</t>
        </is>
      </c>
      <c r="C196" t="inlineStr">
        <is>
          <t>ORIENTAL M G</t>
        </is>
      </c>
      <c r="D196" t="inlineStr">
        <is>
          <t>发行价</t>
        </is>
      </c>
      <c r="E196" t="inlineStr">
        <is>
          <t>optional_missing</t>
        </is>
      </c>
      <c r="F196" t="inlineStr">
        <is>
          <t>发行价：optional_missing</t>
        </is>
      </c>
      <c r="G196" t="b">
        <v>0</v>
      </c>
      <c r="H196" t="b">
        <v>1</v>
      </c>
      <c r="M196" t="b">
        <v>0</v>
      </c>
    </row>
    <row r="197">
      <c r="A197" t="inlineStr">
        <is>
          <t>港股</t>
        </is>
      </c>
      <c r="B197" t="inlineStr">
        <is>
          <t>00018</t>
        </is>
      </c>
      <c r="C197" t="inlineStr">
        <is>
          <t>ORIENTAL M G</t>
        </is>
      </c>
      <c r="D197" t="inlineStr">
        <is>
          <t>发行股数</t>
        </is>
      </c>
      <c r="E197" t="inlineStr">
        <is>
          <t>optional_missing</t>
        </is>
      </c>
      <c r="F197" t="inlineStr">
        <is>
          <t>发行股数：optional_missing</t>
        </is>
      </c>
      <c r="G197" t="b">
        <v>0</v>
      </c>
      <c r="H197" t="b">
        <v>1</v>
      </c>
      <c r="M197" t="b">
        <v>0</v>
      </c>
    </row>
    <row r="198">
      <c r="A198" t="inlineStr">
        <is>
          <t>港股</t>
        </is>
      </c>
      <c r="B198" t="inlineStr">
        <is>
          <t>00018</t>
        </is>
      </c>
      <c r="C198" t="inlineStr">
        <is>
          <t>ORIENTAL M G</t>
        </is>
      </c>
      <c r="D198" t="inlineStr">
        <is>
          <t>发行时总市值</t>
        </is>
      </c>
      <c r="E198" t="inlineStr">
        <is>
          <t>optional_missing</t>
        </is>
      </c>
      <c r="F198" t="inlineStr">
        <is>
          <t>发行时总市值：optional_missing</t>
        </is>
      </c>
      <c r="G198" t="b">
        <v>0</v>
      </c>
      <c r="H198" t="b">
        <v>1</v>
      </c>
      <c r="M198" t="b">
        <v>0</v>
      </c>
    </row>
    <row r="199">
      <c r="A199" t="inlineStr">
        <is>
          <t>港股</t>
        </is>
      </c>
      <c r="B199" t="inlineStr">
        <is>
          <t>00018</t>
        </is>
      </c>
      <c r="C199" t="inlineStr">
        <is>
          <t>ORIENTAL M G</t>
        </is>
      </c>
      <c r="D199" t="inlineStr">
        <is>
          <t>当年累计大宗交易笔数</t>
        </is>
      </c>
      <c r="E199" t="inlineStr">
        <is>
          <t>optional_missing</t>
        </is>
      </c>
      <c r="F199" t="inlineStr">
        <is>
          <t>当年累计大宗交易笔数：optional_missing</t>
        </is>
      </c>
      <c r="G199" t="b">
        <v>0</v>
      </c>
      <c r="H199" t="b">
        <v>1</v>
      </c>
      <c r="M199" t="b">
        <v>0</v>
      </c>
    </row>
    <row r="200">
      <c r="A200" t="inlineStr">
        <is>
          <t>港股</t>
        </is>
      </c>
      <c r="B200" t="inlineStr">
        <is>
          <t>00018</t>
        </is>
      </c>
      <c r="C200" t="inlineStr">
        <is>
          <t>ORIENTAL M G</t>
        </is>
      </c>
      <c r="D200" t="inlineStr">
        <is>
          <t>当年累计大宗交易金额</t>
        </is>
      </c>
      <c r="E200" t="inlineStr">
        <is>
          <t>optional_missing</t>
        </is>
      </c>
      <c r="F200" t="inlineStr">
        <is>
          <t>当年累计大宗交易金额：optional_missing</t>
        </is>
      </c>
      <c r="G200" t="b">
        <v>0</v>
      </c>
      <c r="H200" t="b">
        <v>1</v>
      </c>
      <c r="M200" t="b">
        <v>0</v>
      </c>
    </row>
    <row r="201">
      <c r="A201" t="inlineStr">
        <is>
          <t>港股</t>
        </is>
      </c>
      <c r="B201" t="inlineStr">
        <is>
          <t>00018</t>
        </is>
      </c>
      <c r="C201" t="inlineStr">
        <is>
          <t>ORIENTAL M G</t>
        </is>
      </c>
      <c r="D201" t="inlineStr">
        <is>
          <t>近五个交易日资金净额</t>
        </is>
      </c>
      <c r="E201" t="inlineStr">
        <is>
          <t>optional_missing</t>
        </is>
      </c>
      <c r="F201" t="inlineStr">
        <is>
          <t>近五个交易日资金净额：optional_missing</t>
        </is>
      </c>
      <c r="G201" t="b">
        <v>0</v>
      </c>
      <c r="H201" t="b">
        <v>1</v>
      </c>
      <c r="M201" t="b">
        <v>0</v>
      </c>
    </row>
    <row r="202">
      <c r="A202" t="inlineStr">
        <is>
          <t>港股</t>
        </is>
      </c>
      <c r="B202" t="inlineStr">
        <is>
          <t>00018</t>
        </is>
      </c>
      <c r="C202" t="inlineStr">
        <is>
          <t>ORIENTAL M G</t>
        </is>
      </c>
      <c r="D202" t="inlineStr">
        <is>
          <t>近一月资金净额（最近22个交易日）</t>
        </is>
      </c>
      <c r="E202" t="inlineStr">
        <is>
          <t>optional_missing</t>
        </is>
      </c>
      <c r="F202" t="inlineStr">
        <is>
          <t>近一月资金净额（最近22个交易日）：optional_missing</t>
        </is>
      </c>
      <c r="G202" t="b">
        <v>0</v>
      </c>
      <c r="H202" t="b">
        <v>1</v>
      </c>
      <c r="M202" t="b">
        <v>0</v>
      </c>
    </row>
    <row r="203">
      <c r="A203" t="inlineStr">
        <is>
          <t>A股</t>
        </is>
      </c>
      <c r="B203" t="inlineStr">
        <is>
          <t>000025</t>
        </is>
      </c>
      <c r="C203" t="inlineStr">
        <is>
          <t>特力Ａ</t>
        </is>
      </c>
      <c r="D203" t="inlineStr">
        <is>
          <t>资金流</t>
        </is>
      </c>
      <c r="E203" t="inlineStr">
        <is>
          <t>optional_missing</t>
        </is>
      </c>
      <c r="F203" t="inlineStr">
        <is>
          <t>用户选择不抓取资金流</t>
        </is>
      </c>
      <c r="G203" t="b">
        <v>0</v>
      </c>
      <c r="H203" t="b">
        <v>1</v>
      </c>
      <c r="I203" t="inlineStr">
        <is>
          <t>配置</t>
        </is>
      </c>
      <c r="J203" t="inlineStr">
        <is>
          <t>配置</t>
        </is>
      </c>
      <c r="K203" t="inlineStr">
        <is>
          <t>flow-mode-off</t>
        </is>
      </c>
      <c r="L203" s="32" t="n">
        <v>46263.25754607147</v>
      </c>
      <c r="M203" t="b">
        <v>0</v>
      </c>
    </row>
    <row r="204">
      <c r="A204" t="inlineStr">
        <is>
          <t>A股</t>
        </is>
      </c>
      <c r="B204" t="inlineStr">
        <is>
          <t>000025</t>
        </is>
      </c>
      <c r="C204" t="inlineStr">
        <is>
          <t>特力Ａ</t>
        </is>
      </c>
      <c r="D204" t="inlineStr">
        <is>
          <t>近五个交易日资金净额</t>
        </is>
      </c>
      <c r="E204" t="inlineStr">
        <is>
          <t>optional_missing</t>
        </is>
      </c>
      <c r="F204" t="inlineStr">
        <is>
          <t>近五个交易日资金净额：optional_missing</t>
        </is>
      </c>
      <c r="G204" t="b">
        <v>0</v>
      </c>
      <c r="H204" t="b">
        <v>1</v>
      </c>
      <c r="M204" t="b">
        <v>0</v>
      </c>
    </row>
    <row r="205">
      <c r="A205" t="inlineStr">
        <is>
          <t>A股</t>
        </is>
      </c>
      <c r="B205" t="inlineStr">
        <is>
          <t>000025</t>
        </is>
      </c>
      <c r="C205" t="inlineStr">
        <is>
          <t>特力Ａ</t>
        </is>
      </c>
      <c r="D205" t="inlineStr">
        <is>
          <t>近一月资金净额（最近22个交易日）</t>
        </is>
      </c>
      <c r="E205" t="inlineStr">
        <is>
          <t>optional_missing</t>
        </is>
      </c>
      <c r="F205" t="inlineStr">
        <is>
          <t>近一月资金净额（最近22个交易日）：optional_missing</t>
        </is>
      </c>
      <c r="G205" t="b">
        <v>0</v>
      </c>
      <c r="H205" t="b">
        <v>1</v>
      </c>
      <c r="M205" t="b">
        <v>0</v>
      </c>
    </row>
    <row r="206">
      <c r="A206" t="inlineStr">
        <is>
          <t>港股</t>
        </is>
      </c>
      <c r="B206" t="inlineStr">
        <is>
          <t>00019</t>
        </is>
      </c>
      <c r="C206" t="inlineStr">
        <is>
          <t>SWIRE PACIFIC A</t>
        </is>
      </c>
      <c r="D206" t="inlineStr">
        <is>
          <t>大宗交易</t>
        </is>
      </c>
      <c r="E206" t="inlineStr">
        <is>
          <t>optional_missing</t>
        </is>
      </c>
      <c r="F206" t="inlineStr">
        <is>
          <t>港股大宗交易按允许缺失规则留空</t>
        </is>
      </c>
      <c r="G206" t="b">
        <v>0</v>
      </c>
      <c r="H206" t="b">
        <v>1</v>
      </c>
      <c r="I206" t="inlineStr">
        <is>
          <t>东方财富</t>
        </is>
      </c>
      <c r="J206" t="inlineStr">
        <is>
          <t>东方财富</t>
        </is>
      </c>
      <c r="K206" t="inlineStr">
        <is>
          <t>not-applicable-hk</t>
        </is>
      </c>
      <c r="L206" s="32" t="n">
        <v>46263.25725433244</v>
      </c>
      <c r="M206" t="b">
        <v>1</v>
      </c>
    </row>
    <row r="207">
      <c r="A207" t="inlineStr">
        <is>
          <t>港股</t>
        </is>
      </c>
      <c r="B207" t="inlineStr">
        <is>
          <t>00019</t>
        </is>
      </c>
      <c r="C207" t="inlineStr">
        <is>
          <t>SWIRE PACIFIC A</t>
        </is>
      </c>
      <c r="D207" t="inlineStr">
        <is>
          <t>资金流</t>
        </is>
      </c>
      <c r="E207" t="inlineStr">
        <is>
          <t>optional_missing</t>
        </is>
      </c>
      <c r="F207" t="inlineStr">
        <is>
          <t>用户选择不抓取资金流</t>
        </is>
      </c>
      <c r="G207" t="b">
        <v>0</v>
      </c>
      <c r="H207" t="b">
        <v>1</v>
      </c>
      <c r="I207" t="inlineStr">
        <is>
          <t>配置</t>
        </is>
      </c>
      <c r="J207" t="inlineStr">
        <is>
          <t>配置</t>
        </is>
      </c>
      <c r="K207" t="inlineStr">
        <is>
          <t>flow-mode-off</t>
        </is>
      </c>
      <c r="L207" s="32" t="n">
        <v>46263.25754607147</v>
      </c>
      <c r="M207" t="b">
        <v>0</v>
      </c>
    </row>
    <row r="208">
      <c r="A208" t="inlineStr">
        <is>
          <t>港股</t>
        </is>
      </c>
      <c r="B208" t="inlineStr">
        <is>
          <t>00019</t>
        </is>
      </c>
      <c r="C208" t="inlineStr">
        <is>
          <t>SWIRE PACIFIC A</t>
        </is>
      </c>
      <c r="D208" t="inlineStr">
        <is>
          <t>市值增长率</t>
        </is>
      </c>
      <c r="E208" t="inlineStr">
        <is>
          <t>missing</t>
        </is>
      </c>
      <c r="F208" t="inlineStr">
        <is>
          <t>市值增长率：missing</t>
        </is>
      </c>
      <c r="G208" t="b">
        <v>0</v>
      </c>
      <c r="H208" t="b">
        <v>1</v>
      </c>
      <c r="M208" t="b">
        <v>0</v>
      </c>
    </row>
    <row r="209">
      <c r="A209" t="inlineStr">
        <is>
          <t>港股</t>
        </is>
      </c>
      <c r="B209" t="inlineStr">
        <is>
          <t>00019</t>
        </is>
      </c>
      <c r="C209" t="inlineStr">
        <is>
          <t>SWIRE PACIFIC A</t>
        </is>
      </c>
      <c r="D209" t="inlineStr">
        <is>
          <t>发行价</t>
        </is>
      </c>
      <c r="E209" t="inlineStr">
        <is>
          <t>optional_missing</t>
        </is>
      </c>
      <c r="F209" t="inlineStr">
        <is>
          <t>发行价：optional_missing</t>
        </is>
      </c>
      <c r="G209" t="b">
        <v>0</v>
      </c>
      <c r="H209" t="b">
        <v>1</v>
      </c>
      <c r="M209" t="b">
        <v>0</v>
      </c>
    </row>
    <row r="210">
      <c r="A210" t="inlineStr">
        <is>
          <t>港股</t>
        </is>
      </c>
      <c r="B210" t="inlineStr">
        <is>
          <t>00019</t>
        </is>
      </c>
      <c r="C210" t="inlineStr">
        <is>
          <t>SWIRE PACIFIC A</t>
        </is>
      </c>
      <c r="D210" t="inlineStr">
        <is>
          <t>发行股数</t>
        </is>
      </c>
      <c r="E210" t="inlineStr">
        <is>
          <t>optional_missing</t>
        </is>
      </c>
      <c r="F210" t="inlineStr">
        <is>
          <t>发行股数：optional_missing</t>
        </is>
      </c>
      <c r="G210" t="b">
        <v>0</v>
      </c>
      <c r="H210" t="b">
        <v>1</v>
      </c>
      <c r="M210" t="b">
        <v>0</v>
      </c>
    </row>
    <row r="211">
      <c r="A211" t="inlineStr">
        <is>
          <t>港股</t>
        </is>
      </c>
      <c r="B211" t="inlineStr">
        <is>
          <t>00019</t>
        </is>
      </c>
      <c r="C211" t="inlineStr">
        <is>
          <t>SWIRE PACIFIC A</t>
        </is>
      </c>
      <c r="D211" t="inlineStr">
        <is>
          <t>发行时总市值</t>
        </is>
      </c>
      <c r="E211" t="inlineStr">
        <is>
          <t>optional_missing</t>
        </is>
      </c>
      <c r="F211" t="inlineStr">
        <is>
          <t>发行时总市值：optional_missing</t>
        </is>
      </c>
      <c r="G211" t="b">
        <v>0</v>
      </c>
      <c r="H211" t="b">
        <v>1</v>
      </c>
      <c r="M211" t="b">
        <v>0</v>
      </c>
    </row>
    <row r="212">
      <c r="A212" t="inlineStr">
        <is>
          <t>港股</t>
        </is>
      </c>
      <c r="B212" t="inlineStr">
        <is>
          <t>00019</t>
        </is>
      </c>
      <c r="C212" t="inlineStr">
        <is>
          <t>SWIRE PACIFIC A</t>
        </is>
      </c>
      <c r="D212" t="inlineStr">
        <is>
          <t>当年累计大宗交易笔数</t>
        </is>
      </c>
      <c r="E212" t="inlineStr">
        <is>
          <t>optional_missing</t>
        </is>
      </c>
      <c r="F212" t="inlineStr">
        <is>
          <t>当年累计大宗交易笔数：optional_missing</t>
        </is>
      </c>
      <c r="G212" t="b">
        <v>0</v>
      </c>
      <c r="H212" t="b">
        <v>1</v>
      </c>
      <c r="M212" t="b">
        <v>0</v>
      </c>
    </row>
    <row r="213">
      <c r="A213" t="inlineStr">
        <is>
          <t>港股</t>
        </is>
      </c>
      <c r="B213" t="inlineStr">
        <is>
          <t>00019</t>
        </is>
      </c>
      <c r="C213" t="inlineStr">
        <is>
          <t>SWIRE PACIFIC A</t>
        </is>
      </c>
      <c r="D213" t="inlineStr">
        <is>
          <t>当年累计大宗交易金额</t>
        </is>
      </c>
      <c r="E213" t="inlineStr">
        <is>
          <t>optional_missing</t>
        </is>
      </c>
      <c r="F213" t="inlineStr">
        <is>
          <t>当年累计大宗交易金额：optional_missing</t>
        </is>
      </c>
      <c r="G213" t="b">
        <v>0</v>
      </c>
      <c r="H213" t="b">
        <v>1</v>
      </c>
      <c r="M213" t="b">
        <v>0</v>
      </c>
    </row>
    <row r="214">
      <c r="A214" t="inlineStr">
        <is>
          <t>港股</t>
        </is>
      </c>
      <c r="B214" t="inlineStr">
        <is>
          <t>00019</t>
        </is>
      </c>
      <c r="C214" t="inlineStr">
        <is>
          <t>SWIRE PACIFIC A</t>
        </is>
      </c>
      <c r="D214" t="inlineStr">
        <is>
          <t>近五个交易日资金净额</t>
        </is>
      </c>
      <c r="E214" t="inlineStr">
        <is>
          <t>optional_missing</t>
        </is>
      </c>
      <c r="F214" t="inlineStr">
        <is>
          <t>近五个交易日资金净额：optional_missing</t>
        </is>
      </c>
      <c r="G214" t="b">
        <v>0</v>
      </c>
      <c r="H214" t="b">
        <v>1</v>
      </c>
      <c r="M214" t="b">
        <v>0</v>
      </c>
    </row>
    <row r="215">
      <c r="A215" t="inlineStr">
        <is>
          <t>港股</t>
        </is>
      </c>
      <c r="B215" t="inlineStr">
        <is>
          <t>00019</t>
        </is>
      </c>
      <c r="C215" t="inlineStr">
        <is>
          <t>SWIRE PACIFIC A</t>
        </is>
      </c>
      <c r="D215" t="inlineStr">
        <is>
          <t>近一月资金净额（最近22个交易日）</t>
        </is>
      </c>
      <c r="E215" t="inlineStr">
        <is>
          <t>optional_missing</t>
        </is>
      </c>
      <c r="F215" t="inlineStr">
        <is>
          <t>近一月资金净额（最近22个交易日）：optional_missing</t>
        </is>
      </c>
      <c r="G215" t="b">
        <v>0</v>
      </c>
      <c r="H215" t="b">
        <v>1</v>
      </c>
      <c r="M215" t="b">
        <v>0</v>
      </c>
    </row>
    <row r="216">
      <c r="A216" t="inlineStr">
        <is>
          <t>A股</t>
        </is>
      </c>
      <c r="B216" t="inlineStr">
        <is>
          <t>000026</t>
        </is>
      </c>
      <c r="C216" t="inlineStr">
        <is>
          <t>飞亚达</t>
        </is>
      </c>
      <c r="D216" t="inlineStr">
        <is>
          <t>资金流</t>
        </is>
      </c>
      <c r="E216" t="inlineStr">
        <is>
          <t>optional_missing</t>
        </is>
      </c>
      <c r="F216" t="inlineStr">
        <is>
          <t>用户选择不抓取资金流</t>
        </is>
      </c>
      <c r="G216" t="b">
        <v>0</v>
      </c>
      <c r="H216" t="b">
        <v>1</v>
      </c>
      <c r="I216" t="inlineStr">
        <is>
          <t>配置</t>
        </is>
      </c>
      <c r="J216" t="inlineStr">
        <is>
          <t>配置</t>
        </is>
      </c>
      <c r="K216" t="inlineStr">
        <is>
          <t>flow-mode-off</t>
        </is>
      </c>
      <c r="L216" s="32" t="n">
        <v>46263.25754607147</v>
      </c>
      <c r="M216" t="b">
        <v>0</v>
      </c>
    </row>
    <row r="217">
      <c r="A217" t="inlineStr">
        <is>
          <t>A股</t>
        </is>
      </c>
      <c r="B217" t="inlineStr">
        <is>
          <t>000026</t>
        </is>
      </c>
      <c r="C217" t="inlineStr">
        <is>
          <t>飞亚达</t>
        </is>
      </c>
      <c r="D217" t="inlineStr">
        <is>
          <t>近五个交易日资金净额</t>
        </is>
      </c>
      <c r="E217" t="inlineStr">
        <is>
          <t>optional_missing</t>
        </is>
      </c>
      <c r="F217" t="inlineStr">
        <is>
          <t>近五个交易日资金净额：optional_missing</t>
        </is>
      </c>
      <c r="G217" t="b">
        <v>0</v>
      </c>
      <c r="H217" t="b">
        <v>1</v>
      </c>
      <c r="M217" t="b">
        <v>0</v>
      </c>
    </row>
    <row r="218">
      <c r="A218" t="inlineStr">
        <is>
          <t>A股</t>
        </is>
      </c>
      <c r="B218" t="inlineStr">
        <is>
          <t>000026</t>
        </is>
      </c>
      <c r="C218" t="inlineStr">
        <is>
          <t>飞亚达</t>
        </is>
      </c>
      <c r="D218" t="inlineStr">
        <is>
          <t>近一月资金净额（最近22个交易日）</t>
        </is>
      </c>
      <c r="E218" t="inlineStr">
        <is>
          <t>optional_missing</t>
        </is>
      </c>
      <c r="F218" t="inlineStr">
        <is>
          <t>近一月资金净额（最近22个交易日）：optional_missing</t>
        </is>
      </c>
      <c r="G218" t="b">
        <v>0</v>
      </c>
      <c r="H218" t="b">
        <v>1</v>
      </c>
      <c r="M218" t="b">
        <v>0</v>
      </c>
    </row>
    <row r="219">
      <c r="A219" t="inlineStr">
        <is>
          <t>港股</t>
        </is>
      </c>
      <c r="B219" t="inlineStr">
        <is>
          <t>00020</t>
        </is>
      </c>
      <c r="C219" t="inlineStr">
        <is>
          <t>SENSETIME-W</t>
        </is>
      </c>
      <c r="D219" t="inlineStr">
        <is>
          <t>大宗交易</t>
        </is>
      </c>
      <c r="E219" t="inlineStr">
        <is>
          <t>optional_missing</t>
        </is>
      </c>
      <c r="F219" t="inlineStr">
        <is>
          <t>港股大宗交易按允许缺失规则留空</t>
        </is>
      </c>
      <c r="G219" t="b">
        <v>0</v>
      </c>
      <c r="H219" t="b">
        <v>1</v>
      </c>
      <c r="I219" t="inlineStr">
        <is>
          <t>东方财富</t>
        </is>
      </c>
      <c r="J219" t="inlineStr">
        <is>
          <t>东方财富</t>
        </is>
      </c>
      <c r="K219" t="inlineStr">
        <is>
          <t>not-applicable-hk</t>
        </is>
      </c>
      <c r="L219" s="32" t="n">
        <v>46263.25725433244</v>
      </c>
      <c r="M219" t="b">
        <v>1</v>
      </c>
    </row>
    <row r="220">
      <c r="A220" t="inlineStr">
        <is>
          <t>港股</t>
        </is>
      </c>
      <c r="B220" t="inlineStr">
        <is>
          <t>00020</t>
        </is>
      </c>
      <c r="C220" t="inlineStr">
        <is>
          <t>SENSETIME-W</t>
        </is>
      </c>
      <c r="D220" t="inlineStr">
        <is>
          <t>资金流</t>
        </is>
      </c>
      <c r="E220" t="inlineStr">
        <is>
          <t>optional_missing</t>
        </is>
      </c>
      <c r="F220" t="inlineStr">
        <is>
          <t>用户选择不抓取资金流</t>
        </is>
      </c>
      <c r="G220" t="b">
        <v>0</v>
      </c>
      <c r="H220" t="b">
        <v>1</v>
      </c>
      <c r="I220" t="inlineStr">
        <is>
          <t>配置</t>
        </is>
      </c>
      <c r="J220" t="inlineStr">
        <is>
          <t>配置</t>
        </is>
      </c>
      <c r="K220" t="inlineStr">
        <is>
          <t>flow-mode-off</t>
        </is>
      </c>
      <c r="L220" s="32" t="n">
        <v>46263.25754607147</v>
      </c>
      <c r="M220" t="b">
        <v>0</v>
      </c>
    </row>
    <row r="221">
      <c r="A221" t="inlineStr">
        <is>
          <t>港股</t>
        </is>
      </c>
      <c r="B221" t="inlineStr">
        <is>
          <t>00020</t>
        </is>
      </c>
      <c r="C221" t="inlineStr">
        <is>
          <t>SENSETIME-W</t>
        </is>
      </c>
      <c r="D221" t="inlineStr">
        <is>
          <t>当年累计大宗交易笔数</t>
        </is>
      </c>
      <c r="E221" t="inlineStr">
        <is>
          <t>optional_missing</t>
        </is>
      </c>
      <c r="F221" t="inlineStr">
        <is>
          <t>当年累计大宗交易笔数：optional_missing</t>
        </is>
      </c>
      <c r="G221" t="b">
        <v>0</v>
      </c>
      <c r="H221" t="b">
        <v>1</v>
      </c>
      <c r="M221" t="b">
        <v>0</v>
      </c>
    </row>
    <row r="222">
      <c r="A222" t="inlineStr">
        <is>
          <t>港股</t>
        </is>
      </c>
      <c r="B222" t="inlineStr">
        <is>
          <t>00020</t>
        </is>
      </c>
      <c r="C222" t="inlineStr">
        <is>
          <t>SENSETIME-W</t>
        </is>
      </c>
      <c r="D222" t="inlineStr">
        <is>
          <t>当年累计大宗交易金额</t>
        </is>
      </c>
      <c r="E222" t="inlineStr">
        <is>
          <t>optional_missing</t>
        </is>
      </c>
      <c r="F222" t="inlineStr">
        <is>
          <t>当年累计大宗交易金额：optional_missing</t>
        </is>
      </c>
      <c r="G222" t="b">
        <v>0</v>
      </c>
      <c r="H222" t="b">
        <v>1</v>
      </c>
      <c r="M222" t="b">
        <v>0</v>
      </c>
    </row>
    <row r="223">
      <c r="A223" t="inlineStr">
        <is>
          <t>港股</t>
        </is>
      </c>
      <c r="B223" t="inlineStr">
        <is>
          <t>00020</t>
        </is>
      </c>
      <c r="C223" t="inlineStr">
        <is>
          <t>SENSETIME-W</t>
        </is>
      </c>
      <c r="D223" t="inlineStr">
        <is>
          <t>近五个交易日资金净额</t>
        </is>
      </c>
      <c r="E223" t="inlineStr">
        <is>
          <t>optional_missing</t>
        </is>
      </c>
      <c r="F223" t="inlineStr">
        <is>
          <t>近五个交易日资金净额：optional_missing</t>
        </is>
      </c>
      <c r="G223" t="b">
        <v>0</v>
      </c>
      <c r="H223" t="b">
        <v>1</v>
      </c>
      <c r="M223" t="b">
        <v>0</v>
      </c>
    </row>
    <row r="224">
      <c r="A224" t="inlineStr">
        <is>
          <t>港股</t>
        </is>
      </c>
      <c r="B224" t="inlineStr">
        <is>
          <t>00020</t>
        </is>
      </c>
      <c r="C224" t="inlineStr">
        <is>
          <t>SENSETIME-W</t>
        </is>
      </c>
      <c r="D224" t="inlineStr">
        <is>
          <t>近一月资金净额（最近22个交易日）</t>
        </is>
      </c>
      <c r="E224" t="inlineStr">
        <is>
          <t>optional_missing</t>
        </is>
      </c>
      <c r="F224" t="inlineStr">
        <is>
          <t>近一月资金净额（最近22个交易日）：optional_missing</t>
        </is>
      </c>
      <c r="G224" t="b">
        <v>0</v>
      </c>
      <c r="H224" t="b">
        <v>1</v>
      </c>
      <c r="M224" t="b">
        <v>0</v>
      </c>
    </row>
    <row r="225">
      <c r="A225" t="inlineStr">
        <is>
          <t>A股</t>
        </is>
      </c>
      <c r="B225" t="inlineStr">
        <is>
          <t>000027</t>
        </is>
      </c>
      <c r="C225" t="inlineStr">
        <is>
          <t>深圳能源</t>
        </is>
      </c>
      <c r="D225" t="inlineStr">
        <is>
          <t>资金流</t>
        </is>
      </c>
      <c r="E225" t="inlineStr">
        <is>
          <t>optional_missing</t>
        </is>
      </c>
      <c r="F225" t="inlineStr">
        <is>
          <t>用户选择不抓取资金流</t>
        </is>
      </c>
      <c r="G225" t="b">
        <v>0</v>
      </c>
      <c r="H225" t="b">
        <v>1</v>
      </c>
      <c r="I225" t="inlineStr">
        <is>
          <t>配置</t>
        </is>
      </c>
      <c r="J225" t="inlineStr">
        <is>
          <t>配置</t>
        </is>
      </c>
      <c r="K225" t="inlineStr">
        <is>
          <t>flow-mode-off</t>
        </is>
      </c>
      <c r="L225" s="32" t="n">
        <v>46263.25754607147</v>
      </c>
      <c r="M225" t="b">
        <v>0</v>
      </c>
    </row>
    <row r="226">
      <c r="A226" t="inlineStr">
        <is>
          <t>A股</t>
        </is>
      </c>
      <c r="B226" t="inlineStr">
        <is>
          <t>000027</t>
        </is>
      </c>
      <c r="C226" t="inlineStr">
        <is>
          <t>深圳能源</t>
        </is>
      </c>
      <c r="D226" t="inlineStr">
        <is>
          <t>近五个交易日资金净额</t>
        </is>
      </c>
      <c r="E226" t="inlineStr">
        <is>
          <t>optional_missing</t>
        </is>
      </c>
      <c r="F226" t="inlineStr">
        <is>
          <t>近五个交易日资金净额：optional_missing</t>
        </is>
      </c>
      <c r="G226" t="b">
        <v>0</v>
      </c>
      <c r="H226" t="b">
        <v>1</v>
      </c>
      <c r="M226" t="b">
        <v>0</v>
      </c>
    </row>
    <row r="227">
      <c r="A227" t="inlineStr">
        <is>
          <t>A股</t>
        </is>
      </c>
      <c r="B227" t="inlineStr">
        <is>
          <t>000027</t>
        </is>
      </c>
      <c r="C227" t="inlineStr">
        <is>
          <t>深圳能源</t>
        </is>
      </c>
      <c r="D227" t="inlineStr">
        <is>
          <t>近一月资金净额（最近22个交易日）</t>
        </is>
      </c>
      <c r="E227" t="inlineStr">
        <is>
          <t>optional_missing</t>
        </is>
      </c>
      <c r="F227" t="inlineStr">
        <is>
          <t>近一月资金净额（最近22个交易日）：optional_missing</t>
        </is>
      </c>
      <c r="G227" t="b">
        <v>0</v>
      </c>
      <c r="H227" t="b">
        <v>1</v>
      </c>
      <c r="M227" t="b">
        <v>0</v>
      </c>
    </row>
    <row r="228">
      <c r="A228" t="inlineStr">
        <is>
          <t>港股</t>
        </is>
      </c>
      <c r="B228" t="inlineStr">
        <is>
          <t>00021</t>
        </is>
      </c>
      <c r="C228" t="inlineStr">
        <is>
          <t>GREAT CHI HLDGS</t>
        </is>
      </c>
      <c r="D228" t="inlineStr">
        <is>
          <t>大宗交易</t>
        </is>
      </c>
      <c r="E228" t="inlineStr">
        <is>
          <t>optional_missing</t>
        </is>
      </c>
      <c r="F228" t="inlineStr">
        <is>
          <t>港股大宗交易按允许缺失规则留空</t>
        </is>
      </c>
      <c r="G228" t="b">
        <v>0</v>
      </c>
      <c r="H228" t="b">
        <v>1</v>
      </c>
      <c r="I228" t="inlineStr">
        <is>
          <t>东方财富</t>
        </is>
      </c>
      <c r="J228" t="inlineStr">
        <is>
          <t>东方财富</t>
        </is>
      </c>
      <c r="K228" t="inlineStr">
        <is>
          <t>not-applicable-hk</t>
        </is>
      </c>
      <c r="L228" s="32" t="n">
        <v>46263.25725433244</v>
      </c>
      <c r="M228" t="b">
        <v>1</v>
      </c>
    </row>
    <row r="229">
      <c r="A229" t="inlineStr">
        <is>
          <t>港股</t>
        </is>
      </c>
      <c r="B229" t="inlineStr">
        <is>
          <t>00021</t>
        </is>
      </c>
      <c r="C229" t="inlineStr">
        <is>
          <t>GREAT CHI HLDGS</t>
        </is>
      </c>
      <c r="D229" t="inlineStr">
        <is>
          <t>资金流</t>
        </is>
      </c>
      <c r="E229" t="inlineStr">
        <is>
          <t>optional_missing</t>
        </is>
      </c>
      <c r="F229" t="inlineStr">
        <is>
          <t>用户选择不抓取资金流</t>
        </is>
      </c>
      <c r="G229" t="b">
        <v>0</v>
      </c>
      <c r="H229" t="b">
        <v>1</v>
      </c>
      <c r="I229" t="inlineStr">
        <is>
          <t>配置</t>
        </is>
      </c>
      <c r="J229" t="inlineStr">
        <is>
          <t>配置</t>
        </is>
      </c>
      <c r="K229" t="inlineStr">
        <is>
          <t>flow-mode-off</t>
        </is>
      </c>
      <c r="L229" s="32" t="n">
        <v>46263.25754607147</v>
      </c>
      <c r="M229" t="b">
        <v>0</v>
      </c>
    </row>
    <row r="230">
      <c r="A230" t="inlineStr">
        <is>
          <t>港股</t>
        </is>
      </c>
      <c r="B230" t="inlineStr">
        <is>
          <t>00021</t>
        </is>
      </c>
      <c r="C230" t="inlineStr">
        <is>
          <t>GREAT CHI HLDGS</t>
        </is>
      </c>
      <c r="D230" t="inlineStr">
        <is>
          <t>市值增长率</t>
        </is>
      </c>
      <c r="E230" t="inlineStr">
        <is>
          <t>missing</t>
        </is>
      </c>
      <c r="F230" t="inlineStr">
        <is>
          <t>市值增长率：missing</t>
        </is>
      </c>
      <c r="G230" t="b">
        <v>0</v>
      </c>
      <c r="H230" t="b">
        <v>1</v>
      </c>
      <c r="M230" t="b">
        <v>0</v>
      </c>
    </row>
    <row r="231">
      <c r="A231" t="inlineStr">
        <is>
          <t>港股</t>
        </is>
      </c>
      <c r="B231" t="inlineStr">
        <is>
          <t>00021</t>
        </is>
      </c>
      <c r="C231" t="inlineStr">
        <is>
          <t>GREAT CHI HLDGS</t>
        </is>
      </c>
      <c r="D231" t="inlineStr">
        <is>
          <t>发行价</t>
        </is>
      </c>
      <c r="E231" t="inlineStr">
        <is>
          <t>optional_missing</t>
        </is>
      </c>
      <c r="F231" t="inlineStr">
        <is>
          <t>发行价：optional_missing</t>
        </is>
      </c>
      <c r="G231" t="b">
        <v>0</v>
      </c>
      <c r="H231" t="b">
        <v>1</v>
      </c>
      <c r="M231" t="b">
        <v>0</v>
      </c>
    </row>
    <row r="232">
      <c r="A232" t="inlineStr">
        <is>
          <t>港股</t>
        </is>
      </c>
      <c r="B232" t="inlineStr">
        <is>
          <t>00021</t>
        </is>
      </c>
      <c r="C232" t="inlineStr">
        <is>
          <t>GREAT CHI HLDGS</t>
        </is>
      </c>
      <c r="D232" t="inlineStr">
        <is>
          <t>发行股数</t>
        </is>
      </c>
      <c r="E232" t="inlineStr">
        <is>
          <t>optional_missing</t>
        </is>
      </c>
      <c r="F232" t="inlineStr">
        <is>
          <t>发行股数：optional_missing</t>
        </is>
      </c>
      <c r="G232" t="b">
        <v>0</v>
      </c>
      <c r="H232" t="b">
        <v>1</v>
      </c>
      <c r="M232" t="b">
        <v>0</v>
      </c>
    </row>
    <row r="233">
      <c r="A233" t="inlineStr">
        <is>
          <t>港股</t>
        </is>
      </c>
      <c r="B233" t="inlineStr">
        <is>
          <t>00021</t>
        </is>
      </c>
      <c r="C233" t="inlineStr">
        <is>
          <t>GREAT CHI HLDGS</t>
        </is>
      </c>
      <c r="D233" t="inlineStr">
        <is>
          <t>发行时总市值</t>
        </is>
      </c>
      <c r="E233" t="inlineStr">
        <is>
          <t>optional_missing</t>
        </is>
      </c>
      <c r="F233" t="inlineStr">
        <is>
          <t>发行时总市值：optional_missing</t>
        </is>
      </c>
      <c r="G233" t="b">
        <v>0</v>
      </c>
      <c r="H233" t="b">
        <v>1</v>
      </c>
      <c r="M233" t="b">
        <v>0</v>
      </c>
    </row>
    <row r="234">
      <c r="A234" t="inlineStr">
        <is>
          <t>港股</t>
        </is>
      </c>
      <c r="B234" t="inlineStr">
        <is>
          <t>00021</t>
        </is>
      </c>
      <c r="C234" t="inlineStr">
        <is>
          <t>GREAT CHI HLDGS</t>
        </is>
      </c>
      <c r="D234" t="inlineStr">
        <is>
          <t>当年累计大宗交易笔数</t>
        </is>
      </c>
      <c r="E234" t="inlineStr">
        <is>
          <t>optional_missing</t>
        </is>
      </c>
      <c r="F234" t="inlineStr">
        <is>
          <t>当年累计大宗交易笔数：optional_missing</t>
        </is>
      </c>
      <c r="G234" t="b">
        <v>0</v>
      </c>
      <c r="H234" t="b">
        <v>1</v>
      </c>
      <c r="M234" t="b">
        <v>0</v>
      </c>
    </row>
    <row r="235">
      <c r="A235" t="inlineStr">
        <is>
          <t>港股</t>
        </is>
      </c>
      <c r="B235" t="inlineStr">
        <is>
          <t>00021</t>
        </is>
      </c>
      <c r="C235" t="inlineStr">
        <is>
          <t>GREAT CHI HLDGS</t>
        </is>
      </c>
      <c r="D235" t="inlineStr">
        <is>
          <t>当年累计大宗交易金额</t>
        </is>
      </c>
      <c r="E235" t="inlineStr">
        <is>
          <t>optional_missing</t>
        </is>
      </c>
      <c r="F235" t="inlineStr">
        <is>
          <t>当年累计大宗交易金额：optional_missing</t>
        </is>
      </c>
      <c r="G235" t="b">
        <v>0</v>
      </c>
      <c r="H235" t="b">
        <v>1</v>
      </c>
      <c r="M235" t="b">
        <v>0</v>
      </c>
    </row>
    <row r="236">
      <c r="A236" t="inlineStr">
        <is>
          <t>港股</t>
        </is>
      </c>
      <c r="B236" t="inlineStr">
        <is>
          <t>00021</t>
        </is>
      </c>
      <c r="C236" t="inlineStr">
        <is>
          <t>GREAT CHI HLDGS</t>
        </is>
      </c>
      <c r="D236" t="inlineStr">
        <is>
          <t>近五个交易日资金净额</t>
        </is>
      </c>
      <c r="E236" t="inlineStr">
        <is>
          <t>optional_missing</t>
        </is>
      </c>
      <c r="F236" t="inlineStr">
        <is>
          <t>近五个交易日资金净额：optional_missing</t>
        </is>
      </c>
      <c r="G236" t="b">
        <v>0</v>
      </c>
      <c r="H236" t="b">
        <v>1</v>
      </c>
      <c r="M236" t="b">
        <v>0</v>
      </c>
    </row>
    <row r="237">
      <c r="A237" t="inlineStr">
        <is>
          <t>港股</t>
        </is>
      </c>
      <c r="B237" t="inlineStr">
        <is>
          <t>00021</t>
        </is>
      </c>
      <c r="C237" t="inlineStr">
        <is>
          <t>GREAT CHI HLDGS</t>
        </is>
      </c>
      <c r="D237" t="inlineStr">
        <is>
          <t>近一月资金净额（最近22个交易日）</t>
        </is>
      </c>
      <c r="E237" t="inlineStr">
        <is>
          <t>optional_missing</t>
        </is>
      </c>
      <c r="F237" t="inlineStr">
        <is>
          <t>近一月资金净额（最近22个交易日）：optional_missing</t>
        </is>
      </c>
      <c r="G237" t="b">
        <v>0</v>
      </c>
      <c r="H237" t="b">
        <v>1</v>
      </c>
      <c r="M237" t="b">
        <v>0</v>
      </c>
    </row>
    <row r="238">
      <c r="A238" t="inlineStr">
        <is>
          <t>A股</t>
        </is>
      </c>
      <c r="B238" t="inlineStr">
        <is>
          <t>000028</t>
        </is>
      </c>
      <c r="C238" t="inlineStr">
        <is>
          <t>国药一致</t>
        </is>
      </c>
      <c r="D238" t="inlineStr">
        <is>
          <t>资金流</t>
        </is>
      </c>
      <c r="E238" t="inlineStr">
        <is>
          <t>optional_missing</t>
        </is>
      </c>
      <c r="F238" t="inlineStr">
        <is>
          <t>用户选择不抓取资金流</t>
        </is>
      </c>
      <c r="G238" t="b">
        <v>0</v>
      </c>
      <c r="H238" t="b">
        <v>1</v>
      </c>
      <c r="I238" t="inlineStr">
        <is>
          <t>配置</t>
        </is>
      </c>
      <c r="J238" t="inlineStr">
        <is>
          <t>配置</t>
        </is>
      </c>
      <c r="K238" t="inlineStr">
        <is>
          <t>flow-mode-off</t>
        </is>
      </c>
      <c r="L238" s="32" t="n">
        <v>46263.25754607147</v>
      </c>
      <c r="M238" t="b">
        <v>0</v>
      </c>
    </row>
    <row r="239">
      <c r="A239" t="inlineStr">
        <is>
          <t>A股</t>
        </is>
      </c>
      <c r="B239" t="inlineStr">
        <is>
          <t>000028</t>
        </is>
      </c>
      <c r="C239" t="inlineStr">
        <is>
          <t>国药一致</t>
        </is>
      </c>
      <c r="D239" t="inlineStr">
        <is>
          <t>近五个交易日资金净额</t>
        </is>
      </c>
      <c r="E239" t="inlineStr">
        <is>
          <t>optional_missing</t>
        </is>
      </c>
      <c r="F239" t="inlineStr">
        <is>
          <t>近五个交易日资金净额：optional_missing</t>
        </is>
      </c>
      <c r="G239" t="b">
        <v>0</v>
      </c>
      <c r="H239" t="b">
        <v>1</v>
      </c>
      <c r="M239" t="b">
        <v>0</v>
      </c>
    </row>
    <row r="240">
      <c r="A240" t="inlineStr">
        <is>
          <t>A股</t>
        </is>
      </c>
      <c r="B240" t="inlineStr">
        <is>
          <t>000028</t>
        </is>
      </c>
      <c r="C240" t="inlineStr">
        <is>
          <t>国药一致</t>
        </is>
      </c>
      <c r="D240" t="inlineStr">
        <is>
          <t>近一月资金净额（最近22个交易日）</t>
        </is>
      </c>
      <c r="E240" t="inlineStr">
        <is>
          <t>optional_missing</t>
        </is>
      </c>
      <c r="F240" t="inlineStr">
        <is>
          <t>近一月资金净额（最近22个交易日）：optional_missing</t>
        </is>
      </c>
      <c r="G240" t="b">
        <v>0</v>
      </c>
      <c r="H240" t="b">
        <v>1</v>
      </c>
      <c r="M240" t="b">
        <v>0</v>
      </c>
    </row>
    <row r="241">
      <c r="A241" t="inlineStr">
        <is>
          <t>港股</t>
        </is>
      </c>
      <c r="B241" t="inlineStr">
        <is>
          <t>00022</t>
        </is>
      </c>
      <c r="C241" t="inlineStr">
        <is>
          <t>MEXAN</t>
        </is>
      </c>
      <c r="D241" t="inlineStr">
        <is>
          <t>大宗交易</t>
        </is>
      </c>
      <c r="E241" t="inlineStr">
        <is>
          <t>optional_missing</t>
        </is>
      </c>
      <c r="F241" t="inlineStr">
        <is>
          <t>港股大宗交易按允许缺失规则留空</t>
        </is>
      </c>
      <c r="G241" t="b">
        <v>0</v>
      </c>
      <c r="H241" t="b">
        <v>1</v>
      </c>
      <c r="I241" t="inlineStr">
        <is>
          <t>东方财富</t>
        </is>
      </c>
      <c r="J241" t="inlineStr">
        <is>
          <t>东方财富</t>
        </is>
      </c>
      <c r="K241" t="inlineStr">
        <is>
          <t>not-applicable-hk</t>
        </is>
      </c>
      <c r="L241" s="32" t="n">
        <v>46263.25725433244</v>
      </c>
      <c r="M241" t="b">
        <v>1</v>
      </c>
    </row>
    <row r="242">
      <c r="A242" t="inlineStr">
        <is>
          <t>港股</t>
        </is>
      </c>
      <c r="B242" t="inlineStr">
        <is>
          <t>00022</t>
        </is>
      </c>
      <c r="C242" t="inlineStr">
        <is>
          <t>MEXAN</t>
        </is>
      </c>
      <c r="D242" t="inlineStr">
        <is>
          <t>资金流</t>
        </is>
      </c>
      <c r="E242" t="inlineStr">
        <is>
          <t>optional_missing</t>
        </is>
      </c>
      <c r="F242" t="inlineStr">
        <is>
          <t>用户选择不抓取资金流</t>
        </is>
      </c>
      <c r="G242" t="b">
        <v>0</v>
      </c>
      <c r="H242" t="b">
        <v>1</v>
      </c>
      <c r="I242" t="inlineStr">
        <is>
          <t>配置</t>
        </is>
      </c>
      <c r="J242" t="inlineStr">
        <is>
          <t>配置</t>
        </is>
      </c>
      <c r="K242" t="inlineStr">
        <is>
          <t>flow-mode-off</t>
        </is>
      </c>
      <c r="L242" s="32" t="n">
        <v>46263.25754607147</v>
      </c>
      <c r="M242" t="b">
        <v>0</v>
      </c>
    </row>
    <row r="243">
      <c r="A243" t="inlineStr">
        <is>
          <t>港股</t>
        </is>
      </c>
      <c r="B243" t="inlineStr">
        <is>
          <t>00022</t>
        </is>
      </c>
      <c r="C243" t="inlineStr">
        <is>
          <t>MEXAN</t>
        </is>
      </c>
      <c r="D243" t="inlineStr">
        <is>
          <t>市值增长率</t>
        </is>
      </c>
      <c r="E243" t="inlineStr">
        <is>
          <t>missing</t>
        </is>
      </c>
      <c r="F243" t="inlineStr">
        <is>
          <t>市值增长率：missing</t>
        </is>
      </c>
      <c r="G243" t="b">
        <v>0</v>
      </c>
      <c r="H243" t="b">
        <v>1</v>
      </c>
      <c r="M243" t="b">
        <v>0</v>
      </c>
    </row>
    <row r="244">
      <c r="A244" t="inlineStr">
        <is>
          <t>港股</t>
        </is>
      </c>
      <c r="B244" t="inlineStr">
        <is>
          <t>00022</t>
        </is>
      </c>
      <c r="C244" t="inlineStr">
        <is>
          <t>MEXAN</t>
        </is>
      </c>
      <c r="D244" t="inlineStr">
        <is>
          <t>发行价</t>
        </is>
      </c>
      <c r="E244" t="inlineStr">
        <is>
          <t>optional_missing</t>
        </is>
      </c>
      <c r="F244" t="inlineStr">
        <is>
          <t>发行价：optional_missing</t>
        </is>
      </c>
      <c r="G244" t="b">
        <v>0</v>
      </c>
      <c r="H244" t="b">
        <v>1</v>
      </c>
      <c r="M244" t="b">
        <v>0</v>
      </c>
    </row>
    <row r="245">
      <c r="A245" t="inlineStr">
        <is>
          <t>港股</t>
        </is>
      </c>
      <c r="B245" t="inlineStr">
        <is>
          <t>00022</t>
        </is>
      </c>
      <c r="C245" t="inlineStr">
        <is>
          <t>MEXAN</t>
        </is>
      </c>
      <c r="D245" t="inlineStr">
        <is>
          <t>发行股数</t>
        </is>
      </c>
      <c r="E245" t="inlineStr">
        <is>
          <t>optional_missing</t>
        </is>
      </c>
      <c r="F245" t="inlineStr">
        <is>
          <t>发行股数：optional_missing</t>
        </is>
      </c>
      <c r="G245" t="b">
        <v>0</v>
      </c>
      <c r="H245" t="b">
        <v>1</v>
      </c>
      <c r="M245" t="b">
        <v>0</v>
      </c>
    </row>
    <row r="246">
      <c r="A246" t="inlineStr">
        <is>
          <t>港股</t>
        </is>
      </c>
      <c r="B246" t="inlineStr">
        <is>
          <t>00022</t>
        </is>
      </c>
      <c r="C246" t="inlineStr">
        <is>
          <t>MEXAN</t>
        </is>
      </c>
      <c r="D246" t="inlineStr">
        <is>
          <t>发行时总市值</t>
        </is>
      </c>
      <c r="E246" t="inlineStr">
        <is>
          <t>optional_missing</t>
        </is>
      </c>
      <c r="F246" t="inlineStr">
        <is>
          <t>发行时总市值：optional_missing</t>
        </is>
      </c>
      <c r="G246" t="b">
        <v>0</v>
      </c>
      <c r="H246" t="b">
        <v>1</v>
      </c>
      <c r="M246" t="b">
        <v>0</v>
      </c>
    </row>
    <row r="247">
      <c r="A247" t="inlineStr">
        <is>
          <t>港股</t>
        </is>
      </c>
      <c r="B247" t="inlineStr">
        <is>
          <t>00022</t>
        </is>
      </c>
      <c r="C247" t="inlineStr">
        <is>
          <t>MEXAN</t>
        </is>
      </c>
      <c r="D247" t="inlineStr">
        <is>
          <t>当年累计大宗交易笔数</t>
        </is>
      </c>
      <c r="E247" t="inlineStr">
        <is>
          <t>optional_missing</t>
        </is>
      </c>
      <c r="F247" t="inlineStr">
        <is>
          <t>当年累计大宗交易笔数：optional_missing</t>
        </is>
      </c>
      <c r="G247" t="b">
        <v>0</v>
      </c>
      <c r="H247" t="b">
        <v>1</v>
      </c>
      <c r="M247" t="b">
        <v>0</v>
      </c>
    </row>
    <row r="248">
      <c r="A248" t="inlineStr">
        <is>
          <t>港股</t>
        </is>
      </c>
      <c r="B248" t="inlineStr">
        <is>
          <t>00022</t>
        </is>
      </c>
      <c r="C248" t="inlineStr">
        <is>
          <t>MEXAN</t>
        </is>
      </c>
      <c r="D248" t="inlineStr">
        <is>
          <t>当年累计大宗交易金额</t>
        </is>
      </c>
      <c r="E248" t="inlineStr">
        <is>
          <t>optional_missing</t>
        </is>
      </c>
      <c r="F248" t="inlineStr">
        <is>
          <t>当年累计大宗交易金额：optional_missing</t>
        </is>
      </c>
      <c r="G248" t="b">
        <v>0</v>
      </c>
      <c r="H248" t="b">
        <v>1</v>
      </c>
      <c r="M248" t="b">
        <v>0</v>
      </c>
    </row>
    <row r="249">
      <c r="A249" t="inlineStr">
        <is>
          <t>港股</t>
        </is>
      </c>
      <c r="B249" t="inlineStr">
        <is>
          <t>00022</t>
        </is>
      </c>
      <c r="C249" t="inlineStr">
        <is>
          <t>MEXAN</t>
        </is>
      </c>
      <c r="D249" t="inlineStr">
        <is>
          <t>近五个交易日资金净额</t>
        </is>
      </c>
      <c r="E249" t="inlineStr">
        <is>
          <t>optional_missing</t>
        </is>
      </c>
      <c r="F249" t="inlineStr">
        <is>
          <t>近五个交易日资金净额：optional_missing</t>
        </is>
      </c>
      <c r="G249" t="b">
        <v>0</v>
      </c>
      <c r="H249" t="b">
        <v>1</v>
      </c>
      <c r="M249" t="b">
        <v>0</v>
      </c>
    </row>
    <row r="250">
      <c r="A250" t="inlineStr">
        <is>
          <t>港股</t>
        </is>
      </c>
      <c r="B250" t="inlineStr">
        <is>
          <t>00022</t>
        </is>
      </c>
      <c r="C250" t="inlineStr">
        <is>
          <t>MEXAN</t>
        </is>
      </c>
      <c r="D250" t="inlineStr">
        <is>
          <t>近一月资金净额（最近22个交易日）</t>
        </is>
      </c>
      <c r="E250" t="inlineStr">
        <is>
          <t>optional_missing</t>
        </is>
      </c>
      <c r="F250" t="inlineStr">
        <is>
          <t>近一月资金净额（最近22个交易日）：optional_missing</t>
        </is>
      </c>
      <c r="G250" t="b">
        <v>0</v>
      </c>
      <c r="H250" t="b">
        <v>1</v>
      </c>
      <c r="M250" t="b">
        <v>0</v>
      </c>
    </row>
    <row r="251">
      <c r="A251" t="inlineStr">
        <is>
          <t>A股</t>
        </is>
      </c>
      <c r="B251" t="inlineStr">
        <is>
          <t>000029</t>
        </is>
      </c>
      <c r="C251" t="inlineStr">
        <is>
          <t>深深房Ａ</t>
        </is>
      </c>
      <c r="D251" t="inlineStr">
        <is>
          <t>资金流</t>
        </is>
      </c>
      <c r="E251" t="inlineStr">
        <is>
          <t>optional_missing</t>
        </is>
      </c>
      <c r="F251" t="inlineStr">
        <is>
          <t>用户选择不抓取资金流</t>
        </is>
      </c>
      <c r="G251" t="b">
        <v>0</v>
      </c>
      <c r="H251" t="b">
        <v>1</v>
      </c>
      <c r="I251" t="inlineStr">
        <is>
          <t>配置</t>
        </is>
      </c>
      <c r="J251" t="inlineStr">
        <is>
          <t>配置</t>
        </is>
      </c>
      <c r="K251" t="inlineStr">
        <is>
          <t>flow-mode-off</t>
        </is>
      </c>
      <c r="L251" s="32" t="n">
        <v>46263.25754607147</v>
      </c>
      <c r="M251" t="b">
        <v>0</v>
      </c>
    </row>
    <row r="252">
      <c r="A252" t="inlineStr">
        <is>
          <t>A股</t>
        </is>
      </c>
      <c r="B252" t="inlineStr">
        <is>
          <t>000029</t>
        </is>
      </c>
      <c r="C252" t="inlineStr">
        <is>
          <t>深深房Ａ</t>
        </is>
      </c>
      <c r="D252" t="inlineStr">
        <is>
          <t>近五个交易日资金净额</t>
        </is>
      </c>
      <c r="E252" t="inlineStr">
        <is>
          <t>optional_missing</t>
        </is>
      </c>
      <c r="F252" t="inlineStr">
        <is>
          <t>近五个交易日资金净额：optional_missing</t>
        </is>
      </c>
      <c r="G252" t="b">
        <v>0</v>
      </c>
      <c r="H252" t="b">
        <v>1</v>
      </c>
      <c r="M252" t="b">
        <v>0</v>
      </c>
    </row>
    <row r="253">
      <c r="A253" t="inlineStr">
        <is>
          <t>A股</t>
        </is>
      </c>
      <c r="B253" t="inlineStr">
        <is>
          <t>000029</t>
        </is>
      </c>
      <c r="C253" t="inlineStr">
        <is>
          <t>深深房Ａ</t>
        </is>
      </c>
      <c r="D253" t="inlineStr">
        <is>
          <t>近一月资金净额（最近22个交易日）</t>
        </is>
      </c>
      <c r="E253" t="inlineStr">
        <is>
          <t>optional_missing</t>
        </is>
      </c>
      <c r="F253" t="inlineStr">
        <is>
          <t>近一月资金净额（最近22个交易日）：optional_missing</t>
        </is>
      </c>
      <c r="G253" t="b">
        <v>0</v>
      </c>
      <c r="H253" t="b">
        <v>1</v>
      </c>
      <c r="M253" t="b">
        <v>0</v>
      </c>
    </row>
    <row r="254">
      <c r="A254" t="inlineStr">
        <is>
          <t>港股</t>
        </is>
      </c>
      <c r="B254" t="inlineStr">
        <is>
          <t>00023</t>
        </is>
      </c>
      <c r="C254" t="inlineStr">
        <is>
          <t>BANK OF E ASIA</t>
        </is>
      </c>
      <c r="D254" t="inlineStr">
        <is>
          <t>大宗交易</t>
        </is>
      </c>
      <c r="E254" t="inlineStr">
        <is>
          <t>optional_missing</t>
        </is>
      </c>
      <c r="F254" t="inlineStr">
        <is>
          <t>港股大宗交易按允许缺失规则留空</t>
        </is>
      </c>
      <c r="G254" t="b">
        <v>0</v>
      </c>
      <c r="H254" t="b">
        <v>1</v>
      </c>
      <c r="I254" t="inlineStr">
        <is>
          <t>东方财富</t>
        </is>
      </c>
      <c r="J254" t="inlineStr">
        <is>
          <t>东方财富</t>
        </is>
      </c>
      <c r="K254" t="inlineStr">
        <is>
          <t>not-applicable-hk</t>
        </is>
      </c>
      <c r="L254" s="32" t="n">
        <v>46263.25725433244</v>
      </c>
      <c r="M254" t="b">
        <v>1</v>
      </c>
    </row>
    <row r="255">
      <c r="A255" t="inlineStr">
        <is>
          <t>港股</t>
        </is>
      </c>
      <c r="B255" t="inlineStr">
        <is>
          <t>00023</t>
        </is>
      </c>
      <c r="C255" t="inlineStr">
        <is>
          <t>BANK OF E ASIA</t>
        </is>
      </c>
      <c r="D255" t="inlineStr">
        <is>
          <t>资金流</t>
        </is>
      </c>
      <c r="E255" t="inlineStr">
        <is>
          <t>optional_missing</t>
        </is>
      </c>
      <c r="F255" t="inlineStr">
        <is>
          <t>用户选择不抓取资金流</t>
        </is>
      </c>
      <c r="G255" t="b">
        <v>0</v>
      </c>
      <c r="H255" t="b">
        <v>1</v>
      </c>
      <c r="I255" t="inlineStr">
        <is>
          <t>配置</t>
        </is>
      </c>
      <c r="J255" t="inlineStr">
        <is>
          <t>配置</t>
        </is>
      </c>
      <c r="K255" t="inlineStr">
        <is>
          <t>flow-mode-off</t>
        </is>
      </c>
      <c r="L255" s="32" t="n">
        <v>46263.25754607147</v>
      </c>
      <c r="M255" t="b">
        <v>0</v>
      </c>
    </row>
    <row r="256">
      <c r="A256" t="inlineStr">
        <is>
          <t>港股</t>
        </is>
      </c>
      <c r="B256" t="inlineStr">
        <is>
          <t>00023</t>
        </is>
      </c>
      <c r="C256" t="inlineStr">
        <is>
          <t>BANK OF E ASIA</t>
        </is>
      </c>
      <c r="D256" t="inlineStr">
        <is>
          <t>毛利率</t>
        </is>
      </c>
      <c r="E256" t="inlineStr">
        <is>
          <t>missing</t>
        </is>
      </c>
      <c r="F256" t="inlineStr">
        <is>
          <t>毛利率：missing</t>
        </is>
      </c>
      <c r="G256" t="b">
        <v>0</v>
      </c>
      <c r="H256" t="b">
        <v>0</v>
      </c>
      <c r="M256" t="b">
        <v>0</v>
      </c>
    </row>
    <row r="257">
      <c r="A257" t="inlineStr">
        <is>
          <t>港股</t>
        </is>
      </c>
      <c r="B257" t="inlineStr">
        <is>
          <t>00023</t>
        </is>
      </c>
      <c r="C257" t="inlineStr">
        <is>
          <t>BANK OF E ASIA</t>
        </is>
      </c>
      <c r="D257" t="inlineStr">
        <is>
          <t>毛利率同比变化（百分点）</t>
        </is>
      </c>
      <c r="E257" t="inlineStr">
        <is>
          <t>missing</t>
        </is>
      </c>
      <c r="F257" t="inlineStr">
        <is>
          <t>毛利率同比变化（百分点）：missing</t>
        </is>
      </c>
      <c r="G257" t="b">
        <v>0</v>
      </c>
      <c r="H257" t="b">
        <v>0</v>
      </c>
      <c r="M257" t="b">
        <v>0</v>
      </c>
    </row>
    <row r="258">
      <c r="A258" t="inlineStr">
        <is>
          <t>港股</t>
        </is>
      </c>
      <c r="B258" t="inlineStr">
        <is>
          <t>00023</t>
        </is>
      </c>
      <c r="C258" t="inlineStr">
        <is>
          <t>BANK OF E ASIA</t>
        </is>
      </c>
      <c r="D258" t="inlineStr">
        <is>
          <t>毛利率三年变化（百分点）</t>
        </is>
      </c>
      <c r="E258" t="inlineStr">
        <is>
          <t>missing</t>
        </is>
      </c>
      <c r="F258" t="inlineStr">
        <is>
          <t>毛利率三年变化（百分点）：missing</t>
        </is>
      </c>
      <c r="G258" t="b">
        <v>0</v>
      </c>
      <c r="H258" t="b">
        <v>0</v>
      </c>
      <c r="M258" t="b">
        <v>0</v>
      </c>
    </row>
    <row r="259">
      <c r="A259" t="inlineStr">
        <is>
          <t>港股</t>
        </is>
      </c>
      <c r="B259" t="inlineStr">
        <is>
          <t>00023</t>
        </is>
      </c>
      <c r="C259" t="inlineStr">
        <is>
          <t>BANK OF E ASIA</t>
        </is>
      </c>
      <c r="D259" t="inlineStr">
        <is>
          <t>市值增长率</t>
        </is>
      </c>
      <c r="E259" t="inlineStr">
        <is>
          <t>missing</t>
        </is>
      </c>
      <c r="F259" t="inlineStr">
        <is>
          <t>市值增长率：missing</t>
        </is>
      </c>
      <c r="G259" t="b">
        <v>0</v>
      </c>
      <c r="H259" t="b">
        <v>1</v>
      </c>
      <c r="M259" t="b">
        <v>0</v>
      </c>
    </row>
    <row r="260">
      <c r="A260" t="inlineStr">
        <is>
          <t>港股</t>
        </is>
      </c>
      <c r="B260" t="inlineStr">
        <is>
          <t>00023</t>
        </is>
      </c>
      <c r="C260" t="inlineStr">
        <is>
          <t>BANK OF E ASIA</t>
        </is>
      </c>
      <c r="D260" t="inlineStr">
        <is>
          <t>发行价</t>
        </is>
      </c>
      <c r="E260" t="inlineStr">
        <is>
          <t>optional_missing</t>
        </is>
      </c>
      <c r="F260" t="inlineStr">
        <is>
          <t>发行价：optional_missing</t>
        </is>
      </c>
      <c r="G260" t="b">
        <v>0</v>
      </c>
      <c r="H260" t="b">
        <v>1</v>
      </c>
      <c r="M260" t="b">
        <v>0</v>
      </c>
    </row>
    <row r="261">
      <c r="A261" t="inlineStr">
        <is>
          <t>港股</t>
        </is>
      </c>
      <c r="B261" t="inlineStr">
        <is>
          <t>00023</t>
        </is>
      </c>
      <c r="C261" t="inlineStr">
        <is>
          <t>BANK OF E ASIA</t>
        </is>
      </c>
      <c r="D261" t="inlineStr">
        <is>
          <t>发行股数</t>
        </is>
      </c>
      <c r="E261" t="inlineStr">
        <is>
          <t>optional_missing</t>
        </is>
      </c>
      <c r="F261" t="inlineStr">
        <is>
          <t>发行股数：optional_missing</t>
        </is>
      </c>
      <c r="G261" t="b">
        <v>0</v>
      </c>
      <c r="H261" t="b">
        <v>1</v>
      </c>
      <c r="M261" t="b">
        <v>0</v>
      </c>
    </row>
    <row r="262">
      <c r="A262" t="inlineStr">
        <is>
          <t>港股</t>
        </is>
      </c>
      <c r="B262" t="inlineStr">
        <is>
          <t>00023</t>
        </is>
      </c>
      <c r="C262" t="inlineStr">
        <is>
          <t>BANK OF E ASIA</t>
        </is>
      </c>
      <c r="D262" t="inlineStr">
        <is>
          <t>发行时总市值</t>
        </is>
      </c>
      <c r="E262" t="inlineStr">
        <is>
          <t>optional_missing</t>
        </is>
      </c>
      <c r="F262" t="inlineStr">
        <is>
          <t>发行时总市值：optional_missing</t>
        </is>
      </c>
      <c r="G262" t="b">
        <v>0</v>
      </c>
      <c r="H262" t="b">
        <v>1</v>
      </c>
      <c r="M262" t="b">
        <v>0</v>
      </c>
    </row>
    <row r="263">
      <c r="A263" t="inlineStr">
        <is>
          <t>港股</t>
        </is>
      </c>
      <c r="B263" t="inlineStr">
        <is>
          <t>00023</t>
        </is>
      </c>
      <c r="C263" t="inlineStr">
        <is>
          <t>BANK OF E ASIA</t>
        </is>
      </c>
      <c r="D263" t="inlineStr">
        <is>
          <t>当年累计大宗交易笔数</t>
        </is>
      </c>
      <c r="E263" t="inlineStr">
        <is>
          <t>optional_missing</t>
        </is>
      </c>
      <c r="F263" t="inlineStr">
        <is>
          <t>当年累计大宗交易笔数：optional_missing</t>
        </is>
      </c>
      <c r="G263" t="b">
        <v>0</v>
      </c>
      <c r="H263" t="b">
        <v>1</v>
      </c>
      <c r="M263" t="b">
        <v>0</v>
      </c>
    </row>
    <row r="264">
      <c r="A264" t="inlineStr">
        <is>
          <t>港股</t>
        </is>
      </c>
      <c r="B264" t="inlineStr">
        <is>
          <t>00023</t>
        </is>
      </c>
      <c r="C264" t="inlineStr">
        <is>
          <t>BANK OF E ASIA</t>
        </is>
      </c>
      <c r="D264" t="inlineStr">
        <is>
          <t>当年累计大宗交易金额</t>
        </is>
      </c>
      <c r="E264" t="inlineStr">
        <is>
          <t>optional_missing</t>
        </is>
      </c>
      <c r="F264" t="inlineStr">
        <is>
          <t>当年累计大宗交易金额：optional_missing</t>
        </is>
      </c>
      <c r="G264" t="b">
        <v>0</v>
      </c>
      <c r="H264" t="b">
        <v>1</v>
      </c>
      <c r="M264" t="b">
        <v>0</v>
      </c>
    </row>
    <row r="265">
      <c r="A265" t="inlineStr">
        <is>
          <t>港股</t>
        </is>
      </c>
      <c r="B265" t="inlineStr">
        <is>
          <t>00023</t>
        </is>
      </c>
      <c r="C265" t="inlineStr">
        <is>
          <t>BANK OF E ASIA</t>
        </is>
      </c>
      <c r="D265" t="inlineStr">
        <is>
          <t>近五个交易日资金净额</t>
        </is>
      </c>
      <c r="E265" t="inlineStr">
        <is>
          <t>optional_missing</t>
        </is>
      </c>
      <c r="F265" t="inlineStr">
        <is>
          <t>近五个交易日资金净额：optional_missing</t>
        </is>
      </c>
      <c r="G265" t="b">
        <v>0</v>
      </c>
      <c r="H265" t="b">
        <v>1</v>
      </c>
      <c r="M265" t="b">
        <v>0</v>
      </c>
    </row>
    <row r="266">
      <c r="A266" t="inlineStr">
        <is>
          <t>港股</t>
        </is>
      </c>
      <c r="B266" t="inlineStr">
        <is>
          <t>00023</t>
        </is>
      </c>
      <c r="C266" t="inlineStr">
        <is>
          <t>BANK OF E ASIA</t>
        </is>
      </c>
      <c r="D266" t="inlineStr">
        <is>
          <t>近一月资金净额（最近22个交易日）</t>
        </is>
      </c>
      <c r="E266" t="inlineStr">
        <is>
          <t>optional_missing</t>
        </is>
      </c>
      <c r="F266" t="inlineStr">
        <is>
          <t>近一月资金净额（最近22个交易日）：optional_missing</t>
        </is>
      </c>
      <c r="G266" t="b">
        <v>0</v>
      </c>
      <c r="H266" t="b">
        <v>1</v>
      </c>
      <c r="M266" t="b">
        <v>0</v>
      </c>
    </row>
    <row r="267">
      <c r="A267" t="inlineStr">
        <is>
          <t>A股</t>
        </is>
      </c>
      <c r="B267" t="inlineStr">
        <is>
          <t>000030</t>
        </is>
      </c>
      <c r="C267" t="inlineStr">
        <is>
          <t>富奥股份</t>
        </is>
      </c>
      <c r="D267" t="inlineStr">
        <is>
          <t>资金流</t>
        </is>
      </c>
      <c r="E267" t="inlineStr">
        <is>
          <t>optional_missing</t>
        </is>
      </c>
      <c r="F267" t="inlineStr">
        <is>
          <t>用户选择不抓取资金流</t>
        </is>
      </c>
      <c r="G267" t="b">
        <v>0</v>
      </c>
      <c r="H267" t="b">
        <v>1</v>
      </c>
      <c r="I267" t="inlineStr">
        <is>
          <t>配置</t>
        </is>
      </c>
      <c r="J267" t="inlineStr">
        <is>
          <t>配置</t>
        </is>
      </c>
      <c r="K267" t="inlineStr">
        <is>
          <t>flow-mode-off</t>
        </is>
      </c>
      <c r="L267" s="32" t="n">
        <v>46263.25754607147</v>
      </c>
      <c r="M267" t="b">
        <v>0</v>
      </c>
    </row>
    <row r="268">
      <c r="A268" t="inlineStr">
        <is>
          <t>A股</t>
        </is>
      </c>
      <c r="B268" t="inlineStr">
        <is>
          <t>000030</t>
        </is>
      </c>
      <c r="C268" t="inlineStr">
        <is>
          <t>富奥股份</t>
        </is>
      </c>
      <c r="D268" t="inlineStr">
        <is>
          <t>近五个交易日资金净额</t>
        </is>
      </c>
      <c r="E268" t="inlineStr">
        <is>
          <t>optional_missing</t>
        </is>
      </c>
      <c r="F268" t="inlineStr">
        <is>
          <t>近五个交易日资金净额：optional_missing</t>
        </is>
      </c>
      <c r="G268" t="b">
        <v>0</v>
      </c>
      <c r="H268" t="b">
        <v>1</v>
      </c>
      <c r="M268" t="b">
        <v>0</v>
      </c>
    </row>
    <row r="269">
      <c r="A269" t="inlineStr">
        <is>
          <t>A股</t>
        </is>
      </c>
      <c r="B269" t="inlineStr">
        <is>
          <t>000030</t>
        </is>
      </c>
      <c r="C269" t="inlineStr">
        <is>
          <t>富奥股份</t>
        </is>
      </c>
      <c r="D269" t="inlineStr">
        <is>
          <t>近一月资金净额（最近22个交易日）</t>
        </is>
      </c>
      <c r="E269" t="inlineStr">
        <is>
          <t>optional_missing</t>
        </is>
      </c>
      <c r="F269" t="inlineStr">
        <is>
          <t>近一月资金净额（最近22个交易日）：optional_missing</t>
        </is>
      </c>
      <c r="G269" t="b">
        <v>0</v>
      </c>
      <c r="H269" t="b">
        <v>1</v>
      </c>
      <c r="M269" t="b">
        <v>0</v>
      </c>
    </row>
    <row r="270">
      <c r="A270" t="inlineStr">
        <is>
          <t>港股</t>
        </is>
      </c>
      <c r="B270" t="inlineStr">
        <is>
          <t>00025</t>
        </is>
      </c>
      <c r="C270" t="inlineStr">
        <is>
          <t>CHEVALIER INT'L</t>
        </is>
      </c>
      <c r="D270" t="inlineStr">
        <is>
          <t>大宗交易</t>
        </is>
      </c>
      <c r="E270" t="inlineStr">
        <is>
          <t>optional_missing</t>
        </is>
      </c>
      <c r="F270" t="inlineStr">
        <is>
          <t>港股大宗交易按允许缺失规则留空</t>
        </is>
      </c>
      <c r="G270" t="b">
        <v>0</v>
      </c>
      <c r="H270" t="b">
        <v>1</v>
      </c>
      <c r="I270" t="inlineStr">
        <is>
          <t>东方财富</t>
        </is>
      </c>
      <c r="J270" t="inlineStr">
        <is>
          <t>东方财富</t>
        </is>
      </c>
      <c r="K270" t="inlineStr">
        <is>
          <t>not-applicable-hk</t>
        </is>
      </c>
      <c r="L270" s="32" t="n">
        <v>46263.25725433244</v>
      </c>
      <c r="M270" t="b">
        <v>1</v>
      </c>
    </row>
    <row r="271">
      <c r="A271" t="inlineStr">
        <is>
          <t>港股</t>
        </is>
      </c>
      <c r="B271" t="inlineStr">
        <is>
          <t>00025</t>
        </is>
      </c>
      <c r="C271" t="inlineStr">
        <is>
          <t>CHEVALIER INT'L</t>
        </is>
      </c>
      <c r="D271" t="inlineStr">
        <is>
          <t>资金流</t>
        </is>
      </c>
      <c r="E271" t="inlineStr">
        <is>
          <t>optional_missing</t>
        </is>
      </c>
      <c r="F271" t="inlineStr">
        <is>
          <t>用户选择不抓取资金流</t>
        </is>
      </c>
      <c r="G271" t="b">
        <v>0</v>
      </c>
      <c r="H271" t="b">
        <v>1</v>
      </c>
      <c r="I271" t="inlineStr">
        <is>
          <t>配置</t>
        </is>
      </c>
      <c r="J271" t="inlineStr">
        <is>
          <t>配置</t>
        </is>
      </c>
      <c r="K271" t="inlineStr">
        <is>
          <t>flow-mode-off</t>
        </is>
      </c>
      <c r="L271" s="32" t="n">
        <v>46263.25754607147</v>
      </c>
      <c r="M271" t="b">
        <v>0</v>
      </c>
    </row>
    <row r="272">
      <c r="A272" t="inlineStr">
        <is>
          <t>港股</t>
        </is>
      </c>
      <c r="B272" t="inlineStr">
        <is>
          <t>00025</t>
        </is>
      </c>
      <c r="C272" t="inlineStr">
        <is>
          <t>CHEVALIER INT'L</t>
        </is>
      </c>
      <c r="D272" t="inlineStr">
        <is>
          <t>市值增长率</t>
        </is>
      </c>
      <c r="E272" t="inlineStr">
        <is>
          <t>missing</t>
        </is>
      </c>
      <c r="F272" t="inlineStr">
        <is>
          <t>市值增长率：missing</t>
        </is>
      </c>
      <c r="G272" t="b">
        <v>0</v>
      </c>
      <c r="H272" t="b">
        <v>1</v>
      </c>
      <c r="M272" t="b">
        <v>0</v>
      </c>
    </row>
    <row r="273">
      <c r="A273" t="inlineStr">
        <is>
          <t>港股</t>
        </is>
      </c>
      <c r="B273" t="inlineStr">
        <is>
          <t>00025</t>
        </is>
      </c>
      <c r="C273" t="inlineStr">
        <is>
          <t>CHEVALIER INT'L</t>
        </is>
      </c>
      <c r="D273" t="inlineStr">
        <is>
          <t>发行价</t>
        </is>
      </c>
      <c r="E273" t="inlineStr">
        <is>
          <t>optional_missing</t>
        </is>
      </c>
      <c r="F273" t="inlineStr">
        <is>
          <t>发行价：optional_missing</t>
        </is>
      </c>
      <c r="G273" t="b">
        <v>0</v>
      </c>
      <c r="H273" t="b">
        <v>1</v>
      </c>
      <c r="M273" t="b">
        <v>0</v>
      </c>
    </row>
    <row r="274">
      <c r="A274" t="inlineStr">
        <is>
          <t>港股</t>
        </is>
      </c>
      <c r="B274" t="inlineStr">
        <is>
          <t>00025</t>
        </is>
      </c>
      <c r="C274" t="inlineStr">
        <is>
          <t>CHEVALIER INT'L</t>
        </is>
      </c>
      <c r="D274" t="inlineStr">
        <is>
          <t>发行股数</t>
        </is>
      </c>
      <c r="E274" t="inlineStr">
        <is>
          <t>optional_missing</t>
        </is>
      </c>
      <c r="F274" t="inlineStr">
        <is>
          <t>发行股数：optional_missing</t>
        </is>
      </c>
      <c r="G274" t="b">
        <v>0</v>
      </c>
      <c r="H274" t="b">
        <v>1</v>
      </c>
      <c r="M274" t="b">
        <v>0</v>
      </c>
    </row>
    <row r="275">
      <c r="A275" t="inlineStr">
        <is>
          <t>港股</t>
        </is>
      </c>
      <c r="B275" t="inlineStr">
        <is>
          <t>00025</t>
        </is>
      </c>
      <c r="C275" t="inlineStr">
        <is>
          <t>CHEVALIER INT'L</t>
        </is>
      </c>
      <c r="D275" t="inlineStr">
        <is>
          <t>发行时总市值</t>
        </is>
      </c>
      <c r="E275" t="inlineStr">
        <is>
          <t>optional_missing</t>
        </is>
      </c>
      <c r="F275" t="inlineStr">
        <is>
          <t>发行时总市值：optional_missing</t>
        </is>
      </c>
      <c r="G275" t="b">
        <v>0</v>
      </c>
      <c r="H275" t="b">
        <v>1</v>
      </c>
      <c r="M275" t="b">
        <v>0</v>
      </c>
    </row>
    <row r="276">
      <c r="A276" t="inlineStr">
        <is>
          <t>港股</t>
        </is>
      </c>
      <c r="B276" t="inlineStr">
        <is>
          <t>00025</t>
        </is>
      </c>
      <c r="C276" t="inlineStr">
        <is>
          <t>CHEVALIER INT'L</t>
        </is>
      </c>
      <c r="D276" t="inlineStr">
        <is>
          <t>当年累计大宗交易笔数</t>
        </is>
      </c>
      <c r="E276" t="inlineStr">
        <is>
          <t>optional_missing</t>
        </is>
      </c>
      <c r="F276" t="inlineStr">
        <is>
          <t>当年累计大宗交易笔数：optional_missing</t>
        </is>
      </c>
      <c r="G276" t="b">
        <v>0</v>
      </c>
      <c r="H276" t="b">
        <v>1</v>
      </c>
      <c r="M276" t="b">
        <v>0</v>
      </c>
    </row>
    <row r="277">
      <c r="A277" t="inlineStr">
        <is>
          <t>港股</t>
        </is>
      </c>
      <c r="B277" t="inlineStr">
        <is>
          <t>00025</t>
        </is>
      </c>
      <c r="C277" t="inlineStr">
        <is>
          <t>CHEVALIER INT'L</t>
        </is>
      </c>
      <c r="D277" t="inlineStr">
        <is>
          <t>当年累计大宗交易金额</t>
        </is>
      </c>
      <c r="E277" t="inlineStr">
        <is>
          <t>optional_missing</t>
        </is>
      </c>
      <c r="F277" t="inlineStr">
        <is>
          <t>当年累计大宗交易金额：optional_missing</t>
        </is>
      </c>
      <c r="G277" t="b">
        <v>0</v>
      </c>
      <c r="H277" t="b">
        <v>1</v>
      </c>
      <c r="M277" t="b">
        <v>0</v>
      </c>
    </row>
    <row r="278">
      <c r="A278" t="inlineStr">
        <is>
          <t>港股</t>
        </is>
      </c>
      <c r="B278" t="inlineStr">
        <is>
          <t>00025</t>
        </is>
      </c>
      <c r="C278" t="inlineStr">
        <is>
          <t>CHEVALIER INT'L</t>
        </is>
      </c>
      <c r="D278" t="inlineStr">
        <is>
          <t>近五个交易日资金净额</t>
        </is>
      </c>
      <c r="E278" t="inlineStr">
        <is>
          <t>optional_missing</t>
        </is>
      </c>
      <c r="F278" t="inlineStr">
        <is>
          <t>近五个交易日资金净额：optional_missing</t>
        </is>
      </c>
      <c r="G278" t="b">
        <v>0</v>
      </c>
      <c r="H278" t="b">
        <v>1</v>
      </c>
      <c r="M278" t="b">
        <v>0</v>
      </c>
    </row>
    <row r="279">
      <c r="A279" t="inlineStr">
        <is>
          <t>港股</t>
        </is>
      </c>
      <c r="B279" t="inlineStr">
        <is>
          <t>00025</t>
        </is>
      </c>
      <c r="C279" t="inlineStr">
        <is>
          <t>CHEVALIER INT'L</t>
        </is>
      </c>
      <c r="D279" t="inlineStr">
        <is>
          <t>近一月资金净额（最近22个交易日）</t>
        </is>
      </c>
      <c r="E279" t="inlineStr">
        <is>
          <t>optional_missing</t>
        </is>
      </c>
      <c r="F279" t="inlineStr">
        <is>
          <t>近一月资金净额（最近22个交易日）：optional_missing</t>
        </is>
      </c>
      <c r="G279" t="b">
        <v>0</v>
      </c>
      <c r="H279" t="b">
        <v>1</v>
      </c>
      <c r="M279" t="b">
        <v>0</v>
      </c>
    </row>
    <row r="280">
      <c r="A280" t="inlineStr">
        <is>
          <t>A股</t>
        </is>
      </c>
      <c r="B280" t="inlineStr">
        <is>
          <t>000031</t>
        </is>
      </c>
      <c r="C280" t="inlineStr">
        <is>
          <t>大悦城</t>
        </is>
      </c>
      <c r="D280" t="inlineStr">
        <is>
          <t>资金流</t>
        </is>
      </c>
      <c r="E280" t="inlineStr">
        <is>
          <t>optional_missing</t>
        </is>
      </c>
      <c r="F280" t="inlineStr">
        <is>
          <t>用户选择不抓取资金流</t>
        </is>
      </c>
      <c r="G280" t="b">
        <v>0</v>
      </c>
      <c r="H280" t="b">
        <v>1</v>
      </c>
      <c r="I280" t="inlineStr">
        <is>
          <t>配置</t>
        </is>
      </c>
      <c r="J280" t="inlineStr">
        <is>
          <t>配置</t>
        </is>
      </c>
      <c r="K280" t="inlineStr">
        <is>
          <t>flow-mode-off</t>
        </is>
      </c>
      <c r="L280" s="32" t="n">
        <v>46263.25754607147</v>
      </c>
      <c r="M280" t="b">
        <v>0</v>
      </c>
    </row>
    <row r="281">
      <c r="A281" t="inlineStr">
        <is>
          <t>A股</t>
        </is>
      </c>
      <c r="B281" t="inlineStr">
        <is>
          <t>000031</t>
        </is>
      </c>
      <c r="C281" t="inlineStr">
        <is>
          <t>大悦城</t>
        </is>
      </c>
      <c r="D281" t="inlineStr">
        <is>
          <t>近五个交易日资金净额</t>
        </is>
      </c>
      <c r="E281" t="inlineStr">
        <is>
          <t>optional_missing</t>
        </is>
      </c>
      <c r="F281" t="inlineStr">
        <is>
          <t>近五个交易日资金净额：optional_missing</t>
        </is>
      </c>
      <c r="G281" t="b">
        <v>0</v>
      </c>
      <c r="H281" t="b">
        <v>1</v>
      </c>
      <c r="M281" t="b">
        <v>0</v>
      </c>
    </row>
    <row r="282">
      <c r="A282" t="inlineStr">
        <is>
          <t>A股</t>
        </is>
      </c>
      <c r="B282" t="inlineStr">
        <is>
          <t>000031</t>
        </is>
      </c>
      <c r="C282" t="inlineStr">
        <is>
          <t>大悦城</t>
        </is>
      </c>
      <c r="D282" t="inlineStr">
        <is>
          <t>近一月资金净额（最近22个交易日）</t>
        </is>
      </c>
      <c r="E282" t="inlineStr">
        <is>
          <t>optional_missing</t>
        </is>
      </c>
      <c r="F282" t="inlineStr">
        <is>
          <t>近一月资金净额（最近22个交易日）：optional_missing</t>
        </is>
      </c>
      <c r="G282" t="b">
        <v>0</v>
      </c>
      <c r="H282" t="b">
        <v>1</v>
      </c>
      <c r="M282" t="b">
        <v>0</v>
      </c>
    </row>
    <row r="283">
      <c r="A283" t="inlineStr">
        <is>
          <t>港股</t>
        </is>
      </c>
      <c r="B283" t="inlineStr">
        <is>
          <t>00026</t>
        </is>
      </c>
      <c r="C283" t="inlineStr">
        <is>
          <t>CHINA MOTOR BUS</t>
        </is>
      </c>
      <c r="D283" t="inlineStr">
        <is>
          <t>大宗交易</t>
        </is>
      </c>
      <c r="E283" t="inlineStr">
        <is>
          <t>optional_missing</t>
        </is>
      </c>
      <c r="F283" t="inlineStr">
        <is>
          <t>港股大宗交易按允许缺失规则留空</t>
        </is>
      </c>
      <c r="G283" t="b">
        <v>0</v>
      </c>
      <c r="H283" t="b">
        <v>1</v>
      </c>
      <c r="I283" t="inlineStr">
        <is>
          <t>东方财富</t>
        </is>
      </c>
      <c r="J283" t="inlineStr">
        <is>
          <t>东方财富</t>
        </is>
      </c>
      <c r="K283" t="inlineStr">
        <is>
          <t>not-applicable-hk</t>
        </is>
      </c>
      <c r="L283" s="32" t="n">
        <v>46263.25725433244</v>
      </c>
      <c r="M283" t="b">
        <v>1</v>
      </c>
    </row>
    <row r="284">
      <c r="A284" t="inlineStr">
        <is>
          <t>港股</t>
        </is>
      </c>
      <c r="B284" t="inlineStr">
        <is>
          <t>00026</t>
        </is>
      </c>
      <c r="C284" t="inlineStr">
        <is>
          <t>CHINA MOTOR BUS</t>
        </is>
      </c>
      <c r="D284" t="inlineStr">
        <is>
          <t>资金流</t>
        </is>
      </c>
      <c r="E284" t="inlineStr">
        <is>
          <t>optional_missing</t>
        </is>
      </c>
      <c r="F284" t="inlineStr">
        <is>
          <t>用户选择不抓取资金流</t>
        </is>
      </c>
      <c r="G284" t="b">
        <v>0</v>
      </c>
      <c r="H284" t="b">
        <v>1</v>
      </c>
      <c r="I284" t="inlineStr">
        <is>
          <t>配置</t>
        </is>
      </c>
      <c r="J284" t="inlineStr">
        <is>
          <t>配置</t>
        </is>
      </c>
      <c r="K284" t="inlineStr">
        <is>
          <t>flow-mode-off</t>
        </is>
      </c>
      <c r="L284" s="32" t="n">
        <v>46263.25754607147</v>
      </c>
      <c r="M284" t="b">
        <v>0</v>
      </c>
    </row>
    <row r="285">
      <c r="A285" t="inlineStr">
        <is>
          <t>港股</t>
        </is>
      </c>
      <c r="B285" t="inlineStr">
        <is>
          <t>00026</t>
        </is>
      </c>
      <c r="C285" t="inlineStr">
        <is>
          <t>CHINA MOTOR BUS</t>
        </is>
      </c>
      <c r="D285" t="inlineStr">
        <is>
          <t>市值增长率</t>
        </is>
      </c>
      <c r="E285" t="inlineStr">
        <is>
          <t>missing</t>
        </is>
      </c>
      <c r="F285" t="inlineStr">
        <is>
          <t>市值增长率：missing</t>
        </is>
      </c>
      <c r="G285" t="b">
        <v>0</v>
      </c>
      <c r="H285" t="b">
        <v>1</v>
      </c>
      <c r="M285" t="b">
        <v>0</v>
      </c>
    </row>
    <row r="286">
      <c r="A286" t="inlineStr">
        <is>
          <t>港股</t>
        </is>
      </c>
      <c r="B286" t="inlineStr">
        <is>
          <t>00026</t>
        </is>
      </c>
      <c r="C286" t="inlineStr">
        <is>
          <t>CHINA MOTOR BUS</t>
        </is>
      </c>
      <c r="D286" t="inlineStr">
        <is>
          <t>发行价</t>
        </is>
      </c>
      <c r="E286" t="inlineStr">
        <is>
          <t>optional_missing</t>
        </is>
      </c>
      <c r="F286" t="inlineStr">
        <is>
          <t>发行价：optional_missing</t>
        </is>
      </c>
      <c r="G286" t="b">
        <v>0</v>
      </c>
      <c r="H286" t="b">
        <v>1</v>
      </c>
      <c r="M286" t="b">
        <v>0</v>
      </c>
    </row>
    <row r="287">
      <c r="A287" t="inlineStr">
        <is>
          <t>港股</t>
        </is>
      </c>
      <c r="B287" t="inlineStr">
        <is>
          <t>00026</t>
        </is>
      </c>
      <c r="C287" t="inlineStr">
        <is>
          <t>CHINA MOTOR BUS</t>
        </is>
      </c>
      <c r="D287" t="inlineStr">
        <is>
          <t>发行股数</t>
        </is>
      </c>
      <c r="E287" t="inlineStr">
        <is>
          <t>optional_missing</t>
        </is>
      </c>
      <c r="F287" t="inlineStr">
        <is>
          <t>发行股数：optional_missing</t>
        </is>
      </c>
      <c r="G287" t="b">
        <v>0</v>
      </c>
      <c r="H287" t="b">
        <v>1</v>
      </c>
      <c r="M287" t="b">
        <v>0</v>
      </c>
    </row>
    <row r="288">
      <c r="A288" t="inlineStr">
        <is>
          <t>港股</t>
        </is>
      </c>
      <c r="B288" t="inlineStr">
        <is>
          <t>00026</t>
        </is>
      </c>
      <c r="C288" t="inlineStr">
        <is>
          <t>CHINA MOTOR BUS</t>
        </is>
      </c>
      <c r="D288" t="inlineStr">
        <is>
          <t>发行时总市值</t>
        </is>
      </c>
      <c r="E288" t="inlineStr">
        <is>
          <t>optional_missing</t>
        </is>
      </c>
      <c r="F288" t="inlineStr">
        <is>
          <t>发行时总市值：optional_missing</t>
        </is>
      </c>
      <c r="G288" t="b">
        <v>0</v>
      </c>
      <c r="H288" t="b">
        <v>1</v>
      </c>
      <c r="M288" t="b">
        <v>0</v>
      </c>
    </row>
    <row r="289">
      <c r="A289" t="inlineStr">
        <is>
          <t>港股</t>
        </is>
      </c>
      <c r="B289" t="inlineStr">
        <is>
          <t>00026</t>
        </is>
      </c>
      <c r="C289" t="inlineStr">
        <is>
          <t>CHINA MOTOR BUS</t>
        </is>
      </c>
      <c r="D289" t="inlineStr">
        <is>
          <t>当年累计大宗交易笔数</t>
        </is>
      </c>
      <c r="E289" t="inlineStr">
        <is>
          <t>optional_missing</t>
        </is>
      </c>
      <c r="F289" t="inlineStr">
        <is>
          <t>当年累计大宗交易笔数：optional_missing</t>
        </is>
      </c>
      <c r="G289" t="b">
        <v>0</v>
      </c>
      <c r="H289" t="b">
        <v>1</v>
      </c>
      <c r="M289" t="b">
        <v>0</v>
      </c>
    </row>
    <row r="290">
      <c r="A290" t="inlineStr">
        <is>
          <t>港股</t>
        </is>
      </c>
      <c r="B290" t="inlineStr">
        <is>
          <t>00026</t>
        </is>
      </c>
      <c r="C290" t="inlineStr">
        <is>
          <t>CHINA MOTOR BUS</t>
        </is>
      </c>
      <c r="D290" t="inlineStr">
        <is>
          <t>当年累计大宗交易金额</t>
        </is>
      </c>
      <c r="E290" t="inlineStr">
        <is>
          <t>optional_missing</t>
        </is>
      </c>
      <c r="F290" t="inlineStr">
        <is>
          <t>当年累计大宗交易金额：optional_missing</t>
        </is>
      </c>
      <c r="G290" t="b">
        <v>0</v>
      </c>
      <c r="H290" t="b">
        <v>1</v>
      </c>
      <c r="M290" t="b">
        <v>0</v>
      </c>
    </row>
    <row r="291">
      <c r="A291" t="inlineStr">
        <is>
          <t>港股</t>
        </is>
      </c>
      <c r="B291" t="inlineStr">
        <is>
          <t>00026</t>
        </is>
      </c>
      <c r="C291" t="inlineStr">
        <is>
          <t>CHINA MOTOR BUS</t>
        </is>
      </c>
      <c r="D291" t="inlineStr">
        <is>
          <t>近五个交易日资金净额</t>
        </is>
      </c>
      <c r="E291" t="inlineStr">
        <is>
          <t>optional_missing</t>
        </is>
      </c>
      <c r="F291" t="inlineStr">
        <is>
          <t>近五个交易日资金净额：optional_missing</t>
        </is>
      </c>
      <c r="G291" t="b">
        <v>0</v>
      </c>
      <c r="H291" t="b">
        <v>1</v>
      </c>
      <c r="M291" t="b">
        <v>0</v>
      </c>
    </row>
    <row r="292">
      <c r="A292" t="inlineStr">
        <is>
          <t>港股</t>
        </is>
      </c>
      <c r="B292" t="inlineStr">
        <is>
          <t>00026</t>
        </is>
      </c>
      <c r="C292" t="inlineStr">
        <is>
          <t>CHINA MOTOR BUS</t>
        </is>
      </c>
      <c r="D292" t="inlineStr">
        <is>
          <t>近一月资金净额（最近22个交易日）</t>
        </is>
      </c>
      <c r="E292" t="inlineStr">
        <is>
          <t>optional_missing</t>
        </is>
      </c>
      <c r="F292" t="inlineStr">
        <is>
          <t>近一月资金净额（最近22个交易日）：optional_missing</t>
        </is>
      </c>
      <c r="G292" t="b">
        <v>0</v>
      </c>
      <c r="H292" t="b">
        <v>1</v>
      </c>
      <c r="M292" t="b">
        <v>0</v>
      </c>
    </row>
    <row r="293">
      <c r="A293" t="inlineStr">
        <is>
          <t>A股</t>
        </is>
      </c>
      <c r="B293" t="inlineStr">
        <is>
          <t>000032</t>
        </is>
      </c>
      <c r="C293" t="inlineStr">
        <is>
          <t>深桑达Ａ</t>
        </is>
      </c>
      <c r="D293" t="inlineStr">
        <is>
          <t>资金流</t>
        </is>
      </c>
      <c r="E293" t="inlineStr">
        <is>
          <t>optional_missing</t>
        </is>
      </c>
      <c r="F293" t="inlineStr">
        <is>
          <t>用户选择不抓取资金流</t>
        </is>
      </c>
      <c r="G293" t="b">
        <v>0</v>
      </c>
      <c r="H293" t="b">
        <v>1</v>
      </c>
      <c r="I293" t="inlineStr">
        <is>
          <t>配置</t>
        </is>
      </c>
      <c r="J293" t="inlineStr">
        <is>
          <t>配置</t>
        </is>
      </c>
      <c r="K293" t="inlineStr">
        <is>
          <t>flow-mode-off</t>
        </is>
      </c>
      <c r="L293" s="32" t="n">
        <v>46263.25754607147</v>
      </c>
      <c r="M293" t="b">
        <v>0</v>
      </c>
    </row>
    <row r="294">
      <c r="A294" t="inlineStr">
        <is>
          <t>A股</t>
        </is>
      </c>
      <c r="B294" t="inlineStr">
        <is>
          <t>000032</t>
        </is>
      </c>
      <c r="C294" t="inlineStr">
        <is>
          <t>深桑达Ａ</t>
        </is>
      </c>
      <c r="D294" t="inlineStr">
        <is>
          <t>近五个交易日资金净额</t>
        </is>
      </c>
      <c r="E294" t="inlineStr">
        <is>
          <t>optional_missing</t>
        </is>
      </c>
      <c r="F294" t="inlineStr">
        <is>
          <t>近五个交易日资金净额：optional_missing</t>
        </is>
      </c>
      <c r="G294" t="b">
        <v>0</v>
      </c>
      <c r="H294" t="b">
        <v>1</v>
      </c>
      <c r="M294" t="b">
        <v>0</v>
      </c>
    </row>
    <row r="295">
      <c r="A295" t="inlineStr">
        <is>
          <t>A股</t>
        </is>
      </c>
      <c r="B295" t="inlineStr">
        <is>
          <t>000032</t>
        </is>
      </c>
      <c r="C295" t="inlineStr">
        <is>
          <t>深桑达Ａ</t>
        </is>
      </c>
      <c r="D295" t="inlineStr">
        <is>
          <t>近一月资金净额（最近22个交易日）</t>
        </is>
      </c>
      <c r="E295" t="inlineStr">
        <is>
          <t>optional_missing</t>
        </is>
      </c>
      <c r="F295" t="inlineStr">
        <is>
          <t>近一月资金净额（最近22个交易日）：optional_missing</t>
        </is>
      </c>
      <c r="G295" t="b">
        <v>0</v>
      </c>
      <c r="H295" t="b">
        <v>1</v>
      </c>
      <c r="M295" t="b">
        <v>0</v>
      </c>
    </row>
    <row r="296">
      <c r="A296" t="inlineStr">
        <is>
          <t>港股</t>
        </is>
      </c>
      <c r="B296" t="inlineStr">
        <is>
          <t>00027</t>
        </is>
      </c>
      <c r="C296" t="inlineStr">
        <is>
          <t>GALAXY ENT</t>
        </is>
      </c>
      <c r="D296" t="inlineStr">
        <is>
          <t>大宗交易</t>
        </is>
      </c>
      <c r="E296" t="inlineStr">
        <is>
          <t>optional_missing</t>
        </is>
      </c>
      <c r="F296" t="inlineStr">
        <is>
          <t>港股大宗交易按允许缺失规则留空</t>
        </is>
      </c>
      <c r="G296" t="b">
        <v>0</v>
      </c>
      <c r="H296" t="b">
        <v>1</v>
      </c>
      <c r="I296" t="inlineStr">
        <is>
          <t>东方财富</t>
        </is>
      </c>
      <c r="J296" t="inlineStr">
        <is>
          <t>东方财富</t>
        </is>
      </c>
      <c r="K296" t="inlineStr">
        <is>
          <t>not-applicable-hk</t>
        </is>
      </c>
      <c r="L296" s="32" t="n">
        <v>46263.25725433244</v>
      </c>
      <c r="M296" t="b">
        <v>1</v>
      </c>
    </row>
    <row r="297">
      <c r="A297" t="inlineStr">
        <is>
          <t>港股</t>
        </is>
      </c>
      <c r="B297" t="inlineStr">
        <is>
          <t>00027</t>
        </is>
      </c>
      <c r="C297" t="inlineStr">
        <is>
          <t>GALAXY ENT</t>
        </is>
      </c>
      <c r="D297" t="inlineStr">
        <is>
          <t>资金流</t>
        </is>
      </c>
      <c r="E297" t="inlineStr">
        <is>
          <t>optional_missing</t>
        </is>
      </c>
      <c r="F297" t="inlineStr">
        <is>
          <t>用户选择不抓取资金流</t>
        </is>
      </c>
      <c r="G297" t="b">
        <v>0</v>
      </c>
      <c r="H297" t="b">
        <v>1</v>
      </c>
      <c r="I297" t="inlineStr">
        <is>
          <t>配置</t>
        </is>
      </c>
      <c r="J297" t="inlineStr">
        <is>
          <t>配置</t>
        </is>
      </c>
      <c r="K297" t="inlineStr">
        <is>
          <t>flow-mode-off</t>
        </is>
      </c>
      <c r="L297" s="32" t="n">
        <v>46263.25754607147</v>
      </c>
      <c r="M297" t="b">
        <v>0</v>
      </c>
    </row>
    <row r="298">
      <c r="A298" t="inlineStr">
        <is>
          <t>港股</t>
        </is>
      </c>
      <c r="B298" t="inlineStr">
        <is>
          <t>00027</t>
        </is>
      </c>
      <c r="C298" t="inlineStr">
        <is>
          <t>GALAXY ENT</t>
        </is>
      </c>
      <c r="D298" t="inlineStr">
        <is>
          <t>当年累计大宗交易笔数</t>
        </is>
      </c>
      <c r="E298" t="inlineStr">
        <is>
          <t>optional_missing</t>
        </is>
      </c>
      <c r="F298" t="inlineStr">
        <is>
          <t>当年累计大宗交易笔数：optional_missing</t>
        </is>
      </c>
      <c r="G298" t="b">
        <v>0</v>
      </c>
      <c r="H298" t="b">
        <v>1</v>
      </c>
      <c r="M298" t="b">
        <v>0</v>
      </c>
    </row>
    <row r="299">
      <c r="A299" t="inlineStr">
        <is>
          <t>港股</t>
        </is>
      </c>
      <c r="B299" t="inlineStr">
        <is>
          <t>00027</t>
        </is>
      </c>
      <c r="C299" t="inlineStr">
        <is>
          <t>GALAXY ENT</t>
        </is>
      </c>
      <c r="D299" t="inlineStr">
        <is>
          <t>当年累计大宗交易金额</t>
        </is>
      </c>
      <c r="E299" t="inlineStr">
        <is>
          <t>optional_missing</t>
        </is>
      </c>
      <c r="F299" t="inlineStr">
        <is>
          <t>当年累计大宗交易金额：optional_missing</t>
        </is>
      </c>
      <c r="G299" t="b">
        <v>0</v>
      </c>
      <c r="H299" t="b">
        <v>1</v>
      </c>
      <c r="M299" t="b">
        <v>0</v>
      </c>
    </row>
    <row r="300">
      <c r="A300" t="inlineStr">
        <is>
          <t>港股</t>
        </is>
      </c>
      <c r="B300" t="inlineStr">
        <is>
          <t>00027</t>
        </is>
      </c>
      <c r="C300" t="inlineStr">
        <is>
          <t>GALAXY ENT</t>
        </is>
      </c>
      <c r="D300" t="inlineStr">
        <is>
          <t>近五个交易日资金净额</t>
        </is>
      </c>
      <c r="E300" t="inlineStr">
        <is>
          <t>optional_missing</t>
        </is>
      </c>
      <c r="F300" t="inlineStr">
        <is>
          <t>近五个交易日资金净额：optional_missing</t>
        </is>
      </c>
      <c r="G300" t="b">
        <v>0</v>
      </c>
      <c r="H300" t="b">
        <v>1</v>
      </c>
      <c r="M300" t="b">
        <v>0</v>
      </c>
    </row>
    <row r="301">
      <c r="A301" t="inlineStr">
        <is>
          <t>港股</t>
        </is>
      </c>
      <c r="B301" t="inlineStr">
        <is>
          <t>00027</t>
        </is>
      </c>
      <c r="C301" t="inlineStr">
        <is>
          <t>GALAXY ENT</t>
        </is>
      </c>
      <c r="D301" t="inlineStr">
        <is>
          <t>近一月资金净额（最近22个交易日）</t>
        </is>
      </c>
      <c r="E301" t="inlineStr">
        <is>
          <t>optional_missing</t>
        </is>
      </c>
      <c r="F301" t="inlineStr">
        <is>
          <t>近一月资金净额（最近22个交易日）：optional_missing</t>
        </is>
      </c>
      <c r="G301" t="b">
        <v>0</v>
      </c>
      <c r="H301" t="b">
        <v>1</v>
      </c>
      <c r="M301" t="b">
        <v>0</v>
      </c>
    </row>
    <row r="302">
      <c r="A302" t="inlineStr">
        <is>
          <t>A股</t>
        </is>
      </c>
      <c r="B302" t="inlineStr">
        <is>
          <t>000034</t>
        </is>
      </c>
      <c r="C302" t="inlineStr">
        <is>
          <t>神州数码</t>
        </is>
      </c>
      <c r="D302" t="inlineStr">
        <is>
          <t>资金流</t>
        </is>
      </c>
      <c r="E302" t="inlineStr">
        <is>
          <t>optional_missing</t>
        </is>
      </c>
      <c r="F302" t="inlineStr">
        <is>
          <t>用户选择不抓取资金流</t>
        </is>
      </c>
      <c r="G302" t="b">
        <v>0</v>
      </c>
      <c r="H302" t="b">
        <v>1</v>
      </c>
      <c r="I302" t="inlineStr">
        <is>
          <t>配置</t>
        </is>
      </c>
      <c r="J302" t="inlineStr">
        <is>
          <t>配置</t>
        </is>
      </c>
      <c r="K302" t="inlineStr">
        <is>
          <t>flow-mode-off</t>
        </is>
      </c>
      <c r="L302" s="32" t="n">
        <v>46263.25754607147</v>
      </c>
      <c r="M302" t="b">
        <v>0</v>
      </c>
    </row>
    <row r="303">
      <c r="A303" t="inlineStr">
        <is>
          <t>A股</t>
        </is>
      </c>
      <c r="B303" t="inlineStr">
        <is>
          <t>000034</t>
        </is>
      </c>
      <c r="C303" t="inlineStr">
        <is>
          <t>神州数码</t>
        </is>
      </c>
      <c r="D303" t="inlineStr">
        <is>
          <t>近五个交易日资金净额</t>
        </is>
      </c>
      <c r="E303" t="inlineStr">
        <is>
          <t>optional_missing</t>
        </is>
      </c>
      <c r="F303" t="inlineStr">
        <is>
          <t>近五个交易日资金净额：optional_missing</t>
        </is>
      </c>
      <c r="G303" t="b">
        <v>0</v>
      </c>
      <c r="H303" t="b">
        <v>1</v>
      </c>
      <c r="M303" t="b">
        <v>0</v>
      </c>
    </row>
    <row r="304">
      <c r="A304" t="inlineStr">
        <is>
          <t>A股</t>
        </is>
      </c>
      <c r="B304" t="inlineStr">
        <is>
          <t>000034</t>
        </is>
      </c>
      <c r="C304" t="inlineStr">
        <is>
          <t>神州数码</t>
        </is>
      </c>
      <c r="D304" t="inlineStr">
        <is>
          <t>近一月资金净额（最近22个交易日）</t>
        </is>
      </c>
      <c r="E304" t="inlineStr">
        <is>
          <t>optional_missing</t>
        </is>
      </c>
      <c r="F304" t="inlineStr">
        <is>
          <t>近一月资金净额（最近22个交易日）：optional_missing</t>
        </is>
      </c>
      <c r="G304" t="b">
        <v>0</v>
      </c>
      <c r="H304" t="b">
        <v>1</v>
      </c>
      <c r="M304" t="b">
        <v>0</v>
      </c>
    </row>
    <row r="305">
      <c r="A305" t="inlineStr">
        <is>
          <t>港股</t>
        </is>
      </c>
      <c r="B305" t="inlineStr">
        <is>
          <t>00028</t>
        </is>
      </c>
      <c r="C305" t="inlineStr">
        <is>
          <t>TIAN AN</t>
        </is>
      </c>
      <c r="D305" t="inlineStr">
        <is>
          <t>大宗交易</t>
        </is>
      </c>
      <c r="E305" t="inlineStr">
        <is>
          <t>optional_missing</t>
        </is>
      </c>
      <c r="F305" t="inlineStr">
        <is>
          <t>港股大宗交易按允许缺失规则留空</t>
        </is>
      </c>
      <c r="G305" t="b">
        <v>0</v>
      </c>
      <c r="H305" t="b">
        <v>1</v>
      </c>
      <c r="I305" t="inlineStr">
        <is>
          <t>东方财富</t>
        </is>
      </c>
      <c r="J305" t="inlineStr">
        <is>
          <t>东方财富</t>
        </is>
      </c>
      <c r="K305" t="inlineStr">
        <is>
          <t>not-applicable-hk</t>
        </is>
      </c>
      <c r="L305" s="32" t="n">
        <v>46263.25725433244</v>
      </c>
      <c r="M305" t="b">
        <v>1</v>
      </c>
    </row>
    <row r="306">
      <c r="A306" t="inlineStr">
        <is>
          <t>港股</t>
        </is>
      </c>
      <c r="B306" t="inlineStr">
        <is>
          <t>00028</t>
        </is>
      </c>
      <c r="C306" t="inlineStr">
        <is>
          <t>TIAN AN</t>
        </is>
      </c>
      <c r="D306" t="inlineStr">
        <is>
          <t>资金流</t>
        </is>
      </c>
      <c r="E306" t="inlineStr">
        <is>
          <t>optional_missing</t>
        </is>
      </c>
      <c r="F306" t="inlineStr">
        <is>
          <t>用户选择不抓取资金流</t>
        </is>
      </c>
      <c r="G306" t="b">
        <v>0</v>
      </c>
      <c r="H306" t="b">
        <v>1</v>
      </c>
      <c r="I306" t="inlineStr">
        <is>
          <t>配置</t>
        </is>
      </c>
      <c r="J306" t="inlineStr">
        <is>
          <t>配置</t>
        </is>
      </c>
      <c r="K306" t="inlineStr">
        <is>
          <t>flow-mode-off</t>
        </is>
      </c>
      <c r="L306" s="32" t="n">
        <v>46263.25754607147</v>
      </c>
      <c r="M306" t="b">
        <v>0</v>
      </c>
    </row>
    <row r="307">
      <c r="A307" t="inlineStr">
        <is>
          <t>港股</t>
        </is>
      </c>
      <c r="B307" t="inlineStr">
        <is>
          <t>00028</t>
        </is>
      </c>
      <c r="C307" t="inlineStr">
        <is>
          <t>TIAN AN</t>
        </is>
      </c>
      <c r="D307" t="inlineStr">
        <is>
          <t>市值增长率</t>
        </is>
      </c>
      <c r="E307" t="inlineStr">
        <is>
          <t>missing</t>
        </is>
      </c>
      <c r="F307" t="inlineStr">
        <is>
          <t>市值增长率：missing</t>
        </is>
      </c>
      <c r="G307" t="b">
        <v>0</v>
      </c>
      <c r="H307" t="b">
        <v>1</v>
      </c>
      <c r="M307" t="b">
        <v>0</v>
      </c>
    </row>
    <row r="308">
      <c r="A308" t="inlineStr">
        <is>
          <t>港股</t>
        </is>
      </c>
      <c r="B308" t="inlineStr">
        <is>
          <t>00028</t>
        </is>
      </c>
      <c r="C308" t="inlineStr">
        <is>
          <t>TIAN AN</t>
        </is>
      </c>
      <c r="D308" t="inlineStr">
        <is>
          <t>发行价</t>
        </is>
      </c>
      <c r="E308" t="inlineStr">
        <is>
          <t>optional_missing</t>
        </is>
      </c>
      <c r="F308" t="inlineStr">
        <is>
          <t>发行价：optional_missing</t>
        </is>
      </c>
      <c r="G308" t="b">
        <v>0</v>
      </c>
      <c r="H308" t="b">
        <v>1</v>
      </c>
      <c r="M308" t="b">
        <v>0</v>
      </c>
    </row>
    <row r="309">
      <c r="A309" t="inlineStr">
        <is>
          <t>港股</t>
        </is>
      </c>
      <c r="B309" t="inlineStr">
        <is>
          <t>00028</t>
        </is>
      </c>
      <c r="C309" t="inlineStr">
        <is>
          <t>TIAN AN</t>
        </is>
      </c>
      <c r="D309" t="inlineStr">
        <is>
          <t>发行股数</t>
        </is>
      </c>
      <c r="E309" t="inlineStr">
        <is>
          <t>optional_missing</t>
        </is>
      </c>
      <c r="F309" t="inlineStr">
        <is>
          <t>发行股数：optional_missing</t>
        </is>
      </c>
      <c r="G309" t="b">
        <v>0</v>
      </c>
      <c r="H309" t="b">
        <v>1</v>
      </c>
      <c r="M309" t="b">
        <v>0</v>
      </c>
    </row>
    <row r="310">
      <c r="A310" t="inlineStr">
        <is>
          <t>港股</t>
        </is>
      </c>
      <c r="B310" t="inlineStr">
        <is>
          <t>00028</t>
        </is>
      </c>
      <c r="C310" t="inlineStr">
        <is>
          <t>TIAN AN</t>
        </is>
      </c>
      <c r="D310" t="inlineStr">
        <is>
          <t>发行时总市值</t>
        </is>
      </c>
      <c r="E310" t="inlineStr">
        <is>
          <t>optional_missing</t>
        </is>
      </c>
      <c r="F310" t="inlineStr">
        <is>
          <t>发行时总市值：optional_missing</t>
        </is>
      </c>
      <c r="G310" t="b">
        <v>0</v>
      </c>
      <c r="H310" t="b">
        <v>1</v>
      </c>
      <c r="M310" t="b">
        <v>0</v>
      </c>
    </row>
    <row r="311">
      <c r="A311" t="inlineStr">
        <is>
          <t>港股</t>
        </is>
      </c>
      <c r="B311" t="inlineStr">
        <is>
          <t>00028</t>
        </is>
      </c>
      <c r="C311" t="inlineStr">
        <is>
          <t>TIAN AN</t>
        </is>
      </c>
      <c r="D311" t="inlineStr">
        <is>
          <t>当年累计大宗交易笔数</t>
        </is>
      </c>
      <c r="E311" t="inlineStr">
        <is>
          <t>optional_missing</t>
        </is>
      </c>
      <c r="F311" t="inlineStr">
        <is>
          <t>当年累计大宗交易笔数：optional_missing</t>
        </is>
      </c>
      <c r="G311" t="b">
        <v>0</v>
      </c>
      <c r="H311" t="b">
        <v>1</v>
      </c>
      <c r="M311" t="b">
        <v>0</v>
      </c>
    </row>
    <row r="312">
      <c r="A312" t="inlineStr">
        <is>
          <t>港股</t>
        </is>
      </c>
      <c r="B312" t="inlineStr">
        <is>
          <t>00028</t>
        </is>
      </c>
      <c r="C312" t="inlineStr">
        <is>
          <t>TIAN AN</t>
        </is>
      </c>
      <c r="D312" t="inlineStr">
        <is>
          <t>当年累计大宗交易金额</t>
        </is>
      </c>
      <c r="E312" t="inlineStr">
        <is>
          <t>optional_missing</t>
        </is>
      </c>
      <c r="F312" t="inlineStr">
        <is>
          <t>当年累计大宗交易金额：optional_missing</t>
        </is>
      </c>
      <c r="G312" t="b">
        <v>0</v>
      </c>
      <c r="H312" t="b">
        <v>1</v>
      </c>
      <c r="M312" t="b">
        <v>0</v>
      </c>
    </row>
    <row r="313">
      <c r="A313" t="inlineStr">
        <is>
          <t>港股</t>
        </is>
      </c>
      <c r="B313" t="inlineStr">
        <is>
          <t>00028</t>
        </is>
      </c>
      <c r="C313" t="inlineStr">
        <is>
          <t>TIAN AN</t>
        </is>
      </c>
      <c r="D313" t="inlineStr">
        <is>
          <t>近五个交易日资金净额</t>
        </is>
      </c>
      <c r="E313" t="inlineStr">
        <is>
          <t>optional_missing</t>
        </is>
      </c>
      <c r="F313" t="inlineStr">
        <is>
          <t>近五个交易日资金净额：optional_missing</t>
        </is>
      </c>
      <c r="G313" t="b">
        <v>0</v>
      </c>
      <c r="H313" t="b">
        <v>1</v>
      </c>
      <c r="M313" t="b">
        <v>0</v>
      </c>
    </row>
    <row r="314">
      <c r="A314" t="inlineStr">
        <is>
          <t>港股</t>
        </is>
      </c>
      <c r="B314" t="inlineStr">
        <is>
          <t>00028</t>
        </is>
      </c>
      <c r="C314" t="inlineStr">
        <is>
          <t>TIAN AN</t>
        </is>
      </c>
      <c r="D314" t="inlineStr">
        <is>
          <t>近一月资金净额（最近22个交易日）</t>
        </is>
      </c>
      <c r="E314" t="inlineStr">
        <is>
          <t>optional_missing</t>
        </is>
      </c>
      <c r="F314" t="inlineStr">
        <is>
          <t>近一月资金净额（最近22个交易日）：optional_missing</t>
        </is>
      </c>
      <c r="G314" t="b">
        <v>0</v>
      </c>
      <c r="H314" t="b">
        <v>1</v>
      </c>
      <c r="M314" t="b">
        <v>0</v>
      </c>
    </row>
    <row r="315">
      <c r="A315" t="inlineStr">
        <is>
          <t>A股</t>
        </is>
      </c>
      <c r="B315" t="inlineStr">
        <is>
          <t>000035</t>
        </is>
      </c>
      <c r="C315" t="inlineStr">
        <is>
          <t>中国天楹</t>
        </is>
      </c>
      <c r="D315" t="inlineStr">
        <is>
          <t>资金流</t>
        </is>
      </c>
      <c r="E315" t="inlineStr">
        <is>
          <t>optional_missing</t>
        </is>
      </c>
      <c r="F315" t="inlineStr">
        <is>
          <t>用户选择不抓取资金流</t>
        </is>
      </c>
      <c r="G315" t="b">
        <v>0</v>
      </c>
      <c r="H315" t="b">
        <v>1</v>
      </c>
      <c r="I315" t="inlineStr">
        <is>
          <t>配置</t>
        </is>
      </c>
      <c r="J315" t="inlineStr">
        <is>
          <t>配置</t>
        </is>
      </c>
      <c r="K315" t="inlineStr">
        <is>
          <t>flow-mode-off</t>
        </is>
      </c>
      <c r="L315" s="32" t="n">
        <v>46263.25754607147</v>
      </c>
      <c r="M315" t="b">
        <v>0</v>
      </c>
    </row>
    <row r="316">
      <c r="A316" t="inlineStr">
        <is>
          <t>A股</t>
        </is>
      </c>
      <c r="B316" t="inlineStr">
        <is>
          <t>000035</t>
        </is>
      </c>
      <c r="C316" t="inlineStr">
        <is>
          <t>中国天楹</t>
        </is>
      </c>
      <c r="D316" t="inlineStr">
        <is>
          <t>近五个交易日资金净额</t>
        </is>
      </c>
      <c r="E316" t="inlineStr">
        <is>
          <t>optional_missing</t>
        </is>
      </c>
      <c r="F316" t="inlineStr">
        <is>
          <t>近五个交易日资金净额：optional_missing</t>
        </is>
      </c>
      <c r="G316" t="b">
        <v>0</v>
      </c>
      <c r="H316" t="b">
        <v>1</v>
      </c>
      <c r="M316" t="b">
        <v>0</v>
      </c>
    </row>
    <row r="317">
      <c r="A317" t="inlineStr">
        <is>
          <t>A股</t>
        </is>
      </c>
      <c r="B317" t="inlineStr">
        <is>
          <t>000035</t>
        </is>
      </c>
      <c r="C317" t="inlineStr">
        <is>
          <t>中国天楹</t>
        </is>
      </c>
      <c r="D317" t="inlineStr">
        <is>
          <t>近一月资金净额（最近22个交易日）</t>
        </is>
      </c>
      <c r="E317" t="inlineStr">
        <is>
          <t>optional_missing</t>
        </is>
      </c>
      <c r="F317" t="inlineStr">
        <is>
          <t>近一月资金净额（最近22个交易日）：optional_missing</t>
        </is>
      </c>
      <c r="G317" t="b">
        <v>0</v>
      </c>
      <c r="H317" t="b">
        <v>1</v>
      </c>
      <c r="M317" t="b">
        <v>0</v>
      </c>
    </row>
    <row r="318">
      <c r="A318" t="inlineStr">
        <is>
          <t>港股</t>
        </is>
      </c>
      <c r="B318" t="inlineStr">
        <is>
          <t>00029</t>
        </is>
      </c>
      <c r="C318" t="inlineStr">
        <is>
          <t>DYNAMIC HOLD</t>
        </is>
      </c>
      <c r="D318" t="inlineStr">
        <is>
          <t>大宗交易</t>
        </is>
      </c>
      <c r="E318" t="inlineStr">
        <is>
          <t>optional_missing</t>
        </is>
      </c>
      <c r="F318" t="inlineStr">
        <is>
          <t>港股大宗交易按允许缺失规则留空</t>
        </is>
      </c>
      <c r="G318" t="b">
        <v>0</v>
      </c>
      <c r="H318" t="b">
        <v>1</v>
      </c>
      <c r="I318" t="inlineStr">
        <is>
          <t>东方财富</t>
        </is>
      </c>
      <c r="J318" t="inlineStr">
        <is>
          <t>东方财富</t>
        </is>
      </c>
      <c r="K318" t="inlineStr">
        <is>
          <t>not-applicable-hk</t>
        </is>
      </c>
      <c r="L318" s="32" t="n">
        <v>46263.25725433244</v>
      </c>
      <c r="M318" t="b">
        <v>1</v>
      </c>
    </row>
    <row r="319">
      <c r="A319" t="inlineStr">
        <is>
          <t>港股</t>
        </is>
      </c>
      <c r="B319" t="inlineStr">
        <is>
          <t>00029</t>
        </is>
      </c>
      <c r="C319" t="inlineStr">
        <is>
          <t>DYNAMIC HOLD</t>
        </is>
      </c>
      <c r="D319" t="inlineStr">
        <is>
          <t>资金流</t>
        </is>
      </c>
      <c r="E319" t="inlineStr">
        <is>
          <t>optional_missing</t>
        </is>
      </c>
      <c r="F319" t="inlineStr">
        <is>
          <t>用户选择不抓取资金流</t>
        </is>
      </c>
      <c r="G319" t="b">
        <v>0</v>
      </c>
      <c r="H319" t="b">
        <v>1</v>
      </c>
      <c r="I319" t="inlineStr">
        <is>
          <t>配置</t>
        </is>
      </c>
      <c r="J319" t="inlineStr">
        <is>
          <t>配置</t>
        </is>
      </c>
      <c r="K319" t="inlineStr">
        <is>
          <t>flow-mode-off</t>
        </is>
      </c>
      <c r="L319" s="32" t="n">
        <v>46263.25754607147</v>
      </c>
      <c r="M319" t="b">
        <v>0</v>
      </c>
    </row>
    <row r="320">
      <c r="A320" t="inlineStr">
        <is>
          <t>港股</t>
        </is>
      </c>
      <c r="B320" t="inlineStr">
        <is>
          <t>00029</t>
        </is>
      </c>
      <c r="C320" t="inlineStr">
        <is>
          <t>DYNAMIC HOLD</t>
        </is>
      </c>
      <c r="D320" t="inlineStr">
        <is>
          <t>市值增长率</t>
        </is>
      </c>
      <c r="E320" t="inlineStr">
        <is>
          <t>missing</t>
        </is>
      </c>
      <c r="F320" t="inlineStr">
        <is>
          <t>市值增长率：missing</t>
        </is>
      </c>
      <c r="G320" t="b">
        <v>0</v>
      </c>
      <c r="H320" t="b">
        <v>1</v>
      </c>
      <c r="M320" t="b">
        <v>0</v>
      </c>
    </row>
    <row r="321">
      <c r="A321" t="inlineStr">
        <is>
          <t>港股</t>
        </is>
      </c>
      <c r="B321" t="inlineStr">
        <is>
          <t>00029</t>
        </is>
      </c>
      <c r="C321" t="inlineStr">
        <is>
          <t>DYNAMIC HOLD</t>
        </is>
      </c>
      <c r="D321" t="inlineStr">
        <is>
          <t>发行价</t>
        </is>
      </c>
      <c r="E321" t="inlineStr">
        <is>
          <t>optional_missing</t>
        </is>
      </c>
      <c r="F321" t="inlineStr">
        <is>
          <t>发行价：optional_missing</t>
        </is>
      </c>
      <c r="G321" t="b">
        <v>0</v>
      </c>
      <c r="H321" t="b">
        <v>1</v>
      </c>
      <c r="M321" t="b">
        <v>0</v>
      </c>
    </row>
    <row r="322">
      <c r="A322" t="inlineStr">
        <is>
          <t>港股</t>
        </is>
      </c>
      <c r="B322" t="inlineStr">
        <is>
          <t>00029</t>
        </is>
      </c>
      <c r="C322" t="inlineStr">
        <is>
          <t>DYNAMIC HOLD</t>
        </is>
      </c>
      <c r="D322" t="inlineStr">
        <is>
          <t>发行股数</t>
        </is>
      </c>
      <c r="E322" t="inlineStr">
        <is>
          <t>optional_missing</t>
        </is>
      </c>
      <c r="F322" t="inlineStr">
        <is>
          <t>发行股数：optional_missing</t>
        </is>
      </c>
      <c r="G322" t="b">
        <v>0</v>
      </c>
      <c r="H322" t="b">
        <v>1</v>
      </c>
      <c r="M322" t="b">
        <v>0</v>
      </c>
    </row>
    <row r="323">
      <c r="A323" t="inlineStr">
        <is>
          <t>港股</t>
        </is>
      </c>
      <c r="B323" t="inlineStr">
        <is>
          <t>00029</t>
        </is>
      </c>
      <c r="C323" t="inlineStr">
        <is>
          <t>DYNAMIC HOLD</t>
        </is>
      </c>
      <c r="D323" t="inlineStr">
        <is>
          <t>发行时总市值</t>
        </is>
      </c>
      <c r="E323" t="inlineStr">
        <is>
          <t>optional_missing</t>
        </is>
      </c>
      <c r="F323" t="inlineStr">
        <is>
          <t>发行时总市值：optional_missing</t>
        </is>
      </c>
      <c r="G323" t="b">
        <v>0</v>
      </c>
      <c r="H323" t="b">
        <v>1</v>
      </c>
      <c r="M323" t="b">
        <v>0</v>
      </c>
    </row>
    <row r="324">
      <c r="A324" t="inlineStr">
        <is>
          <t>港股</t>
        </is>
      </c>
      <c r="B324" t="inlineStr">
        <is>
          <t>00029</t>
        </is>
      </c>
      <c r="C324" t="inlineStr">
        <is>
          <t>DYNAMIC HOLD</t>
        </is>
      </c>
      <c r="D324" t="inlineStr">
        <is>
          <t>当年累计大宗交易笔数</t>
        </is>
      </c>
      <c r="E324" t="inlineStr">
        <is>
          <t>optional_missing</t>
        </is>
      </c>
      <c r="F324" t="inlineStr">
        <is>
          <t>当年累计大宗交易笔数：optional_missing</t>
        </is>
      </c>
      <c r="G324" t="b">
        <v>0</v>
      </c>
      <c r="H324" t="b">
        <v>1</v>
      </c>
      <c r="M324" t="b">
        <v>0</v>
      </c>
    </row>
    <row r="325">
      <c r="A325" t="inlineStr">
        <is>
          <t>港股</t>
        </is>
      </c>
      <c r="B325" t="inlineStr">
        <is>
          <t>00029</t>
        </is>
      </c>
      <c r="C325" t="inlineStr">
        <is>
          <t>DYNAMIC HOLD</t>
        </is>
      </c>
      <c r="D325" t="inlineStr">
        <is>
          <t>当年累计大宗交易金额</t>
        </is>
      </c>
      <c r="E325" t="inlineStr">
        <is>
          <t>optional_missing</t>
        </is>
      </c>
      <c r="F325" t="inlineStr">
        <is>
          <t>当年累计大宗交易金额：optional_missing</t>
        </is>
      </c>
      <c r="G325" t="b">
        <v>0</v>
      </c>
      <c r="H325" t="b">
        <v>1</v>
      </c>
      <c r="M325" t="b">
        <v>0</v>
      </c>
    </row>
    <row r="326">
      <c r="A326" t="inlineStr">
        <is>
          <t>港股</t>
        </is>
      </c>
      <c r="B326" t="inlineStr">
        <is>
          <t>00029</t>
        </is>
      </c>
      <c r="C326" t="inlineStr">
        <is>
          <t>DYNAMIC HOLD</t>
        </is>
      </c>
      <c r="D326" t="inlineStr">
        <is>
          <t>近五个交易日资金净额</t>
        </is>
      </c>
      <c r="E326" t="inlineStr">
        <is>
          <t>optional_missing</t>
        </is>
      </c>
      <c r="F326" t="inlineStr">
        <is>
          <t>近五个交易日资金净额：optional_missing</t>
        </is>
      </c>
      <c r="G326" t="b">
        <v>0</v>
      </c>
      <c r="H326" t="b">
        <v>1</v>
      </c>
      <c r="M326" t="b">
        <v>0</v>
      </c>
    </row>
    <row r="327">
      <c r="A327" t="inlineStr">
        <is>
          <t>港股</t>
        </is>
      </c>
      <c r="B327" t="inlineStr">
        <is>
          <t>00029</t>
        </is>
      </c>
      <c r="C327" t="inlineStr">
        <is>
          <t>DYNAMIC HOLD</t>
        </is>
      </c>
      <c r="D327" t="inlineStr">
        <is>
          <t>近一月资金净额（最近22个交易日）</t>
        </is>
      </c>
      <c r="E327" t="inlineStr">
        <is>
          <t>optional_missing</t>
        </is>
      </c>
      <c r="F327" t="inlineStr">
        <is>
          <t>近一月资金净额（最近22个交易日）：optional_missing</t>
        </is>
      </c>
      <c r="G327" t="b">
        <v>0</v>
      </c>
      <c r="H327" t="b">
        <v>1</v>
      </c>
      <c r="M327" t="b">
        <v>0</v>
      </c>
    </row>
    <row r="328">
      <c r="A328" t="inlineStr">
        <is>
          <t>A股</t>
        </is>
      </c>
      <c r="B328" t="inlineStr">
        <is>
          <t>000036</t>
        </is>
      </c>
      <c r="C328" t="inlineStr">
        <is>
          <t>华联控股</t>
        </is>
      </c>
      <c r="D328" t="inlineStr">
        <is>
          <t>资金流</t>
        </is>
      </c>
      <c r="E328" t="inlineStr">
        <is>
          <t>optional_missing</t>
        </is>
      </c>
      <c r="F328" t="inlineStr">
        <is>
          <t>用户选择不抓取资金流</t>
        </is>
      </c>
      <c r="G328" t="b">
        <v>0</v>
      </c>
      <c r="H328" t="b">
        <v>1</v>
      </c>
      <c r="I328" t="inlineStr">
        <is>
          <t>配置</t>
        </is>
      </c>
      <c r="J328" t="inlineStr">
        <is>
          <t>配置</t>
        </is>
      </c>
      <c r="K328" t="inlineStr">
        <is>
          <t>flow-mode-off</t>
        </is>
      </c>
      <c r="L328" s="32" t="n">
        <v>46263.25754607147</v>
      </c>
      <c r="M328" t="b">
        <v>0</v>
      </c>
    </row>
    <row r="329">
      <c r="A329" t="inlineStr">
        <is>
          <t>A股</t>
        </is>
      </c>
      <c r="B329" t="inlineStr">
        <is>
          <t>000036</t>
        </is>
      </c>
      <c r="C329" t="inlineStr">
        <is>
          <t>华联控股</t>
        </is>
      </c>
      <c r="D329" t="inlineStr">
        <is>
          <t>近五个交易日资金净额</t>
        </is>
      </c>
      <c r="E329" t="inlineStr">
        <is>
          <t>optional_missing</t>
        </is>
      </c>
      <c r="F329" t="inlineStr">
        <is>
          <t>近五个交易日资金净额：optional_missing</t>
        </is>
      </c>
      <c r="G329" t="b">
        <v>0</v>
      </c>
      <c r="H329" t="b">
        <v>1</v>
      </c>
      <c r="M329" t="b">
        <v>0</v>
      </c>
    </row>
    <row r="330">
      <c r="A330" t="inlineStr">
        <is>
          <t>A股</t>
        </is>
      </c>
      <c r="B330" t="inlineStr">
        <is>
          <t>000036</t>
        </is>
      </c>
      <c r="C330" t="inlineStr">
        <is>
          <t>华联控股</t>
        </is>
      </c>
      <c r="D330" t="inlineStr">
        <is>
          <t>近一月资金净额（最近22个交易日）</t>
        </is>
      </c>
      <c r="E330" t="inlineStr">
        <is>
          <t>optional_missing</t>
        </is>
      </c>
      <c r="F330" t="inlineStr">
        <is>
          <t>近一月资金净额（最近22个交易日）：optional_missing</t>
        </is>
      </c>
      <c r="G330" t="b">
        <v>0</v>
      </c>
      <c r="H330" t="b">
        <v>1</v>
      </c>
      <c r="M330" t="b">
        <v>0</v>
      </c>
    </row>
    <row r="331">
      <c r="A331" t="inlineStr">
        <is>
          <t>港股</t>
        </is>
      </c>
      <c r="B331" t="inlineStr">
        <is>
          <t>00030</t>
        </is>
      </c>
      <c r="C331" t="inlineStr">
        <is>
          <t>YNBY INTL</t>
        </is>
      </c>
      <c r="D331" t="inlineStr">
        <is>
          <t>大宗交易</t>
        </is>
      </c>
      <c r="E331" t="inlineStr">
        <is>
          <t>optional_missing</t>
        </is>
      </c>
      <c r="F331" t="inlineStr">
        <is>
          <t>港股大宗交易按允许缺失规则留空</t>
        </is>
      </c>
      <c r="G331" t="b">
        <v>0</v>
      </c>
      <c r="H331" t="b">
        <v>1</v>
      </c>
      <c r="I331" t="inlineStr">
        <is>
          <t>东方财富</t>
        </is>
      </c>
      <c r="J331" t="inlineStr">
        <is>
          <t>东方财富</t>
        </is>
      </c>
      <c r="K331" t="inlineStr">
        <is>
          <t>not-applicable-hk</t>
        </is>
      </c>
      <c r="L331" s="32" t="n">
        <v>46263.25725433244</v>
      </c>
      <c r="M331" t="b">
        <v>1</v>
      </c>
    </row>
    <row r="332">
      <c r="A332" t="inlineStr">
        <is>
          <t>港股</t>
        </is>
      </c>
      <c r="B332" t="inlineStr">
        <is>
          <t>00030</t>
        </is>
      </c>
      <c r="C332" t="inlineStr">
        <is>
          <t>YNBY INTL</t>
        </is>
      </c>
      <c r="D332" t="inlineStr">
        <is>
          <t>资金流</t>
        </is>
      </c>
      <c r="E332" t="inlineStr">
        <is>
          <t>optional_missing</t>
        </is>
      </c>
      <c r="F332" t="inlineStr">
        <is>
          <t>用户选择不抓取资金流</t>
        </is>
      </c>
      <c r="G332" t="b">
        <v>0</v>
      </c>
      <c r="H332" t="b">
        <v>1</v>
      </c>
      <c r="I332" t="inlineStr">
        <is>
          <t>配置</t>
        </is>
      </c>
      <c r="J332" t="inlineStr">
        <is>
          <t>配置</t>
        </is>
      </c>
      <c r="K332" t="inlineStr">
        <is>
          <t>flow-mode-off</t>
        </is>
      </c>
      <c r="L332" s="32" t="n">
        <v>46263.25754607147</v>
      </c>
      <c r="M332" t="b">
        <v>0</v>
      </c>
    </row>
    <row r="333">
      <c r="A333" t="inlineStr">
        <is>
          <t>港股</t>
        </is>
      </c>
      <c r="B333" t="inlineStr">
        <is>
          <t>00030</t>
        </is>
      </c>
      <c r="C333" t="inlineStr">
        <is>
          <t>YNBY INTL</t>
        </is>
      </c>
      <c r="D333" t="inlineStr">
        <is>
          <t>当年累计大宗交易笔数</t>
        </is>
      </c>
      <c r="E333" t="inlineStr">
        <is>
          <t>optional_missing</t>
        </is>
      </c>
      <c r="F333" t="inlineStr">
        <is>
          <t>当年累计大宗交易笔数：optional_missing</t>
        </is>
      </c>
      <c r="G333" t="b">
        <v>0</v>
      </c>
      <c r="H333" t="b">
        <v>1</v>
      </c>
      <c r="M333" t="b">
        <v>0</v>
      </c>
    </row>
    <row r="334">
      <c r="A334" t="inlineStr">
        <is>
          <t>港股</t>
        </is>
      </c>
      <c r="B334" t="inlineStr">
        <is>
          <t>00030</t>
        </is>
      </c>
      <c r="C334" t="inlineStr">
        <is>
          <t>YNBY INTL</t>
        </is>
      </c>
      <c r="D334" t="inlineStr">
        <is>
          <t>当年累计大宗交易金额</t>
        </is>
      </c>
      <c r="E334" t="inlineStr">
        <is>
          <t>optional_missing</t>
        </is>
      </c>
      <c r="F334" t="inlineStr">
        <is>
          <t>当年累计大宗交易金额：optional_missing</t>
        </is>
      </c>
      <c r="G334" t="b">
        <v>0</v>
      </c>
      <c r="H334" t="b">
        <v>1</v>
      </c>
      <c r="M334" t="b">
        <v>0</v>
      </c>
    </row>
    <row r="335">
      <c r="A335" t="inlineStr">
        <is>
          <t>港股</t>
        </is>
      </c>
      <c r="B335" t="inlineStr">
        <is>
          <t>00030</t>
        </is>
      </c>
      <c r="C335" t="inlineStr">
        <is>
          <t>YNBY INTL</t>
        </is>
      </c>
      <c r="D335" t="inlineStr">
        <is>
          <t>近五个交易日资金净额</t>
        </is>
      </c>
      <c r="E335" t="inlineStr">
        <is>
          <t>optional_missing</t>
        </is>
      </c>
      <c r="F335" t="inlineStr">
        <is>
          <t>近五个交易日资金净额：optional_missing</t>
        </is>
      </c>
      <c r="G335" t="b">
        <v>0</v>
      </c>
      <c r="H335" t="b">
        <v>1</v>
      </c>
      <c r="M335" t="b">
        <v>0</v>
      </c>
    </row>
    <row r="336">
      <c r="A336" t="inlineStr">
        <is>
          <t>港股</t>
        </is>
      </c>
      <c r="B336" t="inlineStr">
        <is>
          <t>00030</t>
        </is>
      </c>
      <c r="C336" t="inlineStr">
        <is>
          <t>YNBY INTL</t>
        </is>
      </c>
      <c r="D336" t="inlineStr">
        <is>
          <t>近一月资金净额（最近22个交易日）</t>
        </is>
      </c>
      <c r="E336" t="inlineStr">
        <is>
          <t>optional_missing</t>
        </is>
      </c>
      <c r="F336" t="inlineStr">
        <is>
          <t>近一月资金净额（最近22个交易日）：optional_missing</t>
        </is>
      </c>
      <c r="G336" t="b">
        <v>0</v>
      </c>
      <c r="H336" t="b">
        <v>1</v>
      </c>
      <c r="M336" t="b">
        <v>0</v>
      </c>
    </row>
    <row r="337">
      <c r="A337" t="inlineStr">
        <is>
          <t>A股</t>
        </is>
      </c>
      <c r="B337" t="inlineStr">
        <is>
          <t>000037</t>
        </is>
      </c>
      <c r="C337" t="inlineStr">
        <is>
          <t>深南电A</t>
        </is>
      </c>
      <c r="D337" t="inlineStr">
        <is>
          <t>资金流</t>
        </is>
      </c>
      <c r="E337" t="inlineStr">
        <is>
          <t>optional_missing</t>
        </is>
      </c>
      <c r="F337" t="inlineStr">
        <is>
          <t>用户选择不抓取资金流</t>
        </is>
      </c>
      <c r="G337" t="b">
        <v>0</v>
      </c>
      <c r="H337" t="b">
        <v>1</v>
      </c>
      <c r="I337" t="inlineStr">
        <is>
          <t>配置</t>
        </is>
      </c>
      <c r="J337" t="inlineStr">
        <is>
          <t>配置</t>
        </is>
      </c>
      <c r="K337" t="inlineStr">
        <is>
          <t>flow-mode-off</t>
        </is>
      </c>
      <c r="L337" s="32" t="n">
        <v>46263.25754607147</v>
      </c>
      <c r="M337" t="b">
        <v>0</v>
      </c>
    </row>
    <row r="338">
      <c r="A338" t="inlineStr">
        <is>
          <t>A股</t>
        </is>
      </c>
      <c r="B338" t="inlineStr">
        <is>
          <t>000037</t>
        </is>
      </c>
      <c r="C338" t="inlineStr">
        <is>
          <t>深南电A</t>
        </is>
      </c>
      <c r="D338" t="inlineStr">
        <is>
          <t>近五个交易日资金净额</t>
        </is>
      </c>
      <c r="E338" t="inlineStr">
        <is>
          <t>optional_missing</t>
        </is>
      </c>
      <c r="F338" t="inlineStr">
        <is>
          <t>近五个交易日资金净额：optional_missing</t>
        </is>
      </c>
      <c r="G338" t="b">
        <v>0</v>
      </c>
      <c r="H338" t="b">
        <v>1</v>
      </c>
      <c r="M338" t="b">
        <v>0</v>
      </c>
    </row>
    <row r="339">
      <c r="A339" t="inlineStr">
        <is>
          <t>A股</t>
        </is>
      </c>
      <c r="B339" t="inlineStr">
        <is>
          <t>000037</t>
        </is>
      </c>
      <c r="C339" t="inlineStr">
        <is>
          <t>深南电A</t>
        </is>
      </c>
      <c r="D339" t="inlineStr">
        <is>
          <t>近一月资金净额（最近22个交易日）</t>
        </is>
      </c>
      <c r="E339" t="inlineStr">
        <is>
          <t>optional_missing</t>
        </is>
      </c>
      <c r="F339" t="inlineStr">
        <is>
          <t>近一月资金净额（最近22个交易日）：optional_missing</t>
        </is>
      </c>
      <c r="G339" t="b">
        <v>0</v>
      </c>
      <c r="H339" t="b">
        <v>1</v>
      </c>
      <c r="M339" t="b">
        <v>0</v>
      </c>
    </row>
    <row r="340">
      <c r="A340" t="inlineStr">
        <is>
          <t>港股</t>
        </is>
      </c>
      <c r="B340" t="inlineStr">
        <is>
          <t>00031</t>
        </is>
      </c>
      <c r="C340" t="inlineStr">
        <is>
          <t>CHINA AEROSPACE</t>
        </is>
      </c>
      <c r="D340" t="inlineStr">
        <is>
          <t>大宗交易</t>
        </is>
      </c>
      <c r="E340" t="inlineStr">
        <is>
          <t>optional_missing</t>
        </is>
      </c>
      <c r="F340" t="inlineStr">
        <is>
          <t>港股大宗交易按允许缺失规则留空</t>
        </is>
      </c>
      <c r="G340" t="b">
        <v>0</v>
      </c>
      <c r="H340" t="b">
        <v>1</v>
      </c>
      <c r="I340" t="inlineStr">
        <is>
          <t>东方财富</t>
        </is>
      </c>
      <c r="J340" t="inlineStr">
        <is>
          <t>东方财富</t>
        </is>
      </c>
      <c r="K340" t="inlineStr">
        <is>
          <t>not-applicable-hk</t>
        </is>
      </c>
      <c r="L340" s="32" t="n">
        <v>46263.25725433244</v>
      </c>
      <c r="M340" t="b">
        <v>1</v>
      </c>
    </row>
    <row r="341">
      <c r="A341" t="inlineStr">
        <is>
          <t>港股</t>
        </is>
      </c>
      <c r="B341" t="inlineStr">
        <is>
          <t>00031</t>
        </is>
      </c>
      <c r="C341" t="inlineStr">
        <is>
          <t>CHINA AEROSPACE</t>
        </is>
      </c>
      <c r="D341" t="inlineStr">
        <is>
          <t>资金流</t>
        </is>
      </c>
      <c r="E341" t="inlineStr">
        <is>
          <t>optional_missing</t>
        </is>
      </c>
      <c r="F341" t="inlineStr">
        <is>
          <t>用户选择不抓取资金流</t>
        </is>
      </c>
      <c r="G341" t="b">
        <v>0</v>
      </c>
      <c r="H341" t="b">
        <v>1</v>
      </c>
      <c r="I341" t="inlineStr">
        <is>
          <t>配置</t>
        </is>
      </c>
      <c r="J341" t="inlineStr">
        <is>
          <t>配置</t>
        </is>
      </c>
      <c r="K341" t="inlineStr">
        <is>
          <t>flow-mode-off</t>
        </is>
      </c>
      <c r="L341" s="32" t="n">
        <v>46263.25754607147</v>
      </c>
      <c r="M341" t="b">
        <v>0</v>
      </c>
    </row>
    <row r="342">
      <c r="A342" t="inlineStr">
        <is>
          <t>港股</t>
        </is>
      </c>
      <c r="B342" t="inlineStr">
        <is>
          <t>00031</t>
        </is>
      </c>
      <c r="C342" t="inlineStr">
        <is>
          <t>CHINA AEROSPACE</t>
        </is>
      </c>
      <c r="D342" t="inlineStr">
        <is>
          <t>市值增长率</t>
        </is>
      </c>
      <c r="E342" t="inlineStr">
        <is>
          <t>missing</t>
        </is>
      </c>
      <c r="F342" t="inlineStr">
        <is>
          <t>市值增长率：missing</t>
        </is>
      </c>
      <c r="G342" t="b">
        <v>0</v>
      </c>
      <c r="H342" t="b">
        <v>1</v>
      </c>
      <c r="M342" t="b">
        <v>0</v>
      </c>
    </row>
    <row r="343">
      <c r="A343" t="inlineStr">
        <is>
          <t>港股</t>
        </is>
      </c>
      <c r="B343" t="inlineStr">
        <is>
          <t>00031</t>
        </is>
      </c>
      <c r="C343" t="inlineStr">
        <is>
          <t>CHINA AEROSPACE</t>
        </is>
      </c>
      <c r="D343" t="inlineStr">
        <is>
          <t>发行价</t>
        </is>
      </c>
      <c r="E343" t="inlineStr">
        <is>
          <t>optional_missing</t>
        </is>
      </c>
      <c r="F343" t="inlineStr">
        <is>
          <t>发行价：optional_missing</t>
        </is>
      </c>
      <c r="G343" t="b">
        <v>0</v>
      </c>
      <c r="H343" t="b">
        <v>1</v>
      </c>
      <c r="M343" t="b">
        <v>0</v>
      </c>
    </row>
    <row r="344">
      <c r="A344" t="inlineStr">
        <is>
          <t>港股</t>
        </is>
      </c>
      <c r="B344" t="inlineStr">
        <is>
          <t>00031</t>
        </is>
      </c>
      <c r="C344" t="inlineStr">
        <is>
          <t>CHINA AEROSPACE</t>
        </is>
      </c>
      <c r="D344" t="inlineStr">
        <is>
          <t>发行股数</t>
        </is>
      </c>
      <c r="E344" t="inlineStr">
        <is>
          <t>optional_missing</t>
        </is>
      </c>
      <c r="F344" t="inlineStr">
        <is>
          <t>发行股数：optional_missing</t>
        </is>
      </c>
      <c r="G344" t="b">
        <v>0</v>
      </c>
      <c r="H344" t="b">
        <v>1</v>
      </c>
      <c r="M344" t="b">
        <v>0</v>
      </c>
    </row>
    <row r="345">
      <c r="A345" t="inlineStr">
        <is>
          <t>港股</t>
        </is>
      </c>
      <c r="B345" t="inlineStr">
        <is>
          <t>00031</t>
        </is>
      </c>
      <c r="C345" t="inlineStr">
        <is>
          <t>CHINA AEROSPACE</t>
        </is>
      </c>
      <c r="D345" t="inlineStr">
        <is>
          <t>发行时总市值</t>
        </is>
      </c>
      <c r="E345" t="inlineStr">
        <is>
          <t>optional_missing</t>
        </is>
      </c>
      <c r="F345" t="inlineStr">
        <is>
          <t>发行时总市值：optional_missing</t>
        </is>
      </c>
      <c r="G345" t="b">
        <v>0</v>
      </c>
      <c r="H345" t="b">
        <v>1</v>
      </c>
      <c r="M345" t="b">
        <v>0</v>
      </c>
    </row>
    <row r="346">
      <c r="A346" t="inlineStr">
        <is>
          <t>港股</t>
        </is>
      </c>
      <c r="B346" t="inlineStr">
        <is>
          <t>00031</t>
        </is>
      </c>
      <c r="C346" t="inlineStr">
        <is>
          <t>CHINA AEROSPACE</t>
        </is>
      </c>
      <c r="D346" t="inlineStr">
        <is>
          <t>当年累计大宗交易笔数</t>
        </is>
      </c>
      <c r="E346" t="inlineStr">
        <is>
          <t>optional_missing</t>
        </is>
      </c>
      <c r="F346" t="inlineStr">
        <is>
          <t>当年累计大宗交易笔数：optional_missing</t>
        </is>
      </c>
      <c r="G346" t="b">
        <v>0</v>
      </c>
      <c r="H346" t="b">
        <v>1</v>
      </c>
      <c r="M346" t="b">
        <v>0</v>
      </c>
    </row>
    <row r="347">
      <c r="A347" t="inlineStr">
        <is>
          <t>港股</t>
        </is>
      </c>
      <c r="B347" t="inlineStr">
        <is>
          <t>00031</t>
        </is>
      </c>
      <c r="C347" t="inlineStr">
        <is>
          <t>CHINA AEROSPACE</t>
        </is>
      </c>
      <c r="D347" t="inlineStr">
        <is>
          <t>当年累计大宗交易金额</t>
        </is>
      </c>
      <c r="E347" t="inlineStr">
        <is>
          <t>optional_missing</t>
        </is>
      </c>
      <c r="F347" t="inlineStr">
        <is>
          <t>当年累计大宗交易金额：optional_missing</t>
        </is>
      </c>
      <c r="G347" t="b">
        <v>0</v>
      </c>
      <c r="H347" t="b">
        <v>1</v>
      </c>
      <c r="M347" t="b">
        <v>0</v>
      </c>
    </row>
    <row r="348">
      <c r="A348" t="inlineStr">
        <is>
          <t>港股</t>
        </is>
      </c>
      <c r="B348" t="inlineStr">
        <is>
          <t>00031</t>
        </is>
      </c>
      <c r="C348" t="inlineStr">
        <is>
          <t>CHINA AEROSPACE</t>
        </is>
      </c>
      <c r="D348" t="inlineStr">
        <is>
          <t>近五个交易日资金净额</t>
        </is>
      </c>
      <c r="E348" t="inlineStr">
        <is>
          <t>optional_missing</t>
        </is>
      </c>
      <c r="F348" t="inlineStr">
        <is>
          <t>近五个交易日资金净额：optional_missing</t>
        </is>
      </c>
      <c r="G348" t="b">
        <v>0</v>
      </c>
      <c r="H348" t="b">
        <v>1</v>
      </c>
      <c r="M348" t="b">
        <v>0</v>
      </c>
    </row>
    <row r="349">
      <c r="A349" t="inlineStr">
        <is>
          <t>港股</t>
        </is>
      </c>
      <c r="B349" t="inlineStr">
        <is>
          <t>00031</t>
        </is>
      </c>
      <c r="C349" t="inlineStr">
        <is>
          <t>CHINA AEROSPACE</t>
        </is>
      </c>
      <c r="D349" t="inlineStr">
        <is>
          <t>近一月资金净额（最近22个交易日）</t>
        </is>
      </c>
      <c r="E349" t="inlineStr">
        <is>
          <t>optional_missing</t>
        </is>
      </c>
      <c r="F349" t="inlineStr">
        <is>
          <t>近一月资金净额（最近22个交易日）：optional_missing</t>
        </is>
      </c>
      <c r="G349" t="b">
        <v>0</v>
      </c>
      <c r="H349" t="b">
        <v>1</v>
      </c>
      <c r="M349" t="b">
        <v>0</v>
      </c>
    </row>
    <row r="350">
      <c r="A350" t="inlineStr">
        <is>
          <t>A股</t>
        </is>
      </c>
      <c r="B350" t="inlineStr">
        <is>
          <t>000039</t>
        </is>
      </c>
      <c r="C350" t="inlineStr">
        <is>
          <t>中集集团</t>
        </is>
      </c>
      <c r="D350" t="inlineStr">
        <is>
          <t>资金流</t>
        </is>
      </c>
      <c r="E350" t="inlineStr">
        <is>
          <t>optional_missing</t>
        </is>
      </c>
      <c r="F350" t="inlineStr">
        <is>
          <t>用户选择不抓取资金流</t>
        </is>
      </c>
      <c r="G350" t="b">
        <v>0</v>
      </c>
      <c r="H350" t="b">
        <v>1</v>
      </c>
      <c r="I350" t="inlineStr">
        <is>
          <t>配置</t>
        </is>
      </c>
      <c r="J350" t="inlineStr">
        <is>
          <t>配置</t>
        </is>
      </c>
      <c r="K350" t="inlineStr">
        <is>
          <t>flow-mode-off</t>
        </is>
      </c>
      <c r="L350" s="32" t="n">
        <v>46263.25754607147</v>
      </c>
      <c r="M350" t="b">
        <v>0</v>
      </c>
    </row>
    <row r="351">
      <c r="A351" t="inlineStr">
        <is>
          <t>A股</t>
        </is>
      </c>
      <c r="B351" t="inlineStr">
        <is>
          <t>000039</t>
        </is>
      </c>
      <c r="C351" t="inlineStr">
        <is>
          <t>中集集团</t>
        </is>
      </c>
      <c r="D351" t="inlineStr">
        <is>
          <t>近五个交易日资金净额</t>
        </is>
      </c>
      <c r="E351" t="inlineStr">
        <is>
          <t>optional_missing</t>
        </is>
      </c>
      <c r="F351" t="inlineStr">
        <is>
          <t>近五个交易日资金净额：optional_missing</t>
        </is>
      </c>
      <c r="G351" t="b">
        <v>0</v>
      </c>
      <c r="H351" t="b">
        <v>1</v>
      </c>
      <c r="M351" t="b">
        <v>0</v>
      </c>
    </row>
    <row r="352">
      <c r="A352" t="inlineStr">
        <is>
          <t>A股</t>
        </is>
      </c>
      <c r="B352" t="inlineStr">
        <is>
          <t>000039</t>
        </is>
      </c>
      <c r="C352" t="inlineStr">
        <is>
          <t>中集集团</t>
        </is>
      </c>
      <c r="D352" t="inlineStr">
        <is>
          <t>近一月资金净额（最近22个交易日）</t>
        </is>
      </c>
      <c r="E352" t="inlineStr">
        <is>
          <t>optional_missing</t>
        </is>
      </c>
      <c r="F352" t="inlineStr">
        <is>
          <t>近一月资金净额（最近22个交易日）：optional_missing</t>
        </is>
      </c>
      <c r="G352" t="b">
        <v>0</v>
      </c>
      <c r="H352" t="b">
        <v>1</v>
      </c>
      <c r="M352" t="b">
        <v>0</v>
      </c>
    </row>
    <row r="353">
      <c r="A353" t="inlineStr">
        <is>
          <t>港股</t>
        </is>
      </c>
      <c r="B353" t="inlineStr">
        <is>
          <t>00032</t>
        </is>
      </c>
      <c r="C353" t="inlineStr">
        <is>
          <t>CROSS-HAR(HOLD)</t>
        </is>
      </c>
      <c r="D353" t="inlineStr">
        <is>
          <t>大宗交易</t>
        </is>
      </c>
      <c r="E353" t="inlineStr">
        <is>
          <t>optional_missing</t>
        </is>
      </c>
      <c r="F353" t="inlineStr">
        <is>
          <t>港股大宗交易按允许缺失规则留空</t>
        </is>
      </c>
      <c r="G353" t="b">
        <v>0</v>
      </c>
      <c r="H353" t="b">
        <v>1</v>
      </c>
      <c r="I353" t="inlineStr">
        <is>
          <t>东方财富</t>
        </is>
      </c>
      <c r="J353" t="inlineStr">
        <is>
          <t>东方财富</t>
        </is>
      </c>
      <c r="K353" t="inlineStr">
        <is>
          <t>not-applicable-hk</t>
        </is>
      </c>
      <c r="L353" s="32" t="n">
        <v>46263.25725433244</v>
      </c>
      <c r="M353" t="b">
        <v>1</v>
      </c>
    </row>
    <row r="354">
      <c r="A354" t="inlineStr">
        <is>
          <t>港股</t>
        </is>
      </c>
      <c r="B354" t="inlineStr">
        <is>
          <t>00032</t>
        </is>
      </c>
      <c r="C354" t="inlineStr">
        <is>
          <t>CROSS-HAR(HOLD)</t>
        </is>
      </c>
      <c r="D354" t="inlineStr">
        <is>
          <t>资金流</t>
        </is>
      </c>
      <c r="E354" t="inlineStr">
        <is>
          <t>optional_missing</t>
        </is>
      </c>
      <c r="F354" t="inlineStr">
        <is>
          <t>用户选择不抓取资金流</t>
        </is>
      </c>
      <c r="G354" t="b">
        <v>0</v>
      </c>
      <c r="H354" t="b">
        <v>1</v>
      </c>
      <c r="I354" t="inlineStr">
        <is>
          <t>配置</t>
        </is>
      </c>
      <c r="J354" t="inlineStr">
        <is>
          <t>配置</t>
        </is>
      </c>
      <c r="K354" t="inlineStr">
        <is>
          <t>flow-mode-off</t>
        </is>
      </c>
      <c r="L354" s="32" t="n">
        <v>46263.25754607147</v>
      </c>
      <c r="M354" t="b">
        <v>0</v>
      </c>
    </row>
    <row r="355">
      <c r="A355" t="inlineStr">
        <is>
          <t>港股</t>
        </is>
      </c>
      <c r="B355" t="inlineStr">
        <is>
          <t>00032</t>
        </is>
      </c>
      <c r="C355" t="inlineStr">
        <is>
          <t>CROSS-HAR(HOLD)</t>
        </is>
      </c>
      <c r="D355" t="inlineStr">
        <is>
          <t>市值增长率</t>
        </is>
      </c>
      <c r="E355" t="inlineStr">
        <is>
          <t>missing</t>
        </is>
      </c>
      <c r="F355" t="inlineStr">
        <is>
          <t>市值增长率：missing</t>
        </is>
      </c>
      <c r="G355" t="b">
        <v>0</v>
      </c>
      <c r="H355" t="b">
        <v>1</v>
      </c>
      <c r="M355" t="b">
        <v>0</v>
      </c>
    </row>
    <row r="356">
      <c r="A356" t="inlineStr">
        <is>
          <t>港股</t>
        </is>
      </c>
      <c r="B356" t="inlineStr">
        <is>
          <t>00032</t>
        </is>
      </c>
      <c r="C356" t="inlineStr">
        <is>
          <t>CROSS-HAR(HOLD)</t>
        </is>
      </c>
      <c r="D356" t="inlineStr">
        <is>
          <t>发行价</t>
        </is>
      </c>
      <c r="E356" t="inlineStr">
        <is>
          <t>optional_missing</t>
        </is>
      </c>
      <c r="F356" t="inlineStr">
        <is>
          <t>发行价：optional_missing</t>
        </is>
      </c>
      <c r="G356" t="b">
        <v>0</v>
      </c>
      <c r="H356" t="b">
        <v>1</v>
      </c>
      <c r="M356" t="b">
        <v>0</v>
      </c>
    </row>
    <row r="357">
      <c r="A357" t="inlineStr">
        <is>
          <t>港股</t>
        </is>
      </c>
      <c r="B357" t="inlineStr">
        <is>
          <t>00032</t>
        </is>
      </c>
      <c r="C357" t="inlineStr">
        <is>
          <t>CROSS-HAR(HOLD)</t>
        </is>
      </c>
      <c r="D357" t="inlineStr">
        <is>
          <t>发行股数</t>
        </is>
      </c>
      <c r="E357" t="inlineStr">
        <is>
          <t>optional_missing</t>
        </is>
      </c>
      <c r="F357" t="inlineStr">
        <is>
          <t>发行股数：optional_missing</t>
        </is>
      </c>
      <c r="G357" t="b">
        <v>0</v>
      </c>
      <c r="H357" t="b">
        <v>1</v>
      </c>
      <c r="M357" t="b">
        <v>0</v>
      </c>
    </row>
    <row r="358">
      <c r="A358" t="inlineStr">
        <is>
          <t>港股</t>
        </is>
      </c>
      <c r="B358" t="inlineStr">
        <is>
          <t>00032</t>
        </is>
      </c>
      <c r="C358" t="inlineStr">
        <is>
          <t>CROSS-HAR(HOLD)</t>
        </is>
      </c>
      <c r="D358" t="inlineStr">
        <is>
          <t>发行时总市值</t>
        </is>
      </c>
      <c r="E358" t="inlineStr">
        <is>
          <t>optional_missing</t>
        </is>
      </c>
      <c r="F358" t="inlineStr">
        <is>
          <t>发行时总市值：optional_missing</t>
        </is>
      </c>
      <c r="G358" t="b">
        <v>0</v>
      </c>
      <c r="H358" t="b">
        <v>1</v>
      </c>
      <c r="M358" t="b">
        <v>0</v>
      </c>
    </row>
    <row r="359">
      <c r="A359" t="inlineStr">
        <is>
          <t>港股</t>
        </is>
      </c>
      <c r="B359" t="inlineStr">
        <is>
          <t>00032</t>
        </is>
      </c>
      <c r="C359" t="inlineStr">
        <is>
          <t>CROSS-HAR(HOLD)</t>
        </is>
      </c>
      <c r="D359" t="inlineStr">
        <is>
          <t>当年累计大宗交易笔数</t>
        </is>
      </c>
      <c r="E359" t="inlineStr">
        <is>
          <t>optional_missing</t>
        </is>
      </c>
      <c r="F359" t="inlineStr">
        <is>
          <t>当年累计大宗交易笔数：optional_missing</t>
        </is>
      </c>
      <c r="G359" t="b">
        <v>0</v>
      </c>
      <c r="H359" t="b">
        <v>1</v>
      </c>
      <c r="M359" t="b">
        <v>0</v>
      </c>
    </row>
    <row r="360">
      <c r="A360" t="inlineStr">
        <is>
          <t>港股</t>
        </is>
      </c>
      <c r="B360" t="inlineStr">
        <is>
          <t>00032</t>
        </is>
      </c>
      <c r="C360" t="inlineStr">
        <is>
          <t>CROSS-HAR(HOLD)</t>
        </is>
      </c>
      <c r="D360" t="inlineStr">
        <is>
          <t>当年累计大宗交易金额</t>
        </is>
      </c>
      <c r="E360" t="inlineStr">
        <is>
          <t>optional_missing</t>
        </is>
      </c>
      <c r="F360" t="inlineStr">
        <is>
          <t>当年累计大宗交易金额：optional_missing</t>
        </is>
      </c>
      <c r="G360" t="b">
        <v>0</v>
      </c>
      <c r="H360" t="b">
        <v>1</v>
      </c>
      <c r="M360" t="b">
        <v>0</v>
      </c>
    </row>
    <row r="361">
      <c r="A361" t="inlineStr">
        <is>
          <t>港股</t>
        </is>
      </c>
      <c r="B361" t="inlineStr">
        <is>
          <t>00032</t>
        </is>
      </c>
      <c r="C361" t="inlineStr">
        <is>
          <t>CROSS-HAR(HOLD)</t>
        </is>
      </c>
      <c r="D361" t="inlineStr">
        <is>
          <t>近五个交易日资金净额</t>
        </is>
      </c>
      <c r="E361" t="inlineStr">
        <is>
          <t>optional_missing</t>
        </is>
      </c>
      <c r="F361" t="inlineStr">
        <is>
          <t>近五个交易日资金净额：optional_missing</t>
        </is>
      </c>
      <c r="G361" t="b">
        <v>0</v>
      </c>
      <c r="H361" t="b">
        <v>1</v>
      </c>
      <c r="M361" t="b">
        <v>0</v>
      </c>
    </row>
    <row r="362">
      <c r="A362" t="inlineStr">
        <is>
          <t>港股</t>
        </is>
      </c>
      <c r="B362" t="inlineStr">
        <is>
          <t>00032</t>
        </is>
      </c>
      <c r="C362" t="inlineStr">
        <is>
          <t>CROSS-HAR(HOLD)</t>
        </is>
      </c>
      <c r="D362" t="inlineStr">
        <is>
          <t>近一月资金净额（最近22个交易日）</t>
        </is>
      </c>
      <c r="E362" t="inlineStr">
        <is>
          <t>optional_missing</t>
        </is>
      </c>
      <c r="F362" t="inlineStr">
        <is>
          <t>近一月资金净额（最近22个交易日）：optional_missing</t>
        </is>
      </c>
      <c r="G362" t="b">
        <v>0</v>
      </c>
      <c r="H362" t="b">
        <v>1</v>
      </c>
      <c r="M362" t="b">
        <v>0</v>
      </c>
    </row>
    <row r="363">
      <c r="A363" t="inlineStr">
        <is>
          <t>A股</t>
        </is>
      </c>
      <c r="B363" t="inlineStr">
        <is>
          <t>000042</t>
        </is>
      </c>
      <c r="C363" t="inlineStr">
        <is>
          <t>中洲控股</t>
        </is>
      </c>
      <c r="D363" t="inlineStr">
        <is>
          <t>资金流</t>
        </is>
      </c>
      <c r="E363" t="inlineStr">
        <is>
          <t>optional_missing</t>
        </is>
      </c>
      <c r="F363" t="inlineStr">
        <is>
          <t>用户选择不抓取资金流</t>
        </is>
      </c>
      <c r="G363" t="b">
        <v>0</v>
      </c>
      <c r="H363" t="b">
        <v>1</v>
      </c>
      <c r="I363" t="inlineStr">
        <is>
          <t>配置</t>
        </is>
      </c>
      <c r="J363" t="inlineStr">
        <is>
          <t>配置</t>
        </is>
      </c>
      <c r="K363" t="inlineStr">
        <is>
          <t>flow-mode-off</t>
        </is>
      </c>
      <c r="L363" s="32" t="n">
        <v>46263.25754607147</v>
      </c>
      <c r="M363" t="b">
        <v>0</v>
      </c>
    </row>
    <row r="364">
      <c r="A364" t="inlineStr">
        <is>
          <t>A股</t>
        </is>
      </c>
      <c r="B364" t="inlineStr">
        <is>
          <t>000042</t>
        </is>
      </c>
      <c r="C364" t="inlineStr">
        <is>
          <t>中洲控股</t>
        </is>
      </c>
      <c r="D364" t="inlineStr">
        <is>
          <t>近五个交易日资金净额</t>
        </is>
      </c>
      <c r="E364" t="inlineStr">
        <is>
          <t>optional_missing</t>
        </is>
      </c>
      <c r="F364" t="inlineStr">
        <is>
          <t>近五个交易日资金净额：optional_missing</t>
        </is>
      </c>
      <c r="G364" t="b">
        <v>0</v>
      </c>
      <c r="H364" t="b">
        <v>1</v>
      </c>
      <c r="M364" t="b">
        <v>0</v>
      </c>
    </row>
    <row r="365">
      <c r="A365" t="inlineStr">
        <is>
          <t>A股</t>
        </is>
      </c>
      <c r="B365" t="inlineStr">
        <is>
          <t>000042</t>
        </is>
      </c>
      <c r="C365" t="inlineStr">
        <is>
          <t>中洲控股</t>
        </is>
      </c>
      <c r="D365" t="inlineStr">
        <is>
          <t>近一月资金净额（最近22个交易日）</t>
        </is>
      </c>
      <c r="E365" t="inlineStr">
        <is>
          <t>optional_missing</t>
        </is>
      </c>
      <c r="F365" t="inlineStr">
        <is>
          <t>近一月资金净额（最近22个交易日）：optional_missing</t>
        </is>
      </c>
      <c r="G365" t="b">
        <v>0</v>
      </c>
      <c r="H365" t="b">
        <v>1</v>
      </c>
      <c r="M365" t="b">
        <v>0</v>
      </c>
    </row>
    <row r="366">
      <c r="A366" t="inlineStr">
        <is>
          <t>港股</t>
        </is>
      </c>
      <c r="B366" t="inlineStr">
        <is>
          <t>00033</t>
        </is>
      </c>
      <c r="C366" t="inlineStr">
        <is>
          <t>INTL GENIUS</t>
        </is>
      </c>
      <c r="D366" t="inlineStr">
        <is>
          <t>大宗交易</t>
        </is>
      </c>
      <c r="E366" t="inlineStr">
        <is>
          <t>optional_missing</t>
        </is>
      </c>
      <c r="F366" t="inlineStr">
        <is>
          <t>港股大宗交易按允许缺失规则留空</t>
        </is>
      </c>
      <c r="G366" t="b">
        <v>0</v>
      </c>
      <c r="H366" t="b">
        <v>1</v>
      </c>
      <c r="I366" t="inlineStr">
        <is>
          <t>东方财富</t>
        </is>
      </c>
      <c r="J366" t="inlineStr">
        <is>
          <t>东方财富</t>
        </is>
      </c>
      <c r="K366" t="inlineStr">
        <is>
          <t>not-applicable-hk</t>
        </is>
      </c>
      <c r="L366" s="32" t="n">
        <v>46263.25725433244</v>
      </c>
      <c r="M366" t="b">
        <v>1</v>
      </c>
    </row>
    <row r="367">
      <c r="A367" t="inlineStr">
        <is>
          <t>港股</t>
        </is>
      </c>
      <c r="B367" t="inlineStr">
        <is>
          <t>00033</t>
        </is>
      </c>
      <c r="C367" t="inlineStr">
        <is>
          <t>INTL GENIUS</t>
        </is>
      </c>
      <c r="D367" t="inlineStr">
        <is>
          <t>营业收入</t>
        </is>
      </c>
      <c r="E367" t="inlineStr">
        <is>
          <t>missing</t>
        </is>
      </c>
      <c r="F367" t="inlineStr">
        <is>
          <t>港股缺少结构化核心财务数据，已按港股纳入规则排除</t>
        </is>
      </c>
      <c r="G367" t="b">
        <v>1</v>
      </c>
      <c r="H367" t="b">
        <v>0</v>
      </c>
      <c r="J367" t="inlineStr">
        <is>
          <t>公开结构化数据组合源</t>
        </is>
      </c>
      <c r="M367" t="b">
        <v>0</v>
      </c>
    </row>
    <row r="368">
      <c r="A368" t="inlineStr">
        <is>
          <t>港股</t>
        </is>
      </c>
      <c r="B368" t="inlineStr">
        <is>
          <t>00033</t>
        </is>
      </c>
      <c r="C368" t="inlineStr">
        <is>
          <t>INTL GENIUS</t>
        </is>
      </c>
      <c r="D368" t="inlineStr">
        <is>
          <t>营业收入</t>
        </is>
      </c>
      <c r="E368" t="inlineStr">
        <is>
          <t>missing</t>
        </is>
      </c>
      <c r="F368" t="inlineStr">
        <is>
          <t>缺少所选年度营业收入</t>
        </is>
      </c>
      <c r="G368" t="b">
        <v>1</v>
      </c>
      <c r="H368" t="b">
        <v>0</v>
      </c>
      <c r="M368" t="b">
        <v>0</v>
      </c>
    </row>
    <row r="369">
      <c r="A369" t="inlineStr">
        <is>
          <t>港股</t>
        </is>
      </c>
      <c r="B369" t="inlineStr">
        <is>
          <t>00033</t>
        </is>
      </c>
      <c r="C369" t="inlineStr">
        <is>
          <t>INTL GENIUS</t>
        </is>
      </c>
      <c r="D369" t="inlineStr">
        <is>
          <t>营业收入同比</t>
        </is>
      </c>
      <c r="E369" t="inlineStr">
        <is>
          <t>missing</t>
        </is>
      </c>
      <c r="F369" t="inlineStr">
        <is>
          <t>营业收入同比：missing</t>
        </is>
      </c>
      <c r="G369" t="b">
        <v>0</v>
      </c>
      <c r="H369" t="b">
        <v>0</v>
      </c>
      <c r="M369" t="b">
        <v>0</v>
      </c>
    </row>
    <row r="370">
      <c r="A370" t="inlineStr">
        <is>
          <t>港股</t>
        </is>
      </c>
      <c r="B370" t="inlineStr">
        <is>
          <t>00033</t>
        </is>
      </c>
      <c r="C370" t="inlineStr">
        <is>
          <t>INTL GENIUS</t>
        </is>
      </c>
      <c r="D370" t="inlineStr">
        <is>
          <t>营业收入三年 CAGR</t>
        </is>
      </c>
      <c r="E370" t="inlineStr">
        <is>
          <t>missing</t>
        </is>
      </c>
      <c r="F370" t="inlineStr">
        <is>
          <t>营业收入三年 CAGR：missing</t>
        </is>
      </c>
      <c r="G370" t="b">
        <v>0</v>
      </c>
      <c r="H370" t="b">
        <v>0</v>
      </c>
      <c r="M370" t="b">
        <v>0</v>
      </c>
    </row>
    <row r="371">
      <c r="A371" t="inlineStr">
        <is>
          <t>港股</t>
        </is>
      </c>
      <c r="B371" t="inlineStr">
        <is>
          <t>00033</t>
        </is>
      </c>
      <c r="C371" t="inlineStr">
        <is>
          <t>INTL GENIUS</t>
        </is>
      </c>
      <c r="D371" t="inlineStr">
        <is>
          <t>毛利率</t>
        </is>
      </c>
      <c r="E371" t="inlineStr">
        <is>
          <t>missing</t>
        </is>
      </c>
      <c r="F371" t="inlineStr">
        <is>
          <t>毛利率：missing</t>
        </is>
      </c>
      <c r="G371" t="b">
        <v>0</v>
      </c>
      <c r="H371" t="b">
        <v>0</v>
      </c>
      <c r="M371" t="b">
        <v>0</v>
      </c>
    </row>
    <row r="372">
      <c r="A372" t="inlineStr">
        <is>
          <t>港股</t>
        </is>
      </c>
      <c r="B372" t="inlineStr">
        <is>
          <t>00033</t>
        </is>
      </c>
      <c r="C372" t="inlineStr">
        <is>
          <t>INTL GENIUS</t>
        </is>
      </c>
      <c r="D372" t="inlineStr">
        <is>
          <t>毛利率同比变化（百分点）</t>
        </is>
      </c>
      <c r="E372" t="inlineStr">
        <is>
          <t>missing</t>
        </is>
      </c>
      <c r="F372" t="inlineStr">
        <is>
          <t>毛利率同比变化（百分点）：missing</t>
        </is>
      </c>
      <c r="G372" t="b">
        <v>0</v>
      </c>
      <c r="H372" t="b">
        <v>0</v>
      </c>
      <c r="M372" t="b">
        <v>0</v>
      </c>
    </row>
    <row r="373">
      <c r="A373" t="inlineStr">
        <is>
          <t>港股</t>
        </is>
      </c>
      <c r="B373" t="inlineStr">
        <is>
          <t>00033</t>
        </is>
      </c>
      <c r="C373" t="inlineStr">
        <is>
          <t>INTL GENIUS</t>
        </is>
      </c>
      <c r="D373" t="inlineStr">
        <is>
          <t>毛利率三年变化（百分点）</t>
        </is>
      </c>
      <c r="E373" t="inlineStr">
        <is>
          <t>missing</t>
        </is>
      </c>
      <c r="F373" t="inlineStr">
        <is>
          <t>毛利率三年变化（百分点）：missing</t>
        </is>
      </c>
      <c r="G373" t="b">
        <v>0</v>
      </c>
      <c r="H373" t="b">
        <v>0</v>
      </c>
      <c r="M373" t="b">
        <v>0</v>
      </c>
    </row>
    <row r="374">
      <c r="A374" t="inlineStr">
        <is>
          <t>港股</t>
        </is>
      </c>
      <c r="B374" t="inlineStr">
        <is>
          <t>00033</t>
        </is>
      </c>
      <c r="C374" t="inlineStr">
        <is>
          <t>INTL GENIUS</t>
        </is>
      </c>
      <c r="D374" t="inlineStr">
        <is>
          <t>归母净利润</t>
        </is>
      </c>
      <c r="E374" t="inlineStr">
        <is>
          <t>missing</t>
        </is>
      </c>
      <c r="F374" t="inlineStr">
        <is>
          <t>归母净利润：missing</t>
        </is>
      </c>
      <c r="G374" t="b">
        <v>0</v>
      </c>
      <c r="H374" t="b">
        <v>0</v>
      </c>
      <c r="M374" t="b">
        <v>0</v>
      </c>
    </row>
    <row r="375">
      <c r="A375" t="inlineStr">
        <is>
          <t>港股</t>
        </is>
      </c>
      <c r="B375" t="inlineStr">
        <is>
          <t>00033</t>
        </is>
      </c>
      <c r="C375" t="inlineStr">
        <is>
          <t>INTL GENIUS</t>
        </is>
      </c>
      <c r="D375" t="inlineStr">
        <is>
          <t>归母净利率</t>
        </is>
      </c>
      <c r="E375" t="inlineStr">
        <is>
          <t>missing</t>
        </is>
      </c>
      <c r="F375" t="inlineStr">
        <is>
          <t>归母净利率：missing</t>
        </is>
      </c>
      <c r="G375" t="b">
        <v>0</v>
      </c>
      <c r="H375" t="b">
        <v>0</v>
      </c>
      <c r="M375" t="b">
        <v>0</v>
      </c>
    </row>
    <row r="376">
      <c r="A376" t="inlineStr">
        <is>
          <t>港股</t>
        </is>
      </c>
      <c r="B376" t="inlineStr">
        <is>
          <t>00033</t>
        </is>
      </c>
      <c r="C376" t="inlineStr">
        <is>
          <t>INTL GENIUS</t>
        </is>
      </c>
      <c r="D376" t="inlineStr">
        <is>
          <t>归母净利润同比</t>
        </is>
      </c>
      <c r="E376" t="inlineStr">
        <is>
          <t>missing</t>
        </is>
      </c>
      <c r="F376" t="inlineStr">
        <is>
          <t>归母净利润同比：missing</t>
        </is>
      </c>
      <c r="G376" t="b">
        <v>0</v>
      </c>
      <c r="H376" t="b">
        <v>0</v>
      </c>
      <c r="M376" t="b">
        <v>0</v>
      </c>
    </row>
    <row r="377">
      <c r="A377" t="inlineStr">
        <is>
          <t>港股</t>
        </is>
      </c>
      <c r="B377" t="inlineStr">
        <is>
          <t>00033</t>
        </is>
      </c>
      <c r="C377" t="inlineStr">
        <is>
          <t>INTL GENIUS</t>
        </is>
      </c>
      <c r="D377" t="inlineStr">
        <is>
          <t>归母净利润三年 CAGR</t>
        </is>
      </c>
      <c r="E377" t="inlineStr">
        <is>
          <t>missing</t>
        </is>
      </c>
      <c r="F377" t="inlineStr">
        <is>
          <t>归母净利润三年 CAGR：missing</t>
        </is>
      </c>
      <c r="G377" t="b">
        <v>0</v>
      </c>
      <c r="H377" t="b">
        <v>0</v>
      </c>
      <c r="M377" t="b">
        <v>0</v>
      </c>
    </row>
    <row r="378">
      <c r="A378" t="inlineStr">
        <is>
          <t>港股</t>
        </is>
      </c>
      <c r="B378" t="inlineStr">
        <is>
          <t>00033</t>
        </is>
      </c>
      <c r="C378" t="inlineStr">
        <is>
          <t>INTL GENIUS</t>
        </is>
      </c>
      <c r="D378" t="inlineStr">
        <is>
          <t>经营活动现金流净额</t>
        </is>
      </c>
      <c r="E378" t="inlineStr">
        <is>
          <t>missing</t>
        </is>
      </c>
      <c r="F378" t="inlineStr">
        <is>
          <t>经营活动现金流净额：missing</t>
        </is>
      </c>
      <c r="G378" t="b">
        <v>0</v>
      </c>
      <c r="H378" t="b">
        <v>0</v>
      </c>
      <c r="M378" t="b">
        <v>0</v>
      </c>
    </row>
    <row r="379">
      <c r="A379" t="inlineStr">
        <is>
          <t>港股</t>
        </is>
      </c>
      <c r="B379" t="inlineStr">
        <is>
          <t>00033</t>
        </is>
      </c>
      <c r="C379" t="inlineStr">
        <is>
          <t>INTL GENIUS</t>
        </is>
      </c>
      <c r="D379" t="inlineStr">
        <is>
          <t>经营活动现金流同比</t>
        </is>
      </c>
      <c r="E379" t="inlineStr">
        <is>
          <t>missing</t>
        </is>
      </c>
      <c r="F379" t="inlineStr">
        <is>
          <t>经营活动现金流同比：missing</t>
        </is>
      </c>
      <c r="G379" t="b">
        <v>0</v>
      </c>
      <c r="H379" t="b">
        <v>0</v>
      </c>
      <c r="M379" t="b">
        <v>0</v>
      </c>
    </row>
    <row r="380">
      <c r="A380" t="inlineStr">
        <is>
          <t>港股</t>
        </is>
      </c>
      <c r="B380" t="inlineStr">
        <is>
          <t>00033</t>
        </is>
      </c>
      <c r="C380" t="inlineStr">
        <is>
          <t>INTL GENIUS</t>
        </is>
      </c>
      <c r="D380" t="inlineStr">
        <is>
          <t>经营活动现金流三年 CAGR</t>
        </is>
      </c>
      <c r="E380" t="inlineStr">
        <is>
          <t>missing</t>
        </is>
      </c>
      <c r="F380" t="inlineStr">
        <is>
          <t>经营活动现金流三年 CAGR：missing</t>
        </is>
      </c>
      <c r="G380" t="b">
        <v>0</v>
      </c>
      <c r="H380" t="b">
        <v>0</v>
      </c>
      <c r="M380" t="b">
        <v>0</v>
      </c>
    </row>
    <row r="381">
      <c r="A381" t="inlineStr">
        <is>
          <t>港股</t>
        </is>
      </c>
      <c r="B381" t="inlineStr">
        <is>
          <t>00033</t>
        </is>
      </c>
      <c r="C381" t="inlineStr">
        <is>
          <t>INTL GENIUS</t>
        </is>
      </c>
      <c r="D381" t="inlineStr">
        <is>
          <t>市值增长率</t>
        </is>
      </c>
      <c r="E381" t="inlineStr">
        <is>
          <t>missing</t>
        </is>
      </c>
      <c r="F381" t="inlineStr">
        <is>
          <t>市值增长率：missing</t>
        </is>
      </c>
      <c r="G381" t="b">
        <v>0</v>
      </c>
      <c r="H381" t="b">
        <v>1</v>
      </c>
      <c r="M381" t="b">
        <v>0</v>
      </c>
    </row>
    <row r="382">
      <c r="A382" t="inlineStr">
        <is>
          <t>港股</t>
        </is>
      </c>
      <c r="B382" t="inlineStr">
        <is>
          <t>00033</t>
        </is>
      </c>
      <c r="C382" t="inlineStr">
        <is>
          <t>INTL GENIUS</t>
        </is>
      </c>
      <c r="D382" t="inlineStr">
        <is>
          <t>最新价</t>
        </is>
      </c>
      <c r="E382" t="inlineStr">
        <is>
          <t>missing</t>
        </is>
      </c>
      <c r="F382" t="inlineStr">
        <is>
          <t>最新价：missing</t>
        </is>
      </c>
      <c r="G382" t="b">
        <v>0</v>
      </c>
      <c r="H382" t="b">
        <v>0</v>
      </c>
      <c r="M382" t="b">
        <v>0</v>
      </c>
    </row>
    <row r="383">
      <c r="A383" t="inlineStr">
        <is>
          <t>港股</t>
        </is>
      </c>
      <c r="B383" t="inlineStr">
        <is>
          <t>00033</t>
        </is>
      </c>
      <c r="C383" t="inlineStr">
        <is>
          <t>INTL GENIUS</t>
        </is>
      </c>
      <c r="D383" t="inlineStr">
        <is>
          <t>上市日期</t>
        </is>
      </c>
      <c r="E383" t="inlineStr">
        <is>
          <t>missing</t>
        </is>
      </c>
      <c r="F383" t="inlineStr">
        <is>
          <t>上市日期：missing</t>
        </is>
      </c>
      <c r="G383" t="b">
        <v>0</v>
      </c>
      <c r="H383" t="b">
        <v>0</v>
      </c>
      <c r="M383" t="b">
        <v>0</v>
      </c>
    </row>
    <row r="384">
      <c r="A384" t="inlineStr">
        <is>
          <t>港股</t>
        </is>
      </c>
      <c r="B384" t="inlineStr">
        <is>
          <t>00033</t>
        </is>
      </c>
      <c r="C384" t="inlineStr">
        <is>
          <t>INTL GENIUS</t>
        </is>
      </c>
      <c r="D384" t="inlineStr">
        <is>
          <t>发行价</t>
        </is>
      </c>
      <c r="E384" t="inlineStr">
        <is>
          <t>optional_missing</t>
        </is>
      </c>
      <c r="F384" t="inlineStr">
        <is>
          <t>发行价：optional_missing</t>
        </is>
      </c>
      <c r="G384" t="b">
        <v>0</v>
      </c>
      <c r="H384" t="b">
        <v>1</v>
      </c>
      <c r="M384" t="b">
        <v>0</v>
      </c>
    </row>
    <row r="385">
      <c r="A385" t="inlineStr">
        <is>
          <t>港股</t>
        </is>
      </c>
      <c r="B385" t="inlineStr">
        <is>
          <t>00033</t>
        </is>
      </c>
      <c r="C385" t="inlineStr">
        <is>
          <t>INTL GENIUS</t>
        </is>
      </c>
      <c r="D385" t="inlineStr">
        <is>
          <t>发行股数</t>
        </is>
      </c>
      <c r="E385" t="inlineStr">
        <is>
          <t>optional_missing</t>
        </is>
      </c>
      <c r="F385" t="inlineStr">
        <is>
          <t>发行股数：optional_missing</t>
        </is>
      </c>
      <c r="G385" t="b">
        <v>0</v>
      </c>
      <c r="H385" t="b">
        <v>1</v>
      </c>
      <c r="M385" t="b">
        <v>0</v>
      </c>
    </row>
    <row r="386">
      <c r="A386" t="inlineStr">
        <is>
          <t>港股</t>
        </is>
      </c>
      <c r="B386" t="inlineStr">
        <is>
          <t>00033</t>
        </is>
      </c>
      <c r="C386" t="inlineStr">
        <is>
          <t>INTL GENIUS</t>
        </is>
      </c>
      <c r="D386" t="inlineStr">
        <is>
          <t>发行时总市值</t>
        </is>
      </c>
      <c r="E386" t="inlineStr">
        <is>
          <t>optional_missing</t>
        </is>
      </c>
      <c r="F386" t="inlineStr">
        <is>
          <t>发行时总市值：optional_missing</t>
        </is>
      </c>
      <c r="G386" t="b">
        <v>0</v>
      </c>
      <c r="H386" t="b">
        <v>1</v>
      </c>
      <c r="M386" t="b">
        <v>0</v>
      </c>
    </row>
    <row r="387">
      <c r="A387" t="inlineStr">
        <is>
          <t>港股</t>
        </is>
      </c>
      <c r="B387" t="inlineStr">
        <is>
          <t>00033</t>
        </is>
      </c>
      <c r="C387" t="inlineStr">
        <is>
          <t>INTL GENIUS</t>
        </is>
      </c>
      <c r="D387" t="inlineStr">
        <is>
          <t>当年累计大宗交易笔数</t>
        </is>
      </c>
      <c r="E387" t="inlineStr">
        <is>
          <t>optional_missing</t>
        </is>
      </c>
      <c r="F387" t="inlineStr">
        <is>
          <t>当年累计大宗交易笔数：optional_missing</t>
        </is>
      </c>
      <c r="G387" t="b">
        <v>0</v>
      </c>
      <c r="H387" t="b">
        <v>1</v>
      </c>
      <c r="M387" t="b">
        <v>0</v>
      </c>
    </row>
    <row r="388">
      <c r="A388" t="inlineStr">
        <is>
          <t>港股</t>
        </is>
      </c>
      <c r="B388" t="inlineStr">
        <is>
          <t>00033</t>
        </is>
      </c>
      <c r="C388" t="inlineStr">
        <is>
          <t>INTL GENIUS</t>
        </is>
      </c>
      <c r="D388" t="inlineStr">
        <is>
          <t>当年累计大宗交易金额</t>
        </is>
      </c>
      <c r="E388" t="inlineStr">
        <is>
          <t>optional_missing</t>
        </is>
      </c>
      <c r="F388" t="inlineStr">
        <is>
          <t>当年累计大宗交易金额：optional_missing</t>
        </is>
      </c>
      <c r="G388" t="b">
        <v>0</v>
      </c>
      <c r="H388" t="b">
        <v>1</v>
      </c>
      <c r="M388" t="b">
        <v>0</v>
      </c>
    </row>
    <row r="389">
      <c r="A389" t="inlineStr">
        <is>
          <t>港股</t>
        </is>
      </c>
      <c r="B389" t="inlineStr">
        <is>
          <t>00033</t>
        </is>
      </c>
      <c r="C389" t="inlineStr">
        <is>
          <t>INTL GENIUS</t>
        </is>
      </c>
      <c r="D389" t="inlineStr">
        <is>
          <t>近五个交易日资金净额</t>
        </is>
      </c>
      <c r="E389" t="inlineStr">
        <is>
          <t>optional_missing</t>
        </is>
      </c>
      <c r="F389" t="inlineStr">
        <is>
          <t>近五个交易日资金净额：optional_missing</t>
        </is>
      </c>
      <c r="G389" t="b">
        <v>0</v>
      </c>
      <c r="H389" t="b">
        <v>1</v>
      </c>
      <c r="M389" t="b">
        <v>0</v>
      </c>
    </row>
    <row r="390">
      <c r="A390" t="inlineStr">
        <is>
          <t>港股</t>
        </is>
      </c>
      <c r="B390" t="inlineStr">
        <is>
          <t>00033</t>
        </is>
      </c>
      <c r="C390" t="inlineStr">
        <is>
          <t>INTL GENIUS</t>
        </is>
      </c>
      <c r="D390" t="inlineStr">
        <is>
          <t>近一月资金净额（最近22个交易日）</t>
        </is>
      </c>
      <c r="E390" t="inlineStr">
        <is>
          <t>optional_missing</t>
        </is>
      </c>
      <c r="F390" t="inlineStr">
        <is>
          <t>近一月资金净额（最近22个交易日）：optional_missing</t>
        </is>
      </c>
      <c r="G390" t="b">
        <v>0</v>
      </c>
      <c r="H390" t="b">
        <v>1</v>
      </c>
      <c r="M390" t="b">
        <v>0</v>
      </c>
    </row>
    <row r="391">
      <c r="A391" t="inlineStr">
        <is>
          <t>A股</t>
        </is>
      </c>
      <c r="B391" t="inlineStr">
        <is>
          <t>000045</t>
        </is>
      </c>
      <c r="C391" t="inlineStr">
        <is>
          <t>深纺织Ａ</t>
        </is>
      </c>
      <c r="D391" t="inlineStr">
        <is>
          <t>资金流</t>
        </is>
      </c>
      <c r="E391" t="inlineStr">
        <is>
          <t>optional_missing</t>
        </is>
      </c>
      <c r="F391" t="inlineStr">
        <is>
          <t>用户选择不抓取资金流</t>
        </is>
      </c>
      <c r="G391" t="b">
        <v>0</v>
      </c>
      <c r="H391" t="b">
        <v>1</v>
      </c>
      <c r="I391" t="inlineStr">
        <is>
          <t>配置</t>
        </is>
      </c>
      <c r="J391" t="inlineStr">
        <is>
          <t>配置</t>
        </is>
      </c>
      <c r="K391" t="inlineStr">
        <is>
          <t>flow-mode-off</t>
        </is>
      </c>
      <c r="L391" s="32" t="n">
        <v>46263.25754607147</v>
      </c>
      <c r="M391" t="b">
        <v>0</v>
      </c>
    </row>
    <row r="392">
      <c r="A392" t="inlineStr">
        <is>
          <t>A股</t>
        </is>
      </c>
      <c r="B392" t="inlineStr">
        <is>
          <t>000045</t>
        </is>
      </c>
      <c r="C392" t="inlineStr">
        <is>
          <t>深纺织Ａ</t>
        </is>
      </c>
      <c r="D392" t="inlineStr">
        <is>
          <t>近五个交易日资金净额</t>
        </is>
      </c>
      <c r="E392" t="inlineStr">
        <is>
          <t>optional_missing</t>
        </is>
      </c>
      <c r="F392" t="inlineStr">
        <is>
          <t>近五个交易日资金净额：optional_missing</t>
        </is>
      </c>
      <c r="G392" t="b">
        <v>0</v>
      </c>
      <c r="H392" t="b">
        <v>1</v>
      </c>
      <c r="M392" t="b">
        <v>0</v>
      </c>
    </row>
    <row r="393">
      <c r="A393" t="inlineStr">
        <is>
          <t>A股</t>
        </is>
      </c>
      <c r="B393" t="inlineStr">
        <is>
          <t>000045</t>
        </is>
      </c>
      <c r="C393" t="inlineStr">
        <is>
          <t>深纺织Ａ</t>
        </is>
      </c>
      <c r="D393" t="inlineStr">
        <is>
          <t>近一月资金净额（最近22个交易日）</t>
        </is>
      </c>
      <c r="E393" t="inlineStr">
        <is>
          <t>optional_missing</t>
        </is>
      </c>
      <c r="F393" t="inlineStr">
        <is>
          <t>近一月资金净额（最近22个交易日）：optional_missing</t>
        </is>
      </c>
      <c r="G393" t="b">
        <v>0</v>
      </c>
      <c r="H393" t="b">
        <v>1</v>
      </c>
      <c r="M393" t="b">
        <v>0</v>
      </c>
    </row>
    <row r="394">
      <c r="A394" t="inlineStr">
        <is>
          <t>港股</t>
        </is>
      </c>
      <c r="B394" t="inlineStr">
        <is>
          <t>00034</t>
        </is>
      </c>
      <c r="C394" t="inlineStr">
        <is>
          <t>KOWLOON DEV</t>
        </is>
      </c>
      <c r="D394" t="inlineStr">
        <is>
          <t>大宗交易</t>
        </is>
      </c>
      <c r="E394" t="inlineStr">
        <is>
          <t>optional_missing</t>
        </is>
      </c>
      <c r="F394" t="inlineStr">
        <is>
          <t>港股大宗交易按允许缺失规则留空</t>
        </is>
      </c>
      <c r="G394" t="b">
        <v>0</v>
      </c>
      <c r="H394" t="b">
        <v>1</v>
      </c>
      <c r="I394" t="inlineStr">
        <is>
          <t>东方财富</t>
        </is>
      </c>
      <c r="J394" t="inlineStr">
        <is>
          <t>东方财富</t>
        </is>
      </c>
      <c r="K394" t="inlineStr">
        <is>
          <t>not-applicable-hk</t>
        </is>
      </c>
      <c r="L394" s="32" t="n">
        <v>46263.25725433244</v>
      </c>
      <c r="M394" t="b">
        <v>1</v>
      </c>
    </row>
    <row r="395">
      <c r="A395" t="inlineStr">
        <is>
          <t>港股</t>
        </is>
      </c>
      <c r="B395" t="inlineStr">
        <is>
          <t>00034</t>
        </is>
      </c>
      <c r="C395" t="inlineStr">
        <is>
          <t>KOWLOON DEV</t>
        </is>
      </c>
      <c r="D395" t="inlineStr">
        <is>
          <t>资金流</t>
        </is>
      </c>
      <c r="E395" t="inlineStr">
        <is>
          <t>optional_missing</t>
        </is>
      </c>
      <c r="F395" t="inlineStr">
        <is>
          <t>用户选择不抓取资金流</t>
        </is>
      </c>
      <c r="G395" t="b">
        <v>0</v>
      </c>
      <c r="H395" t="b">
        <v>1</v>
      </c>
      <c r="I395" t="inlineStr">
        <is>
          <t>配置</t>
        </is>
      </c>
      <c r="J395" t="inlineStr">
        <is>
          <t>配置</t>
        </is>
      </c>
      <c r="K395" t="inlineStr">
        <is>
          <t>flow-mode-off</t>
        </is>
      </c>
      <c r="L395" s="32" t="n">
        <v>46263.25754607147</v>
      </c>
      <c r="M395" t="b">
        <v>0</v>
      </c>
    </row>
    <row r="396">
      <c r="A396" t="inlineStr">
        <is>
          <t>港股</t>
        </is>
      </c>
      <c r="B396" t="inlineStr">
        <is>
          <t>00034</t>
        </is>
      </c>
      <c r="C396" t="inlineStr">
        <is>
          <t>KOWLOON DEV</t>
        </is>
      </c>
      <c r="D396" t="inlineStr">
        <is>
          <t>市值增长率</t>
        </is>
      </c>
      <c r="E396" t="inlineStr">
        <is>
          <t>missing</t>
        </is>
      </c>
      <c r="F396" t="inlineStr">
        <is>
          <t>市值增长率：missing</t>
        </is>
      </c>
      <c r="G396" t="b">
        <v>0</v>
      </c>
      <c r="H396" t="b">
        <v>1</v>
      </c>
      <c r="M396" t="b">
        <v>0</v>
      </c>
    </row>
    <row r="397">
      <c r="A397" t="inlineStr">
        <is>
          <t>港股</t>
        </is>
      </c>
      <c r="B397" t="inlineStr">
        <is>
          <t>00034</t>
        </is>
      </c>
      <c r="C397" t="inlineStr">
        <is>
          <t>KOWLOON DEV</t>
        </is>
      </c>
      <c r="D397" t="inlineStr">
        <is>
          <t>发行价</t>
        </is>
      </c>
      <c r="E397" t="inlineStr">
        <is>
          <t>optional_missing</t>
        </is>
      </c>
      <c r="F397" t="inlineStr">
        <is>
          <t>发行价：optional_missing</t>
        </is>
      </c>
      <c r="G397" t="b">
        <v>0</v>
      </c>
      <c r="H397" t="b">
        <v>1</v>
      </c>
      <c r="M397" t="b">
        <v>0</v>
      </c>
    </row>
    <row r="398">
      <c r="A398" t="inlineStr">
        <is>
          <t>港股</t>
        </is>
      </c>
      <c r="B398" t="inlineStr">
        <is>
          <t>00034</t>
        </is>
      </c>
      <c r="C398" t="inlineStr">
        <is>
          <t>KOWLOON DEV</t>
        </is>
      </c>
      <c r="D398" t="inlineStr">
        <is>
          <t>发行股数</t>
        </is>
      </c>
      <c r="E398" t="inlineStr">
        <is>
          <t>optional_missing</t>
        </is>
      </c>
      <c r="F398" t="inlineStr">
        <is>
          <t>发行股数：optional_missing</t>
        </is>
      </c>
      <c r="G398" t="b">
        <v>0</v>
      </c>
      <c r="H398" t="b">
        <v>1</v>
      </c>
      <c r="M398" t="b">
        <v>0</v>
      </c>
    </row>
    <row r="399">
      <c r="A399" t="inlineStr">
        <is>
          <t>港股</t>
        </is>
      </c>
      <c r="B399" t="inlineStr">
        <is>
          <t>00034</t>
        </is>
      </c>
      <c r="C399" t="inlineStr">
        <is>
          <t>KOWLOON DEV</t>
        </is>
      </c>
      <c r="D399" t="inlineStr">
        <is>
          <t>发行时总市值</t>
        </is>
      </c>
      <c r="E399" t="inlineStr">
        <is>
          <t>optional_missing</t>
        </is>
      </c>
      <c r="F399" t="inlineStr">
        <is>
          <t>发行时总市值：optional_missing</t>
        </is>
      </c>
      <c r="G399" t="b">
        <v>0</v>
      </c>
      <c r="H399" t="b">
        <v>1</v>
      </c>
      <c r="M399" t="b">
        <v>0</v>
      </c>
    </row>
    <row r="400">
      <c r="A400" t="inlineStr">
        <is>
          <t>港股</t>
        </is>
      </c>
      <c r="B400" t="inlineStr">
        <is>
          <t>00034</t>
        </is>
      </c>
      <c r="C400" t="inlineStr">
        <is>
          <t>KOWLOON DEV</t>
        </is>
      </c>
      <c r="D400" t="inlineStr">
        <is>
          <t>当年累计大宗交易笔数</t>
        </is>
      </c>
      <c r="E400" t="inlineStr">
        <is>
          <t>optional_missing</t>
        </is>
      </c>
      <c r="F400" t="inlineStr">
        <is>
          <t>当年累计大宗交易笔数：optional_missing</t>
        </is>
      </c>
      <c r="G400" t="b">
        <v>0</v>
      </c>
      <c r="H400" t="b">
        <v>1</v>
      </c>
      <c r="M400" t="b">
        <v>0</v>
      </c>
    </row>
    <row r="401">
      <c r="A401" t="inlineStr">
        <is>
          <t>港股</t>
        </is>
      </c>
      <c r="B401" t="inlineStr">
        <is>
          <t>00034</t>
        </is>
      </c>
      <c r="C401" t="inlineStr">
        <is>
          <t>KOWLOON DEV</t>
        </is>
      </c>
      <c r="D401" t="inlineStr">
        <is>
          <t>当年累计大宗交易金额</t>
        </is>
      </c>
      <c r="E401" t="inlineStr">
        <is>
          <t>optional_missing</t>
        </is>
      </c>
      <c r="F401" t="inlineStr">
        <is>
          <t>当年累计大宗交易金额：optional_missing</t>
        </is>
      </c>
      <c r="G401" t="b">
        <v>0</v>
      </c>
      <c r="H401" t="b">
        <v>1</v>
      </c>
      <c r="M401" t="b">
        <v>0</v>
      </c>
    </row>
    <row r="402">
      <c r="A402" t="inlineStr">
        <is>
          <t>港股</t>
        </is>
      </c>
      <c r="B402" t="inlineStr">
        <is>
          <t>00034</t>
        </is>
      </c>
      <c r="C402" t="inlineStr">
        <is>
          <t>KOWLOON DEV</t>
        </is>
      </c>
      <c r="D402" t="inlineStr">
        <is>
          <t>近五个交易日资金净额</t>
        </is>
      </c>
      <c r="E402" t="inlineStr">
        <is>
          <t>optional_missing</t>
        </is>
      </c>
      <c r="F402" t="inlineStr">
        <is>
          <t>近五个交易日资金净额：optional_missing</t>
        </is>
      </c>
      <c r="G402" t="b">
        <v>0</v>
      </c>
      <c r="H402" t="b">
        <v>1</v>
      </c>
      <c r="M402" t="b">
        <v>0</v>
      </c>
    </row>
    <row r="403">
      <c r="A403" t="inlineStr">
        <is>
          <t>港股</t>
        </is>
      </c>
      <c r="B403" t="inlineStr">
        <is>
          <t>00034</t>
        </is>
      </c>
      <c r="C403" t="inlineStr">
        <is>
          <t>KOWLOON DEV</t>
        </is>
      </c>
      <c r="D403" t="inlineStr">
        <is>
          <t>近一月资金净额（最近22个交易日）</t>
        </is>
      </c>
      <c r="E403" t="inlineStr">
        <is>
          <t>optional_missing</t>
        </is>
      </c>
      <c r="F403" t="inlineStr">
        <is>
          <t>近一月资金净额（最近22个交易日）：optional_missing</t>
        </is>
      </c>
      <c r="G403" t="b">
        <v>0</v>
      </c>
      <c r="H403" t="b">
        <v>1</v>
      </c>
      <c r="M403" t="b">
        <v>0</v>
      </c>
    </row>
    <row r="404">
      <c r="A404" t="inlineStr">
        <is>
          <t>A股</t>
        </is>
      </c>
      <c r="B404" t="inlineStr">
        <is>
          <t>000048</t>
        </is>
      </c>
      <c r="C404" t="inlineStr">
        <is>
          <t>京基智农</t>
        </is>
      </c>
      <c r="D404" t="inlineStr">
        <is>
          <t>资金流</t>
        </is>
      </c>
      <c r="E404" t="inlineStr">
        <is>
          <t>optional_missing</t>
        </is>
      </c>
      <c r="F404" t="inlineStr">
        <is>
          <t>用户选择不抓取资金流</t>
        </is>
      </c>
      <c r="G404" t="b">
        <v>0</v>
      </c>
      <c r="H404" t="b">
        <v>1</v>
      </c>
      <c r="I404" t="inlineStr">
        <is>
          <t>配置</t>
        </is>
      </c>
      <c r="J404" t="inlineStr">
        <is>
          <t>配置</t>
        </is>
      </c>
      <c r="K404" t="inlineStr">
        <is>
          <t>flow-mode-off</t>
        </is>
      </c>
      <c r="L404" s="32" t="n">
        <v>46263.25754607147</v>
      </c>
      <c r="M404" t="b">
        <v>0</v>
      </c>
    </row>
    <row r="405">
      <c r="A405" t="inlineStr">
        <is>
          <t>A股</t>
        </is>
      </c>
      <c r="B405" t="inlineStr">
        <is>
          <t>000048</t>
        </is>
      </c>
      <c r="C405" t="inlineStr">
        <is>
          <t>京基智农</t>
        </is>
      </c>
      <c r="D405" t="inlineStr">
        <is>
          <t>近五个交易日资金净额</t>
        </is>
      </c>
      <c r="E405" t="inlineStr">
        <is>
          <t>optional_missing</t>
        </is>
      </c>
      <c r="F405" t="inlineStr">
        <is>
          <t>近五个交易日资金净额：optional_missing</t>
        </is>
      </c>
      <c r="G405" t="b">
        <v>0</v>
      </c>
      <c r="H405" t="b">
        <v>1</v>
      </c>
      <c r="M405" t="b">
        <v>0</v>
      </c>
    </row>
    <row r="406">
      <c r="A406" t="inlineStr">
        <is>
          <t>A股</t>
        </is>
      </c>
      <c r="B406" t="inlineStr">
        <is>
          <t>000048</t>
        </is>
      </c>
      <c r="C406" t="inlineStr">
        <is>
          <t>京基智农</t>
        </is>
      </c>
      <c r="D406" t="inlineStr">
        <is>
          <t>近一月资金净额（最近22个交易日）</t>
        </is>
      </c>
      <c r="E406" t="inlineStr">
        <is>
          <t>optional_missing</t>
        </is>
      </c>
      <c r="F406" t="inlineStr">
        <is>
          <t>近一月资金净额（最近22个交易日）：optional_missing</t>
        </is>
      </c>
      <c r="G406" t="b">
        <v>0</v>
      </c>
      <c r="H406" t="b">
        <v>1</v>
      </c>
      <c r="M406" t="b">
        <v>0</v>
      </c>
    </row>
    <row r="407">
      <c r="A407" t="inlineStr">
        <is>
          <t>港股</t>
        </is>
      </c>
      <c r="B407" t="inlineStr">
        <is>
          <t>00035</t>
        </is>
      </c>
      <c r="C407" t="inlineStr">
        <is>
          <t>FE CONSORT INTL</t>
        </is>
      </c>
      <c r="D407" t="inlineStr">
        <is>
          <t>大宗交易</t>
        </is>
      </c>
      <c r="E407" t="inlineStr">
        <is>
          <t>optional_missing</t>
        </is>
      </c>
      <c r="F407" t="inlineStr">
        <is>
          <t>港股大宗交易按允许缺失规则留空</t>
        </is>
      </c>
      <c r="G407" t="b">
        <v>0</v>
      </c>
      <c r="H407" t="b">
        <v>1</v>
      </c>
      <c r="I407" t="inlineStr">
        <is>
          <t>东方财富</t>
        </is>
      </c>
      <c r="J407" t="inlineStr">
        <is>
          <t>东方财富</t>
        </is>
      </c>
      <c r="K407" t="inlineStr">
        <is>
          <t>not-applicable-hk</t>
        </is>
      </c>
      <c r="L407" s="32" t="n">
        <v>46263.25725433244</v>
      </c>
      <c r="M407" t="b">
        <v>1</v>
      </c>
    </row>
    <row r="408">
      <c r="A408" t="inlineStr">
        <is>
          <t>港股</t>
        </is>
      </c>
      <c r="B408" t="inlineStr">
        <is>
          <t>00035</t>
        </is>
      </c>
      <c r="C408" t="inlineStr">
        <is>
          <t>FE CONSORT INTL</t>
        </is>
      </c>
      <c r="D408" t="inlineStr">
        <is>
          <t>资金流</t>
        </is>
      </c>
      <c r="E408" t="inlineStr">
        <is>
          <t>optional_missing</t>
        </is>
      </c>
      <c r="F408" t="inlineStr">
        <is>
          <t>用户选择不抓取资金流</t>
        </is>
      </c>
      <c r="G408" t="b">
        <v>0</v>
      </c>
      <c r="H408" t="b">
        <v>1</v>
      </c>
      <c r="I408" t="inlineStr">
        <is>
          <t>配置</t>
        </is>
      </c>
      <c r="J408" t="inlineStr">
        <is>
          <t>配置</t>
        </is>
      </c>
      <c r="K408" t="inlineStr">
        <is>
          <t>flow-mode-off</t>
        </is>
      </c>
      <c r="L408" s="32" t="n">
        <v>46263.25754607147</v>
      </c>
      <c r="M408" t="b">
        <v>0</v>
      </c>
    </row>
    <row r="409">
      <c r="A409" t="inlineStr">
        <is>
          <t>港股</t>
        </is>
      </c>
      <c r="B409" t="inlineStr">
        <is>
          <t>00035</t>
        </is>
      </c>
      <c r="C409" t="inlineStr">
        <is>
          <t>FE CONSORT INTL</t>
        </is>
      </c>
      <c r="D409" t="inlineStr">
        <is>
          <t>市值增长率</t>
        </is>
      </c>
      <c r="E409" t="inlineStr">
        <is>
          <t>missing</t>
        </is>
      </c>
      <c r="F409" t="inlineStr">
        <is>
          <t>市值增长率：missing</t>
        </is>
      </c>
      <c r="G409" t="b">
        <v>0</v>
      </c>
      <c r="H409" t="b">
        <v>1</v>
      </c>
      <c r="M409" t="b">
        <v>0</v>
      </c>
    </row>
    <row r="410">
      <c r="A410" t="inlineStr">
        <is>
          <t>港股</t>
        </is>
      </c>
      <c r="B410" t="inlineStr">
        <is>
          <t>00035</t>
        </is>
      </c>
      <c r="C410" t="inlineStr">
        <is>
          <t>FE CONSORT INTL</t>
        </is>
      </c>
      <c r="D410" t="inlineStr">
        <is>
          <t>发行价</t>
        </is>
      </c>
      <c r="E410" t="inlineStr">
        <is>
          <t>optional_missing</t>
        </is>
      </c>
      <c r="F410" t="inlineStr">
        <is>
          <t>发行价：optional_missing</t>
        </is>
      </c>
      <c r="G410" t="b">
        <v>0</v>
      </c>
      <c r="H410" t="b">
        <v>1</v>
      </c>
      <c r="M410" t="b">
        <v>0</v>
      </c>
    </row>
    <row r="411">
      <c r="A411" t="inlineStr">
        <is>
          <t>港股</t>
        </is>
      </c>
      <c r="B411" t="inlineStr">
        <is>
          <t>00035</t>
        </is>
      </c>
      <c r="C411" t="inlineStr">
        <is>
          <t>FE CONSORT INTL</t>
        </is>
      </c>
      <c r="D411" t="inlineStr">
        <is>
          <t>发行股数</t>
        </is>
      </c>
      <c r="E411" t="inlineStr">
        <is>
          <t>optional_missing</t>
        </is>
      </c>
      <c r="F411" t="inlineStr">
        <is>
          <t>发行股数：optional_missing</t>
        </is>
      </c>
      <c r="G411" t="b">
        <v>0</v>
      </c>
      <c r="H411" t="b">
        <v>1</v>
      </c>
      <c r="M411" t="b">
        <v>0</v>
      </c>
    </row>
    <row r="412">
      <c r="A412" t="inlineStr">
        <is>
          <t>港股</t>
        </is>
      </c>
      <c r="B412" t="inlineStr">
        <is>
          <t>00035</t>
        </is>
      </c>
      <c r="C412" t="inlineStr">
        <is>
          <t>FE CONSORT INTL</t>
        </is>
      </c>
      <c r="D412" t="inlineStr">
        <is>
          <t>发行时总市值</t>
        </is>
      </c>
      <c r="E412" t="inlineStr">
        <is>
          <t>optional_missing</t>
        </is>
      </c>
      <c r="F412" t="inlineStr">
        <is>
          <t>发行时总市值：optional_missing</t>
        </is>
      </c>
      <c r="G412" t="b">
        <v>0</v>
      </c>
      <c r="H412" t="b">
        <v>1</v>
      </c>
      <c r="M412" t="b">
        <v>0</v>
      </c>
    </row>
    <row r="413">
      <c r="A413" t="inlineStr">
        <is>
          <t>港股</t>
        </is>
      </c>
      <c r="B413" t="inlineStr">
        <is>
          <t>00035</t>
        </is>
      </c>
      <c r="C413" t="inlineStr">
        <is>
          <t>FE CONSORT INTL</t>
        </is>
      </c>
      <c r="D413" t="inlineStr">
        <is>
          <t>当年累计大宗交易笔数</t>
        </is>
      </c>
      <c r="E413" t="inlineStr">
        <is>
          <t>optional_missing</t>
        </is>
      </c>
      <c r="F413" t="inlineStr">
        <is>
          <t>当年累计大宗交易笔数：optional_missing</t>
        </is>
      </c>
      <c r="G413" t="b">
        <v>0</v>
      </c>
      <c r="H413" t="b">
        <v>1</v>
      </c>
      <c r="M413" t="b">
        <v>0</v>
      </c>
    </row>
    <row r="414">
      <c r="A414" t="inlineStr">
        <is>
          <t>港股</t>
        </is>
      </c>
      <c r="B414" t="inlineStr">
        <is>
          <t>00035</t>
        </is>
      </c>
      <c r="C414" t="inlineStr">
        <is>
          <t>FE CONSORT INTL</t>
        </is>
      </c>
      <c r="D414" t="inlineStr">
        <is>
          <t>当年累计大宗交易金额</t>
        </is>
      </c>
      <c r="E414" t="inlineStr">
        <is>
          <t>optional_missing</t>
        </is>
      </c>
      <c r="F414" t="inlineStr">
        <is>
          <t>当年累计大宗交易金额：optional_missing</t>
        </is>
      </c>
      <c r="G414" t="b">
        <v>0</v>
      </c>
      <c r="H414" t="b">
        <v>1</v>
      </c>
      <c r="M414" t="b">
        <v>0</v>
      </c>
    </row>
    <row r="415">
      <c r="A415" t="inlineStr">
        <is>
          <t>港股</t>
        </is>
      </c>
      <c r="B415" t="inlineStr">
        <is>
          <t>00035</t>
        </is>
      </c>
      <c r="C415" t="inlineStr">
        <is>
          <t>FE CONSORT INTL</t>
        </is>
      </c>
      <c r="D415" t="inlineStr">
        <is>
          <t>近五个交易日资金净额</t>
        </is>
      </c>
      <c r="E415" t="inlineStr">
        <is>
          <t>optional_missing</t>
        </is>
      </c>
      <c r="F415" t="inlineStr">
        <is>
          <t>近五个交易日资金净额：optional_missing</t>
        </is>
      </c>
      <c r="G415" t="b">
        <v>0</v>
      </c>
      <c r="H415" t="b">
        <v>1</v>
      </c>
      <c r="M415" t="b">
        <v>0</v>
      </c>
    </row>
    <row r="416">
      <c r="A416" t="inlineStr">
        <is>
          <t>港股</t>
        </is>
      </c>
      <c r="B416" t="inlineStr">
        <is>
          <t>00035</t>
        </is>
      </c>
      <c r="C416" t="inlineStr">
        <is>
          <t>FE CONSORT INTL</t>
        </is>
      </c>
      <c r="D416" t="inlineStr">
        <is>
          <t>近一月资金净额（最近22个交易日）</t>
        </is>
      </c>
      <c r="E416" t="inlineStr">
        <is>
          <t>optional_missing</t>
        </is>
      </c>
      <c r="F416" t="inlineStr">
        <is>
          <t>近一月资金净额（最近22个交易日）：optional_missing</t>
        </is>
      </c>
      <c r="G416" t="b">
        <v>0</v>
      </c>
      <c r="H416" t="b">
        <v>1</v>
      </c>
      <c r="M416" t="b">
        <v>0</v>
      </c>
    </row>
    <row r="417">
      <c r="A417" t="inlineStr">
        <is>
          <t>A股</t>
        </is>
      </c>
      <c r="B417" t="inlineStr">
        <is>
          <t>000049</t>
        </is>
      </c>
      <c r="C417" t="inlineStr">
        <is>
          <t>德赛电池</t>
        </is>
      </c>
      <c r="D417" t="inlineStr">
        <is>
          <t>资金流</t>
        </is>
      </c>
      <c r="E417" t="inlineStr">
        <is>
          <t>optional_missing</t>
        </is>
      </c>
      <c r="F417" t="inlineStr">
        <is>
          <t>用户选择不抓取资金流</t>
        </is>
      </c>
      <c r="G417" t="b">
        <v>0</v>
      </c>
      <c r="H417" t="b">
        <v>1</v>
      </c>
      <c r="I417" t="inlineStr">
        <is>
          <t>配置</t>
        </is>
      </c>
      <c r="J417" t="inlineStr">
        <is>
          <t>配置</t>
        </is>
      </c>
      <c r="K417" t="inlineStr">
        <is>
          <t>flow-mode-off</t>
        </is>
      </c>
      <c r="L417" s="32" t="n">
        <v>46263.25754607147</v>
      </c>
      <c r="M417" t="b">
        <v>0</v>
      </c>
    </row>
    <row r="418">
      <c r="A418" t="inlineStr">
        <is>
          <t>A股</t>
        </is>
      </c>
      <c r="B418" t="inlineStr">
        <is>
          <t>000049</t>
        </is>
      </c>
      <c r="C418" t="inlineStr">
        <is>
          <t>德赛电池</t>
        </is>
      </c>
      <c r="D418" t="inlineStr">
        <is>
          <t>近五个交易日资金净额</t>
        </is>
      </c>
      <c r="E418" t="inlineStr">
        <is>
          <t>optional_missing</t>
        </is>
      </c>
      <c r="F418" t="inlineStr">
        <is>
          <t>近五个交易日资金净额：optional_missing</t>
        </is>
      </c>
      <c r="G418" t="b">
        <v>0</v>
      </c>
      <c r="H418" t="b">
        <v>1</v>
      </c>
      <c r="M418" t="b">
        <v>0</v>
      </c>
    </row>
    <row r="419">
      <c r="A419" t="inlineStr">
        <is>
          <t>A股</t>
        </is>
      </c>
      <c r="B419" t="inlineStr">
        <is>
          <t>000049</t>
        </is>
      </c>
      <c r="C419" t="inlineStr">
        <is>
          <t>德赛电池</t>
        </is>
      </c>
      <c r="D419" t="inlineStr">
        <is>
          <t>近一月资金净额（最近22个交易日）</t>
        </is>
      </c>
      <c r="E419" t="inlineStr">
        <is>
          <t>optional_missing</t>
        </is>
      </c>
      <c r="F419" t="inlineStr">
        <is>
          <t>近一月资金净额（最近22个交易日）：optional_missing</t>
        </is>
      </c>
      <c r="G419" t="b">
        <v>0</v>
      </c>
      <c r="H419" t="b">
        <v>1</v>
      </c>
      <c r="M419" t="b">
        <v>0</v>
      </c>
    </row>
    <row r="420">
      <c r="A420" t="inlineStr">
        <is>
          <t>港股</t>
        </is>
      </c>
      <c r="B420" t="inlineStr">
        <is>
          <t>00036</t>
        </is>
      </c>
      <c r="C420" t="inlineStr">
        <is>
          <t>FE HLDGS INTL</t>
        </is>
      </c>
      <c r="D420" t="inlineStr">
        <is>
          <t>大宗交易</t>
        </is>
      </c>
      <c r="E420" t="inlineStr">
        <is>
          <t>optional_missing</t>
        </is>
      </c>
      <c r="F420" t="inlineStr">
        <is>
          <t>港股大宗交易按允许缺失规则留空</t>
        </is>
      </c>
      <c r="G420" t="b">
        <v>0</v>
      </c>
      <c r="H420" t="b">
        <v>1</v>
      </c>
      <c r="I420" t="inlineStr">
        <is>
          <t>东方财富</t>
        </is>
      </c>
      <c r="J420" t="inlineStr">
        <is>
          <t>东方财富</t>
        </is>
      </c>
      <c r="K420" t="inlineStr">
        <is>
          <t>not-applicable-hk</t>
        </is>
      </c>
      <c r="L420" s="32" t="n">
        <v>46263.25725433244</v>
      </c>
      <c r="M420" t="b">
        <v>1</v>
      </c>
    </row>
    <row r="421">
      <c r="A421" t="inlineStr">
        <is>
          <t>港股</t>
        </is>
      </c>
      <c r="B421" t="inlineStr">
        <is>
          <t>00036</t>
        </is>
      </c>
      <c r="C421" t="inlineStr">
        <is>
          <t>FE HLDGS INTL</t>
        </is>
      </c>
      <c r="D421" t="inlineStr">
        <is>
          <t>资金流</t>
        </is>
      </c>
      <c r="E421" t="inlineStr">
        <is>
          <t>optional_missing</t>
        </is>
      </c>
      <c r="F421" t="inlineStr">
        <is>
          <t>用户选择不抓取资金流</t>
        </is>
      </c>
      <c r="G421" t="b">
        <v>0</v>
      </c>
      <c r="H421" t="b">
        <v>1</v>
      </c>
      <c r="I421" t="inlineStr">
        <is>
          <t>配置</t>
        </is>
      </c>
      <c r="J421" t="inlineStr">
        <is>
          <t>配置</t>
        </is>
      </c>
      <c r="K421" t="inlineStr">
        <is>
          <t>flow-mode-off</t>
        </is>
      </c>
      <c r="L421" s="32" t="n">
        <v>46263.25754607147</v>
      </c>
      <c r="M421" t="b">
        <v>0</v>
      </c>
    </row>
    <row r="422">
      <c r="A422" t="inlineStr">
        <is>
          <t>港股</t>
        </is>
      </c>
      <c r="B422" t="inlineStr">
        <is>
          <t>00036</t>
        </is>
      </c>
      <c r="C422" t="inlineStr">
        <is>
          <t>FE HLDGS INTL</t>
        </is>
      </c>
      <c r="D422" t="inlineStr">
        <is>
          <t>市值增长率</t>
        </is>
      </c>
      <c r="E422" t="inlineStr">
        <is>
          <t>missing</t>
        </is>
      </c>
      <c r="F422" t="inlineStr">
        <is>
          <t>市值增长率：missing</t>
        </is>
      </c>
      <c r="G422" t="b">
        <v>0</v>
      </c>
      <c r="H422" t="b">
        <v>1</v>
      </c>
      <c r="M422" t="b">
        <v>0</v>
      </c>
    </row>
    <row r="423">
      <c r="A423" t="inlineStr">
        <is>
          <t>港股</t>
        </is>
      </c>
      <c r="B423" t="inlineStr">
        <is>
          <t>00036</t>
        </is>
      </c>
      <c r="C423" t="inlineStr">
        <is>
          <t>FE HLDGS INTL</t>
        </is>
      </c>
      <c r="D423" t="inlineStr">
        <is>
          <t>最新价</t>
        </is>
      </c>
      <c r="E423" t="inlineStr">
        <is>
          <t>missing</t>
        </is>
      </c>
      <c r="F423" t="inlineStr">
        <is>
          <t>最新价：missing</t>
        </is>
      </c>
      <c r="G423" t="b">
        <v>0</v>
      </c>
      <c r="H423" t="b">
        <v>0</v>
      </c>
      <c r="M423" t="b">
        <v>0</v>
      </c>
    </row>
    <row r="424">
      <c r="A424" t="inlineStr">
        <is>
          <t>港股</t>
        </is>
      </c>
      <c r="B424" t="inlineStr">
        <is>
          <t>00036</t>
        </is>
      </c>
      <c r="C424" t="inlineStr">
        <is>
          <t>FE HLDGS INTL</t>
        </is>
      </c>
      <c r="D424" t="inlineStr">
        <is>
          <t>发行价</t>
        </is>
      </c>
      <c r="E424" t="inlineStr">
        <is>
          <t>optional_missing</t>
        </is>
      </c>
      <c r="F424" t="inlineStr">
        <is>
          <t>发行价：optional_missing</t>
        </is>
      </c>
      <c r="G424" t="b">
        <v>0</v>
      </c>
      <c r="H424" t="b">
        <v>1</v>
      </c>
      <c r="M424" t="b">
        <v>0</v>
      </c>
    </row>
    <row r="425">
      <c r="A425" t="inlineStr">
        <is>
          <t>港股</t>
        </is>
      </c>
      <c r="B425" t="inlineStr">
        <is>
          <t>00036</t>
        </is>
      </c>
      <c r="C425" t="inlineStr">
        <is>
          <t>FE HLDGS INTL</t>
        </is>
      </c>
      <c r="D425" t="inlineStr">
        <is>
          <t>发行股数</t>
        </is>
      </c>
      <c r="E425" t="inlineStr">
        <is>
          <t>optional_missing</t>
        </is>
      </c>
      <c r="F425" t="inlineStr">
        <is>
          <t>发行股数：optional_missing</t>
        </is>
      </c>
      <c r="G425" t="b">
        <v>0</v>
      </c>
      <c r="H425" t="b">
        <v>1</v>
      </c>
      <c r="M425" t="b">
        <v>0</v>
      </c>
    </row>
    <row r="426">
      <c r="A426" t="inlineStr">
        <is>
          <t>港股</t>
        </is>
      </c>
      <c r="B426" t="inlineStr">
        <is>
          <t>00036</t>
        </is>
      </c>
      <c r="C426" t="inlineStr">
        <is>
          <t>FE HLDGS INTL</t>
        </is>
      </c>
      <c r="D426" t="inlineStr">
        <is>
          <t>发行时总市值</t>
        </is>
      </c>
      <c r="E426" t="inlineStr">
        <is>
          <t>optional_missing</t>
        </is>
      </c>
      <c r="F426" t="inlineStr">
        <is>
          <t>发行时总市值：optional_missing</t>
        </is>
      </c>
      <c r="G426" t="b">
        <v>0</v>
      </c>
      <c r="H426" t="b">
        <v>1</v>
      </c>
      <c r="M426" t="b">
        <v>0</v>
      </c>
    </row>
    <row r="427">
      <c r="A427" t="inlineStr">
        <is>
          <t>港股</t>
        </is>
      </c>
      <c r="B427" t="inlineStr">
        <is>
          <t>00036</t>
        </is>
      </c>
      <c r="C427" t="inlineStr">
        <is>
          <t>FE HLDGS INTL</t>
        </is>
      </c>
      <c r="D427" t="inlineStr">
        <is>
          <t>当年累计大宗交易笔数</t>
        </is>
      </c>
      <c r="E427" t="inlineStr">
        <is>
          <t>optional_missing</t>
        </is>
      </c>
      <c r="F427" t="inlineStr">
        <is>
          <t>当年累计大宗交易笔数：optional_missing</t>
        </is>
      </c>
      <c r="G427" t="b">
        <v>0</v>
      </c>
      <c r="H427" t="b">
        <v>1</v>
      </c>
      <c r="M427" t="b">
        <v>0</v>
      </c>
    </row>
    <row r="428">
      <c r="A428" t="inlineStr">
        <is>
          <t>港股</t>
        </is>
      </c>
      <c r="B428" t="inlineStr">
        <is>
          <t>00036</t>
        </is>
      </c>
      <c r="C428" t="inlineStr">
        <is>
          <t>FE HLDGS INTL</t>
        </is>
      </c>
      <c r="D428" t="inlineStr">
        <is>
          <t>当年累计大宗交易金额</t>
        </is>
      </c>
      <c r="E428" t="inlineStr">
        <is>
          <t>optional_missing</t>
        </is>
      </c>
      <c r="F428" t="inlineStr">
        <is>
          <t>当年累计大宗交易金额：optional_missing</t>
        </is>
      </c>
      <c r="G428" t="b">
        <v>0</v>
      </c>
      <c r="H428" t="b">
        <v>1</v>
      </c>
      <c r="M428" t="b">
        <v>0</v>
      </c>
    </row>
    <row r="429">
      <c r="A429" t="inlineStr">
        <is>
          <t>港股</t>
        </is>
      </c>
      <c r="B429" t="inlineStr">
        <is>
          <t>00036</t>
        </is>
      </c>
      <c r="C429" t="inlineStr">
        <is>
          <t>FE HLDGS INTL</t>
        </is>
      </c>
      <c r="D429" t="inlineStr">
        <is>
          <t>近五个交易日资金净额</t>
        </is>
      </c>
      <c r="E429" t="inlineStr">
        <is>
          <t>optional_missing</t>
        </is>
      </c>
      <c r="F429" t="inlineStr">
        <is>
          <t>近五个交易日资金净额：optional_missing</t>
        </is>
      </c>
      <c r="G429" t="b">
        <v>0</v>
      </c>
      <c r="H429" t="b">
        <v>1</v>
      </c>
      <c r="M429" t="b">
        <v>0</v>
      </c>
    </row>
    <row r="430">
      <c r="A430" t="inlineStr">
        <is>
          <t>港股</t>
        </is>
      </c>
      <c r="B430" t="inlineStr">
        <is>
          <t>00036</t>
        </is>
      </c>
      <c r="C430" t="inlineStr">
        <is>
          <t>FE HLDGS INTL</t>
        </is>
      </c>
      <c r="D430" t="inlineStr">
        <is>
          <t>近一月资金净额（最近22个交易日）</t>
        </is>
      </c>
      <c r="E430" t="inlineStr">
        <is>
          <t>optional_missing</t>
        </is>
      </c>
      <c r="F430" t="inlineStr">
        <is>
          <t>近一月资金净额（最近22个交易日）：optional_missing</t>
        </is>
      </c>
      <c r="G430" t="b">
        <v>0</v>
      </c>
      <c r="H430" t="b">
        <v>1</v>
      </c>
      <c r="M430" t="b">
        <v>0</v>
      </c>
    </row>
    <row r="431">
      <c r="A431" t="inlineStr">
        <is>
          <t>A股</t>
        </is>
      </c>
      <c r="B431" t="inlineStr">
        <is>
          <t>000050</t>
        </is>
      </c>
      <c r="C431" t="inlineStr">
        <is>
          <t>深天马Ａ</t>
        </is>
      </c>
      <c r="D431" t="inlineStr">
        <is>
          <t>资金流</t>
        </is>
      </c>
      <c r="E431" t="inlineStr">
        <is>
          <t>optional_missing</t>
        </is>
      </c>
      <c r="F431" t="inlineStr">
        <is>
          <t>用户选择不抓取资金流</t>
        </is>
      </c>
      <c r="G431" t="b">
        <v>0</v>
      </c>
      <c r="H431" t="b">
        <v>1</v>
      </c>
      <c r="I431" t="inlineStr">
        <is>
          <t>配置</t>
        </is>
      </c>
      <c r="J431" t="inlineStr">
        <is>
          <t>配置</t>
        </is>
      </c>
      <c r="K431" t="inlineStr">
        <is>
          <t>flow-mode-off</t>
        </is>
      </c>
      <c r="L431" s="32" t="n">
        <v>46263.25754607147</v>
      </c>
      <c r="M431" t="b">
        <v>0</v>
      </c>
    </row>
    <row r="432">
      <c r="A432" t="inlineStr">
        <is>
          <t>A股</t>
        </is>
      </c>
      <c r="B432" t="inlineStr">
        <is>
          <t>000050</t>
        </is>
      </c>
      <c r="C432" t="inlineStr">
        <is>
          <t>深天马Ａ</t>
        </is>
      </c>
      <c r="D432" t="inlineStr">
        <is>
          <t>近五个交易日资金净额</t>
        </is>
      </c>
      <c r="E432" t="inlineStr">
        <is>
          <t>optional_missing</t>
        </is>
      </c>
      <c r="F432" t="inlineStr">
        <is>
          <t>近五个交易日资金净额：optional_missing</t>
        </is>
      </c>
      <c r="G432" t="b">
        <v>0</v>
      </c>
      <c r="H432" t="b">
        <v>1</v>
      </c>
      <c r="M432" t="b">
        <v>0</v>
      </c>
    </row>
    <row r="433">
      <c r="A433" t="inlineStr">
        <is>
          <t>A股</t>
        </is>
      </c>
      <c r="B433" t="inlineStr">
        <is>
          <t>000050</t>
        </is>
      </c>
      <c r="C433" t="inlineStr">
        <is>
          <t>深天马Ａ</t>
        </is>
      </c>
      <c r="D433" t="inlineStr">
        <is>
          <t>近一月资金净额（最近22个交易日）</t>
        </is>
      </c>
      <c r="E433" t="inlineStr">
        <is>
          <t>optional_missing</t>
        </is>
      </c>
      <c r="F433" t="inlineStr">
        <is>
          <t>近一月资金净额（最近22个交易日）：optional_missing</t>
        </is>
      </c>
      <c r="G433" t="b">
        <v>0</v>
      </c>
      <c r="H433" t="b">
        <v>1</v>
      </c>
      <c r="M433" t="b">
        <v>0</v>
      </c>
    </row>
    <row r="434">
      <c r="A434" t="inlineStr">
        <is>
          <t>港股</t>
        </is>
      </c>
      <c r="B434" t="inlineStr">
        <is>
          <t>00037</t>
        </is>
      </c>
      <c r="C434" t="inlineStr">
        <is>
          <t>FE HOTELS</t>
        </is>
      </c>
      <c r="D434" t="inlineStr">
        <is>
          <t>大宗交易</t>
        </is>
      </c>
      <c r="E434" t="inlineStr">
        <is>
          <t>optional_missing</t>
        </is>
      </c>
      <c r="F434" t="inlineStr">
        <is>
          <t>港股大宗交易按允许缺失规则留空</t>
        </is>
      </c>
      <c r="G434" t="b">
        <v>0</v>
      </c>
      <c r="H434" t="b">
        <v>1</v>
      </c>
      <c r="I434" t="inlineStr">
        <is>
          <t>东方财富</t>
        </is>
      </c>
      <c r="J434" t="inlineStr">
        <is>
          <t>东方财富</t>
        </is>
      </c>
      <c r="K434" t="inlineStr">
        <is>
          <t>not-applicable-hk</t>
        </is>
      </c>
      <c r="L434" s="32" t="n">
        <v>46263.25725433244</v>
      </c>
      <c r="M434" t="b">
        <v>1</v>
      </c>
    </row>
    <row r="435">
      <c r="A435" t="inlineStr">
        <is>
          <t>港股</t>
        </is>
      </c>
      <c r="B435" t="inlineStr">
        <is>
          <t>00037</t>
        </is>
      </c>
      <c r="C435" t="inlineStr">
        <is>
          <t>FE HOTELS</t>
        </is>
      </c>
      <c r="D435" t="inlineStr">
        <is>
          <t>资金流</t>
        </is>
      </c>
      <c r="E435" t="inlineStr">
        <is>
          <t>optional_missing</t>
        </is>
      </c>
      <c r="F435" t="inlineStr">
        <is>
          <t>用户选择不抓取资金流</t>
        </is>
      </c>
      <c r="G435" t="b">
        <v>0</v>
      </c>
      <c r="H435" t="b">
        <v>1</v>
      </c>
      <c r="I435" t="inlineStr">
        <is>
          <t>配置</t>
        </is>
      </c>
      <c r="J435" t="inlineStr">
        <is>
          <t>配置</t>
        </is>
      </c>
      <c r="K435" t="inlineStr">
        <is>
          <t>flow-mode-off</t>
        </is>
      </c>
      <c r="L435" s="32" t="n">
        <v>46263.25754607147</v>
      </c>
      <c r="M435" t="b">
        <v>0</v>
      </c>
    </row>
    <row r="436">
      <c r="A436" t="inlineStr">
        <is>
          <t>港股</t>
        </is>
      </c>
      <c r="B436" t="inlineStr">
        <is>
          <t>00037</t>
        </is>
      </c>
      <c r="C436" t="inlineStr">
        <is>
          <t>FE HOTELS</t>
        </is>
      </c>
      <c r="D436" t="inlineStr">
        <is>
          <t>市值增长率</t>
        </is>
      </c>
      <c r="E436" t="inlineStr">
        <is>
          <t>missing</t>
        </is>
      </c>
      <c r="F436" t="inlineStr">
        <is>
          <t>市值增长率：missing</t>
        </is>
      </c>
      <c r="G436" t="b">
        <v>0</v>
      </c>
      <c r="H436" t="b">
        <v>1</v>
      </c>
      <c r="M436" t="b">
        <v>0</v>
      </c>
    </row>
    <row r="437">
      <c r="A437" t="inlineStr">
        <is>
          <t>港股</t>
        </is>
      </c>
      <c r="B437" t="inlineStr">
        <is>
          <t>00037</t>
        </is>
      </c>
      <c r="C437" t="inlineStr">
        <is>
          <t>FE HOTELS</t>
        </is>
      </c>
      <c r="D437" t="inlineStr">
        <is>
          <t>发行价</t>
        </is>
      </c>
      <c r="E437" t="inlineStr">
        <is>
          <t>optional_missing</t>
        </is>
      </c>
      <c r="F437" t="inlineStr">
        <is>
          <t>发行价：optional_missing</t>
        </is>
      </c>
      <c r="G437" t="b">
        <v>0</v>
      </c>
      <c r="H437" t="b">
        <v>1</v>
      </c>
      <c r="M437" t="b">
        <v>0</v>
      </c>
    </row>
    <row r="438">
      <c r="A438" t="inlineStr">
        <is>
          <t>港股</t>
        </is>
      </c>
      <c r="B438" t="inlineStr">
        <is>
          <t>00037</t>
        </is>
      </c>
      <c r="C438" t="inlineStr">
        <is>
          <t>FE HOTELS</t>
        </is>
      </c>
      <c r="D438" t="inlineStr">
        <is>
          <t>发行股数</t>
        </is>
      </c>
      <c r="E438" t="inlineStr">
        <is>
          <t>optional_missing</t>
        </is>
      </c>
      <c r="F438" t="inlineStr">
        <is>
          <t>发行股数：optional_missing</t>
        </is>
      </c>
      <c r="G438" t="b">
        <v>0</v>
      </c>
      <c r="H438" t="b">
        <v>1</v>
      </c>
      <c r="M438" t="b">
        <v>0</v>
      </c>
    </row>
    <row r="439">
      <c r="A439" t="inlineStr">
        <is>
          <t>港股</t>
        </is>
      </c>
      <c r="B439" t="inlineStr">
        <is>
          <t>00037</t>
        </is>
      </c>
      <c r="C439" t="inlineStr">
        <is>
          <t>FE HOTELS</t>
        </is>
      </c>
      <c r="D439" t="inlineStr">
        <is>
          <t>发行时总市值</t>
        </is>
      </c>
      <c r="E439" t="inlineStr">
        <is>
          <t>optional_missing</t>
        </is>
      </c>
      <c r="F439" t="inlineStr">
        <is>
          <t>发行时总市值：optional_missing</t>
        </is>
      </c>
      <c r="G439" t="b">
        <v>0</v>
      </c>
      <c r="H439" t="b">
        <v>1</v>
      </c>
      <c r="M439" t="b">
        <v>0</v>
      </c>
    </row>
    <row r="440">
      <c r="A440" t="inlineStr">
        <is>
          <t>港股</t>
        </is>
      </c>
      <c r="B440" t="inlineStr">
        <is>
          <t>00037</t>
        </is>
      </c>
      <c r="C440" t="inlineStr">
        <is>
          <t>FE HOTELS</t>
        </is>
      </c>
      <c r="D440" t="inlineStr">
        <is>
          <t>当年累计大宗交易笔数</t>
        </is>
      </c>
      <c r="E440" t="inlineStr">
        <is>
          <t>optional_missing</t>
        </is>
      </c>
      <c r="F440" t="inlineStr">
        <is>
          <t>当年累计大宗交易笔数：optional_missing</t>
        </is>
      </c>
      <c r="G440" t="b">
        <v>0</v>
      </c>
      <c r="H440" t="b">
        <v>1</v>
      </c>
      <c r="M440" t="b">
        <v>0</v>
      </c>
    </row>
    <row r="441">
      <c r="A441" t="inlineStr">
        <is>
          <t>港股</t>
        </is>
      </c>
      <c r="B441" t="inlineStr">
        <is>
          <t>00037</t>
        </is>
      </c>
      <c r="C441" t="inlineStr">
        <is>
          <t>FE HOTELS</t>
        </is>
      </c>
      <c r="D441" t="inlineStr">
        <is>
          <t>当年累计大宗交易金额</t>
        </is>
      </c>
      <c r="E441" t="inlineStr">
        <is>
          <t>optional_missing</t>
        </is>
      </c>
      <c r="F441" t="inlineStr">
        <is>
          <t>当年累计大宗交易金额：optional_missing</t>
        </is>
      </c>
      <c r="G441" t="b">
        <v>0</v>
      </c>
      <c r="H441" t="b">
        <v>1</v>
      </c>
      <c r="M441" t="b">
        <v>0</v>
      </c>
    </row>
    <row r="442">
      <c r="A442" t="inlineStr">
        <is>
          <t>港股</t>
        </is>
      </c>
      <c r="B442" t="inlineStr">
        <is>
          <t>00037</t>
        </is>
      </c>
      <c r="C442" t="inlineStr">
        <is>
          <t>FE HOTELS</t>
        </is>
      </c>
      <c r="D442" t="inlineStr">
        <is>
          <t>近五个交易日资金净额</t>
        </is>
      </c>
      <c r="E442" t="inlineStr">
        <is>
          <t>optional_missing</t>
        </is>
      </c>
      <c r="F442" t="inlineStr">
        <is>
          <t>近五个交易日资金净额：optional_missing</t>
        </is>
      </c>
      <c r="G442" t="b">
        <v>0</v>
      </c>
      <c r="H442" t="b">
        <v>1</v>
      </c>
      <c r="M442" t="b">
        <v>0</v>
      </c>
    </row>
    <row r="443">
      <c r="A443" t="inlineStr">
        <is>
          <t>港股</t>
        </is>
      </c>
      <c r="B443" t="inlineStr">
        <is>
          <t>00037</t>
        </is>
      </c>
      <c r="C443" t="inlineStr">
        <is>
          <t>FE HOTELS</t>
        </is>
      </c>
      <c r="D443" t="inlineStr">
        <is>
          <t>近一月资金净额（最近22个交易日）</t>
        </is>
      </c>
      <c r="E443" t="inlineStr">
        <is>
          <t>optional_missing</t>
        </is>
      </c>
      <c r="F443" t="inlineStr">
        <is>
          <t>近一月资金净额（最近22个交易日）：optional_missing</t>
        </is>
      </c>
      <c r="G443" t="b">
        <v>0</v>
      </c>
      <c r="H443" t="b">
        <v>1</v>
      </c>
      <c r="M443" t="b">
        <v>0</v>
      </c>
    </row>
    <row r="444">
      <c r="A444" t="inlineStr">
        <is>
          <t>A股</t>
        </is>
      </c>
      <c r="B444" t="inlineStr">
        <is>
          <t>000055</t>
        </is>
      </c>
      <c r="C444" t="inlineStr">
        <is>
          <t>方大集团</t>
        </is>
      </c>
      <c r="D444" t="inlineStr">
        <is>
          <t>资金流</t>
        </is>
      </c>
      <c r="E444" t="inlineStr">
        <is>
          <t>optional_missing</t>
        </is>
      </c>
      <c r="F444" t="inlineStr">
        <is>
          <t>用户选择不抓取资金流</t>
        </is>
      </c>
      <c r="G444" t="b">
        <v>0</v>
      </c>
      <c r="H444" t="b">
        <v>1</v>
      </c>
      <c r="I444" t="inlineStr">
        <is>
          <t>配置</t>
        </is>
      </c>
      <c r="J444" t="inlineStr">
        <is>
          <t>配置</t>
        </is>
      </c>
      <c r="K444" t="inlineStr">
        <is>
          <t>flow-mode-off</t>
        </is>
      </c>
      <c r="L444" s="32" t="n">
        <v>46263.25754607147</v>
      </c>
      <c r="M444" t="b">
        <v>0</v>
      </c>
    </row>
    <row r="445">
      <c r="A445" t="inlineStr">
        <is>
          <t>A股</t>
        </is>
      </c>
      <c r="B445" t="inlineStr">
        <is>
          <t>000055</t>
        </is>
      </c>
      <c r="C445" t="inlineStr">
        <is>
          <t>方大集团</t>
        </is>
      </c>
      <c r="D445" t="inlineStr">
        <is>
          <t>近五个交易日资金净额</t>
        </is>
      </c>
      <c r="E445" t="inlineStr">
        <is>
          <t>optional_missing</t>
        </is>
      </c>
      <c r="F445" t="inlineStr">
        <is>
          <t>近五个交易日资金净额：optional_missing</t>
        </is>
      </c>
      <c r="G445" t="b">
        <v>0</v>
      </c>
      <c r="H445" t="b">
        <v>1</v>
      </c>
      <c r="M445" t="b">
        <v>0</v>
      </c>
    </row>
    <row r="446">
      <c r="A446" t="inlineStr">
        <is>
          <t>A股</t>
        </is>
      </c>
      <c r="B446" t="inlineStr">
        <is>
          <t>000055</t>
        </is>
      </c>
      <c r="C446" t="inlineStr">
        <is>
          <t>方大集团</t>
        </is>
      </c>
      <c r="D446" t="inlineStr">
        <is>
          <t>近一月资金净额（最近22个交易日）</t>
        </is>
      </c>
      <c r="E446" t="inlineStr">
        <is>
          <t>optional_missing</t>
        </is>
      </c>
      <c r="F446" t="inlineStr">
        <is>
          <t>近一月资金净额（最近22个交易日）：optional_missing</t>
        </is>
      </c>
      <c r="G446" t="b">
        <v>0</v>
      </c>
      <c r="H446" t="b">
        <v>1</v>
      </c>
      <c r="M446" t="b">
        <v>0</v>
      </c>
    </row>
    <row r="447">
      <c r="A447" t="inlineStr">
        <is>
          <t>港股</t>
        </is>
      </c>
      <c r="B447" t="inlineStr">
        <is>
          <t>00038</t>
        </is>
      </c>
      <c r="C447" t="inlineStr">
        <is>
          <t>FIRST TRACTOR</t>
        </is>
      </c>
      <c r="D447" t="inlineStr">
        <is>
          <t>大宗交易</t>
        </is>
      </c>
      <c r="E447" t="inlineStr">
        <is>
          <t>optional_missing</t>
        </is>
      </c>
      <c r="F447" t="inlineStr">
        <is>
          <t>港股大宗交易按允许缺失规则留空</t>
        </is>
      </c>
      <c r="G447" t="b">
        <v>0</v>
      </c>
      <c r="H447" t="b">
        <v>1</v>
      </c>
      <c r="I447" t="inlineStr">
        <is>
          <t>东方财富</t>
        </is>
      </c>
      <c r="J447" t="inlineStr">
        <is>
          <t>东方财富</t>
        </is>
      </c>
      <c r="K447" t="inlineStr">
        <is>
          <t>not-applicable-hk</t>
        </is>
      </c>
      <c r="L447" s="32" t="n">
        <v>46263.25725433244</v>
      </c>
      <c r="M447" t="b">
        <v>1</v>
      </c>
    </row>
    <row r="448">
      <c r="A448" t="inlineStr">
        <is>
          <t>港股</t>
        </is>
      </c>
      <c r="B448" t="inlineStr">
        <is>
          <t>00038</t>
        </is>
      </c>
      <c r="C448" t="inlineStr">
        <is>
          <t>FIRST TRACTOR</t>
        </is>
      </c>
      <c r="D448" t="inlineStr">
        <is>
          <t>资金流</t>
        </is>
      </c>
      <c r="E448" t="inlineStr">
        <is>
          <t>optional_missing</t>
        </is>
      </c>
      <c r="F448" t="inlineStr">
        <is>
          <t>用户选择不抓取资金流</t>
        </is>
      </c>
      <c r="G448" t="b">
        <v>0</v>
      </c>
      <c r="H448" t="b">
        <v>1</v>
      </c>
      <c r="I448" t="inlineStr">
        <is>
          <t>配置</t>
        </is>
      </c>
      <c r="J448" t="inlineStr">
        <is>
          <t>配置</t>
        </is>
      </c>
      <c r="K448" t="inlineStr">
        <is>
          <t>flow-mode-off</t>
        </is>
      </c>
      <c r="L448" s="32" t="n">
        <v>46263.25754607147</v>
      </c>
      <c r="M448" t="b">
        <v>0</v>
      </c>
    </row>
    <row r="449">
      <c r="A449" t="inlineStr">
        <is>
          <t>港股</t>
        </is>
      </c>
      <c r="B449" t="inlineStr">
        <is>
          <t>00038</t>
        </is>
      </c>
      <c r="C449" t="inlineStr">
        <is>
          <t>FIRST TRACTOR</t>
        </is>
      </c>
      <c r="D449" t="inlineStr">
        <is>
          <t>当年累计大宗交易笔数</t>
        </is>
      </c>
      <c r="E449" t="inlineStr">
        <is>
          <t>optional_missing</t>
        </is>
      </c>
      <c r="F449" t="inlineStr">
        <is>
          <t>当年累计大宗交易笔数：optional_missing</t>
        </is>
      </c>
      <c r="G449" t="b">
        <v>0</v>
      </c>
      <c r="H449" t="b">
        <v>1</v>
      </c>
      <c r="M449" t="b">
        <v>0</v>
      </c>
    </row>
    <row r="450">
      <c r="A450" t="inlineStr">
        <is>
          <t>港股</t>
        </is>
      </c>
      <c r="B450" t="inlineStr">
        <is>
          <t>00038</t>
        </is>
      </c>
      <c r="C450" t="inlineStr">
        <is>
          <t>FIRST TRACTOR</t>
        </is>
      </c>
      <c r="D450" t="inlineStr">
        <is>
          <t>当年累计大宗交易金额</t>
        </is>
      </c>
      <c r="E450" t="inlineStr">
        <is>
          <t>optional_missing</t>
        </is>
      </c>
      <c r="F450" t="inlineStr">
        <is>
          <t>当年累计大宗交易金额：optional_missing</t>
        </is>
      </c>
      <c r="G450" t="b">
        <v>0</v>
      </c>
      <c r="H450" t="b">
        <v>1</v>
      </c>
      <c r="M450" t="b">
        <v>0</v>
      </c>
    </row>
    <row r="451">
      <c r="A451" t="inlineStr">
        <is>
          <t>港股</t>
        </is>
      </c>
      <c r="B451" t="inlineStr">
        <is>
          <t>00038</t>
        </is>
      </c>
      <c r="C451" t="inlineStr">
        <is>
          <t>FIRST TRACTOR</t>
        </is>
      </c>
      <c r="D451" t="inlineStr">
        <is>
          <t>近五个交易日资金净额</t>
        </is>
      </c>
      <c r="E451" t="inlineStr">
        <is>
          <t>optional_missing</t>
        </is>
      </c>
      <c r="F451" t="inlineStr">
        <is>
          <t>近五个交易日资金净额：optional_missing</t>
        </is>
      </c>
      <c r="G451" t="b">
        <v>0</v>
      </c>
      <c r="H451" t="b">
        <v>1</v>
      </c>
      <c r="M451" t="b">
        <v>0</v>
      </c>
    </row>
    <row r="452">
      <c r="A452" t="inlineStr">
        <is>
          <t>港股</t>
        </is>
      </c>
      <c r="B452" t="inlineStr">
        <is>
          <t>00038</t>
        </is>
      </c>
      <c r="C452" t="inlineStr">
        <is>
          <t>FIRST TRACTOR</t>
        </is>
      </c>
      <c r="D452" t="inlineStr">
        <is>
          <t>近一月资金净额（最近22个交易日）</t>
        </is>
      </c>
      <c r="E452" t="inlineStr">
        <is>
          <t>optional_missing</t>
        </is>
      </c>
      <c r="F452" t="inlineStr">
        <is>
          <t>近一月资金净额（最近22个交易日）：optional_missing</t>
        </is>
      </c>
      <c r="G452" t="b">
        <v>0</v>
      </c>
      <c r="H452" t="b">
        <v>1</v>
      </c>
      <c r="M452" t="b">
        <v>0</v>
      </c>
    </row>
    <row r="453">
      <c r="A453" t="inlineStr">
        <is>
          <t>A股</t>
        </is>
      </c>
      <c r="B453" t="inlineStr">
        <is>
          <t>000056</t>
        </is>
      </c>
      <c r="C453" t="inlineStr">
        <is>
          <t>*ST皇庭</t>
        </is>
      </c>
      <c r="D453" t="inlineStr">
        <is>
          <t>资金流</t>
        </is>
      </c>
      <c r="E453" t="inlineStr">
        <is>
          <t>optional_missing</t>
        </is>
      </c>
      <c r="F453" t="inlineStr">
        <is>
          <t>用户选择不抓取资金流</t>
        </is>
      </c>
      <c r="G453" t="b">
        <v>0</v>
      </c>
      <c r="H453" t="b">
        <v>1</v>
      </c>
      <c r="I453" t="inlineStr">
        <is>
          <t>配置</t>
        </is>
      </c>
      <c r="J453" t="inlineStr">
        <is>
          <t>配置</t>
        </is>
      </c>
      <c r="K453" t="inlineStr">
        <is>
          <t>flow-mode-off</t>
        </is>
      </c>
      <c r="L453" s="32" t="n">
        <v>46263.25754607147</v>
      </c>
      <c r="M453" t="b">
        <v>0</v>
      </c>
    </row>
    <row r="454">
      <c r="A454" t="inlineStr">
        <is>
          <t>A股</t>
        </is>
      </c>
      <c r="B454" t="inlineStr">
        <is>
          <t>000056</t>
        </is>
      </c>
      <c r="C454" t="inlineStr">
        <is>
          <t>*ST皇庭</t>
        </is>
      </c>
      <c r="D454" t="inlineStr">
        <is>
          <t>近五个交易日资金净额</t>
        </is>
      </c>
      <c r="E454" t="inlineStr">
        <is>
          <t>optional_missing</t>
        </is>
      </c>
      <c r="F454" t="inlineStr">
        <is>
          <t>近五个交易日资金净额：optional_missing</t>
        </is>
      </c>
      <c r="G454" t="b">
        <v>0</v>
      </c>
      <c r="H454" t="b">
        <v>1</v>
      </c>
      <c r="M454" t="b">
        <v>0</v>
      </c>
    </row>
    <row r="455">
      <c r="A455" t="inlineStr">
        <is>
          <t>A股</t>
        </is>
      </c>
      <c r="B455" t="inlineStr">
        <is>
          <t>000056</t>
        </is>
      </c>
      <c r="C455" t="inlineStr">
        <is>
          <t>*ST皇庭</t>
        </is>
      </c>
      <c r="D455" t="inlineStr">
        <is>
          <t>近一月资金净额（最近22个交易日）</t>
        </is>
      </c>
      <c r="E455" t="inlineStr">
        <is>
          <t>optional_missing</t>
        </is>
      </c>
      <c r="F455" t="inlineStr">
        <is>
          <t>近一月资金净额（最近22个交易日）：optional_missing</t>
        </is>
      </c>
      <c r="G455" t="b">
        <v>0</v>
      </c>
      <c r="H455" t="b">
        <v>1</v>
      </c>
      <c r="M455" t="b">
        <v>0</v>
      </c>
    </row>
    <row r="456">
      <c r="A456" t="inlineStr">
        <is>
          <t>港股</t>
        </is>
      </c>
      <c r="B456" t="inlineStr">
        <is>
          <t>00039</t>
        </is>
      </c>
      <c r="C456" t="inlineStr">
        <is>
          <t>CH BEIDAHUANG</t>
        </is>
      </c>
      <c r="D456" t="inlineStr">
        <is>
          <t>大宗交易</t>
        </is>
      </c>
      <c r="E456" t="inlineStr">
        <is>
          <t>optional_missing</t>
        </is>
      </c>
      <c r="F456" t="inlineStr">
        <is>
          <t>港股大宗交易按允许缺失规则留空</t>
        </is>
      </c>
      <c r="G456" t="b">
        <v>0</v>
      </c>
      <c r="H456" t="b">
        <v>1</v>
      </c>
      <c r="I456" t="inlineStr">
        <is>
          <t>东方财富</t>
        </is>
      </c>
      <c r="J456" t="inlineStr">
        <is>
          <t>东方财富</t>
        </is>
      </c>
      <c r="K456" t="inlineStr">
        <is>
          <t>not-applicable-hk</t>
        </is>
      </c>
      <c r="L456" s="32" t="n">
        <v>46263.25725433244</v>
      </c>
      <c r="M456" t="b">
        <v>1</v>
      </c>
    </row>
    <row r="457">
      <c r="A457" t="inlineStr">
        <is>
          <t>港股</t>
        </is>
      </c>
      <c r="B457" t="inlineStr">
        <is>
          <t>00039</t>
        </is>
      </c>
      <c r="C457" t="inlineStr">
        <is>
          <t>CH BEIDAHUANG</t>
        </is>
      </c>
      <c r="D457" t="inlineStr">
        <is>
          <t>营业收入</t>
        </is>
      </c>
      <c r="E457" t="inlineStr">
        <is>
          <t>missing</t>
        </is>
      </c>
      <c r="F457" t="inlineStr">
        <is>
          <t>港股缺少结构化核心财务数据，已按港股纳入规则排除</t>
        </is>
      </c>
      <c r="G457" t="b">
        <v>1</v>
      </c>
      <c r="H457" t="b">
        <v>0</v>
      </c>
      <c r="J457" t="inlineStr">
        <is>
          <t>公开结构化数据组合源</t>
        </is>
      </c>
      <c r="M457" t="b">
        <v>0</v>
      </c>
    </row>
    <row r="458">
      <c r="A458" t="inlineStr">
        <is>
          <t>港股</t>
        </is>
      </c>
      <c r="B458" t="inlineStr">
        <is>
          <t>00039</t>
        </is>
      </c>
      <c r="C458" t="inlineStr">
        <is>
          <t>CH BEIDAHUANG</t>
        </is>
      </c>
      <c r="D458" t="inlineStr">
        <is>
          <t>营业收入</t>
        </is>
      </c>
      <c r="E458" t="inlineStr">
        <is>
          <t>missing</t>
        </is>
      </c>
      <c r="F458" t="inlineStr">
        <is>
          <t>缺少所选年度营业收入</t>
        </is>
      </c>
      <c r="G458" t="b">
        <v>1</v>
      </c>
      <c r="H458" t="b">
        <v>0</v>
      </c>
      <c r="M458" t="b">
        <v>0</v>
      </c>
    </row>
    <row r="459">
      <c r="A459" t="inlineStr">
        <is>
          <t>港股</t>
        </is>
      </c>
      <c r="B459" t="inlineStr">
        <is>
          <t>00039</t>
        </is>
      </c>
      <c r="C459" t="inlineStr">
        <is>
          <t>CH BEIDAHUANG</t>
        </is>
      </c>
      <c r="D459" t="inlineStr">
        <is>
          <t>营业收入同比</t>
        </is>
      </c>
      <c r="E459" t="inlineStr">
        <is>
          <t>missing</t>
        </is>
      </c>
      <c r="F459" t="inlineStr">
        <is>
          <t>营业收入同比：missing</t>
        </is>
      </c>
      <c r="G459" t="b">
        <v>0</v>
      </c>
      <c r="H459" t="b">
        <v>0</v>
      </c>
      <c r="M459" t="b">
        <v>0</v>
      </c>
    </row>
    <row r="460">
      <c r="A460" t="inlineStr">
        <is>
          <t>港股</t>
        </is>
      </c>
      <c r="B460" t="inlineStr">
        <is>
          <t>00039</t>
        </is>
      </c>
      <c r="C460" t="inlineStr">
        <is>
          <t>CH BEIDAHUANG</t>
        </is>
      </c>
      <c r="D460" t="inlineStr">
        <is>
          <t>营业收入三年 CAGR</t>
        </is>
      </c>
      <c r="E460" t="inlineStr">
        <is>
          <t>missing</t>
        </is>
      </c>
      <c r="F460" t="inlineStr">
        <is>
          <t>营业收入三年 CAGR：missing</t>
        </is>
      </c>
      <c r="G460" t="b">
        <v>0</v>
      </c>
      <c r="H460" t="b">
        <v>0</v>
      </c>
      <c r="M460" t="b">
        <v>0</v>
      </c>
    </row>
    <row r="461">
      <c r="A461" t="inlineStr">
        <is>
          <t>港股</t>
        </is>
      </c>
      <c r="B461" t="inlineStr">
        <is>
          <t>00039</t>
        </is>
      </c>
      <c r="C461" t="inlineStr">
        <is>
          <t>CH BEIDAHUANG</t>
        </is>
      </c>
      <c r="D461" t="inlineStr">
        <is>
          <t>毛利率</t>
        </is>
      </c>
      <c r="E461" t="inlineStr">
        <is>
          <t>missing</t>
        </is>
      </c>
      <c r="F461" t="inlineStr">
        <is>
          <t>毛利率：missing</t>
        </is>
      </c>
      <c r="G461" t="b">
        <v>0</v>
      </c>
      <c r="H461" t="b">
        <v>0</v>
      </c>
      <c r="M461" t="b">
        <v>0</v>
      </c>
    </row>
    <row r="462">
      <c r="A462" t="inlineStr">
        <is>
          <t>港股</t>
        </is>
      </c>
      <c r="B462" t="inlineStr">
        <is>
          <t>00039</t>
        </is>
      </c>
      <c r="C462" t="inlineStr">
        <is>
          <t>CH BEIDAHUANG</t>
        </is>
      </c>
      <c r="D462" t="inlineStr">
        <is>
          <t>毛利率同比变化（百分点）</t>
        </is>
      </c>
      <c r="E462" t="inlineStr">
        <is>
          <t>missing</t>
        </is>
      </c>
      <c r="F462" t="inlineStr">
        <is>
          <t>毛利率同比变化（百分点）：missing</t>
        </is>
      </c>
      <c r="G462" t="b">
        <v>0</v>
      </c>
      <c r="H462" t="b">
        <v>0</v>
      </c>
      <c r="M462" t="b">
        <v>0</v>
      </c>
    </row>
    <row r="463">
      <c r="A463" t="inlineStr">
        <is>
          <t>港股</t>
        </is>
      </c>
      <c r="B463" t="inlineStr">
        <is>
          <t>00039</t>
        </is>
      </c>
      <c r="C463" t="inlineStr">
        <is>
          <t>CH BEIDAHUANG</t>
        </is>
      </c>
      <c r="D463" t="inlineStr">
        <is>
          <t>毛利率三年变化（百分点）</t>
        </is>
      </c>
      <c r="E463" t="inlineStr">
        <is>
          <t>missing</t>
        </is>
      </c>
      <c r="F463" t="inlineStr">
        <is>
          <t>毛利率三年变化（百分点）：missing</t>
        </is>
      </c>
      <c r="G463" t="b">
        <v>0</v>
      </c>
      <c r="H463" t="b">
        <v>0</v>
      </c>
      <c r="M463" t="b">
        <v>0</v>
      </c>
    </row>
    <row r="464">
      <c r="A464" t="inlineStr">
        <is>
          <t>港股</t>
        </is>
      </c>
      <c r="B464" t="inlineStr">
        <is>
          <t>00039</t>
        </is>
      </c>
      <c r="C464" t="inlineStr">
        <is>
          <t>CH BEIDAHUANG</t>
        </is>
      </c>
      <c r="D464" t="inlineStr">
        <is>
          <t>归母净利润</t>
        </is>
      </c>
      <c r="E464" t="inlineStr">
        <is>
          <t>missing</t>
        </is>
      </c>
      <c r="F464" t="inlineStr">
        <is>
          <t>归母净利润：missing</t>
        </is>
      </c>
      <c r="G464" t="b">
        <v>0</v>
      </c>
      <c r="H464" t="b">
        <v>0</v>
      </c>
      <c r="M464" t="b">
        <v>0</v>
      </c>
    </row>
    <row r="465">
      <c r="A465" t="inlineStr">
        <is>
          <t>港股</t>
        </is>
      </c>
      <c r="B465" t="inlineStr">
        <is>
          <t>00039</t>
        </is>
      </c>
      <c r="C465" t="inlineStr">
        <is>
          <t>CH BEIDAHUANG</t>
        </is>
      </c>
      <c r="D465" t="inlineStr">
        <is>
          <t>归母净利率</t>
        </is>
      </c>
      <c r="E465" t="inlineStr">
        <is>
          <t>missing</t>
        </is>
      </c>
      <c r="F465" t="inlineStr">
        <is>
          <t>归母净利率：missing</t>
        </is>
      </c>
      <c r="G465" t="b">
        <v>0</v>
      </c>
      <c r="H465" t="b">
        <v>0</v>
      </c>
      <c r="M465" t="b">
        <v>0</v>
      </c>
    </row>
    <row r="466">
      <c r="A466" t="inlineStr">
        <is>
          <t>港股</t>
        </is>
      </c>
      <c r="B466" t="inlineStr">
        <is>
          <t>00039</t>
        </is>
      </c>
      <c r="C466" t="inlineStr">
        <is>
          <t>CH BEIDAHUANG</t>
        </is>
      </c>
      <c r="D466" t="inlineStr">
        <is>
          <t>归母净利润同比</t>
        </is>
      </c>
      <c r="E466" t="inlineStr">
        <is>
          <t>missing</t>
        </is>
      </c>
      <c r="F466" t="inlineStr">
        <is>
          <t>归母净利润同比：missing</t>
        </is>
      </c>
      <c r="G466" t="b">
        <v>0</v>
      </c>
      <c r="H466" t="b">
        <v>0</v>
      </c>
      <c r="M466" t="b">
        <v>0</v>
      </c>
    </row>
    <row r="467">
      <c r="A467" t="inlineStr">
        <is>
          <t>港股</t>
        </is>
      </c>
      <c r="B467" t="inlineStr">
        <is>
          <t>00039</t>
        </is>
      </c>
      <c r="C467" t="inlineStr">
        <is>
          <t>CH BEIDAHUANG</t>
        </is>
      </c>
      <c r="D467" t="inlineStr">
        <is>
          <t>归母净利润三年 CAGR</t>
        </is>
      </c>
      <c r="E467" t="inlineStr">
        <is>
          <t>missing</t>
        </is>
      </c>
      <c r="F467" t="inlineStr">
        <is>
          <t>归母净利润三年 CAGR：missing</t>
        </is>
      </c>
      <c r="G467" t="b">
        <v>0</v>
      </c>
      <c r="H467" t="b">
        <v>0</v>
      </c>
      <c r="M467" t="b">
        <v>0</v>
      </c>
    </row>
    <row r="468">
      <c r="A468" t="inlineStr">
        <is>
          <t>港股</t>
        </is>
      </c>
      <c r="B468" t="inlineStr">
        <is>
          <t>00039</t>
        </is>
      </c>
      <c r="C468" t="inlineStr">
        <is>
          <t>CH BEIDAHUANG</t>
        </is>
      </c>
      <c r="D468" t="inlineStr">
        <is>
          <t>经营活动现金流净额</t>
        </is>
      </c>
      <c r="E468" t="inlineStr">
        <is>
          <t>missing</t>
        </is>
      </c>
      <c r="F468" t="inlineStr">
        <is>
          <t>经营活动现金流净额：missing</t>
        </is>
      </c>
      <c r="G468" t="b">
        <v>0</v>
      </c>
      <c r="H468" t="b">
        <v>0</v>
      </c>
      <c r="M468" t="b">
        <v>0</v>
      </c>
    </row>
    <row r="469">
      <c r="A469" t="inlineStr">
        <is>
          <t>港股</t>
        </is>
      </c>
      <c r="B469" t="inlineStr">
        <is>
          <t>00039</t>
        </is>
      </c>
      <c r="C469" t="inlineStr">
        <is>
          <t>CH BEIDAHUANG</t>
        </is>
      </c>
      <c r="D469" t="inlineStr">
        <is>
          <t>经营活动现金流同比</t>
        </is>
      </c>
      <c r="E469" t="inlineStr">
        <is>
          <t>missing</t>
        </is>
      </c>
      <c r="F469" t="inlineStr">
        <is>
          <t>经营活动现金流同比：missing</t>
        </is>
      </c>
      <c r="G469" t="b">
        <v>0</v>
      </c>
      <c r="H469" t="b">
        <v>0</v>
      </c>
      <c r="M469" t="b">
        <v>0</v>
      </c>
    </row>
    <row r="470">
      <c r="A470" t="inlineStr">
        <is>
          <t>港股</t>
        </is>
      </c>
      <c r="B470" t="inlineStr">
        <is>
          <t>00039</t>
        </is>
      </c>
      <c r="C470" t="inlineStr">
        <is>
          <t>CH BEIDAHUANG</t>
        </is>
      </c>
      <c r="D470" t="inlineStr">
        <is>
          <t>经营活动现金流三年 CAGR</t>
        </is>
      </c>
      <c r="E470" t="inlineStr">
        <is>
          <t>missing</t>
        </is>
      </c>
      <c r="F470" t="inlineStr">
        <is>
          <t>经营活动现金流三年 CAGR：missing</t>
        </is>
      </c>
      <c r="G470" t="b">
        <v>0</v>
      </c>
      <c r="H470" t="b">
        <v>0</v>
      </c>
      <c r="M470" t="b">
        <v>0</v>
      </c>
    </row>
    <row r="471">
      <c r="A471" t="inlineStr">
        <is>
          <t>港股</t>
        </is>
      </c>
      <c r="B471" t="inlineStr">
        <is>
          <t>00039</t>
        </is>
      </c>
      <c r="C471" t="inlineStr">
        <is>
          <t>CH BEIDAHUANG</t>
        </is>
      </c>
      <c r="D471" t="inlineStr">
        <is>
          <t>市值增长率</t>
        </is>
      </c>
      <c r="E471" t="inlineStr">
        <is>
          <t>missing</t>
        </is>
      </c>
      <c r="F471" t="inlineStr">
        <is>
          <t>市值增长率：missing</t>
        </is>
      </c>
      <c r="G471" t="b">
        <v>0</v>
      </c>
      <c r="H471" t="b">
        <v>1</v>
      </c>
      <c r="M471" t="b">
        <v>0</v>
      </c>
    </row>
    <row r="472">
      <c r="A472" t="inlineStr">
        <is>
          <t>港股</t>
        </is>
      </c>
      <c r="B472" t="inlineStr">
        <is>
          <t>00039</t>
        </is>
      </c>
      <c r="C472" t="inlineStr">
        <is>
          <t>CH BEIDAHUANG</t>
        </is>
      </c>
      <c r="D472" t="inlineStr">
        <is>
          <t>最新价</t>
        </is>
      </c>
      <c r="E472" t="inlineStr">
        <is>
          <t>missing</t>
        </is>
      </c>
      <c r="F472" t="inlineStr">
        <is>
          <t>最新价：missing</t>
        </is>
      </c>
      <c r="G472" t="b">
        <v>0</v>
      </c>
      <c r="H472" t="b">
        <v>0</v>
      </c>
      <c r="M472" t="b">
        <v>0</v>
      </c>
    </row>
    <row r="473">
      <c r="A473" t="inlineStr">
        <is>
          <t>港股</t>
        </is>
      </c>
      <c r="B473" t="inlineStr">
        <is>
          <t>00039</t>
        </is>
      </c>
      <c r="C473" t="inlineStr">
        <is>
          <t>CH BEIDAHUANG</t>
        </is>
      </c>
      <c r="D473" t="inlineStr">
        <is>
          <t>上市日期</t>
        </is>
      </c>
      <c r="E473" t="inlineStr">
        <is>
          <t>missing</t>
        </is>
      </c>
      <c r="F473" t="inlineStr">
        <is>
          <t>上市日期：missing</t>
        </is>
      </c>
      <c r="G473" t="b">
        <v>0</v>
      </c>
      <c r="H473" t="b">
        <v>0</v>
      </c>
      <c r="M473" t="b">
        <v>0</v>
      </c>
    </row>
    <row r="474">
      <c r="A474" t="inlineStr">
        <is>
          <t>港股</t>
        </is>
      </c>
      <c r="B474" t="inlineStr">
        <is>
          <t>00039</t>
        </is>
      </c>
      <c r="C474" t="inlineStr">
        <is>
          <t>CH BEIDAHUANG</t>
        </is>
      </c>
      <c r="D474" t="inlineStr">
        <is>
          <t>发行价</t>
        </is>
      </c>
      <c r="E474" t="inlineStr">
        <is>
          <t>optional_missing</t>
        </is>
      </c>
      <c r="F474" t="inlineStr">
        <is>
          <t>发行价：optional_missing</t>
        </is>
      </c>
      <c r="G474" t="b">
        <v>0</v>
      </c>
      <c r="H474" t="b">
        <v>1</v>
      </c>
      <c r="M474" t="b">
        <v>0</v>
      </c>
    </row>
    <row r="475">
      <c r="A475" t="inlineStr">
        <is>
          <t>港股</t>
        </is>
      </c>
      <c r="B475" t="inlineStr">
        <is>
          <t>00039</t>
        </is>
      </c>
      <c r="C475" t="inlineStr">
        <is>
          <t>CH BEIDAHUANG</t>
        </is>
      </c>
      <c r="D475" t="inlineStr">
        <is>
          <t>发行股数</t>
        </is>
      </c>
      <c r="E475" t="inlineStr">
        <is>
          <t>optional_missing</t>
        </is>
      </c>
      <c r="F475" t="inlineStr">
        <is>
          <t>发行股数：optional_missing</t>
        </is>
      </c>
      <c r="G475" t="b">
        <v>0</v>
      </c>
      <c r="H475" t="b">
        <v>1</v>
      </c>
      <c r="M475" t="b">
        <v>0</v>
      </c>
    </row>
    <row r="476">
      <c r="A476" t="inlineStr">
        <is>
          <t>港股</t>
        </is>
      </c>
      <c r="B476" t="inlineStr">
        <is>
          <t>00039</t>
        </is>
      </c>
      <c r="C476" t="inlineStr">
        <is>
          <t>CH BEIDAHUANG</t>
        </is>
      </c>
      <c r="D476" t="inlineStr">
        <is>
          <t>发行时总市值</t>
        </is>
      </c>
      <c r="E476" t="inlineStr">
        <is>
          <t>optional_missing</t>
        </is>
      </c>
      <c r="F476" t="inlineStr">
        <is>
          <t>发行时总市值：optional_missing</t>
        </is>
      </c>
      <c r="G476" t="b">
        <v>0</v>
      </c>
      <c r="H476" t="b">
        <v>1</v>
      </c>
      <c r="M476" t="b">
        <v>0</v>
      </c>
    </row>
    <row r="477">
      <c r="A477" t="inlineStr">
        <is>
          <t>港股</t>
        </is>
      </c>
      <c r="B477" t="inlineStr">
        <is>
          <t>00039</t>
        </is>
      </c>
      <c r="C477" t="inlineStr">
        <is>
          <t>CH BEIDAHUANG</t>
        </is>
      </c>
      <c r="D477" t="inlineStr">
        <is>
          <t>当年累计大宗交易笔数</t>
        </is>
      </c>
      <c r="E477" t="inlineStr">
        <is>
          <t>optional_missing</t>
        </is>
      </c>
      <c r="F477" t="inlineStr">
        <is>
          <t>当年累计大宗交易笔数：optional_missing</t>
        </is>
      </c>
      <c r="G477" t="b">
        <v>0</v>
      </c>
      <c r="H477" t="b">
        <v>1</v>
      </c>
      <c r="M477" t="b">
        <v>0</v>
      </c>
    </row>
    <row r="478">
      <c r="A478" t="inlineStr">
        <is>
          <t>港股</t>
        </is>
      </c>
      <c r="B478" t="inlineStr">
        <is>
          <t>00039</t>
        </is>
      </c>
      <c r="C478" t="inlineStr">
        <is>
          <t>CH BEIDAHUANG</t>
        </is>
      </c>
      <c r="D478" t="inlineStr">
        <is>
          <t>当年累计大宗交易金额</t>
        </is>
      </c>
      <c r="E478" t="inlineStr">
        <is>
          <t>optional_missing</t>
        </is>
      </c>
      <c r="F478" t="inlineStr">
        <is>
          <t>当年累计大宗交易金额：optional_missing</t>
        </is>
      </c>
      <c r="G478" t="b">
        <v>0</v>
      </c>
      <c r="H478" t="b">
        <v>1</v>
      </c>
      <c r="M478" t="b">
        <v>0</v>
      </c>
    </row>
    <row r="479">
      <c r="A479" t="inlineStr">
        <is>
          <t>港股</t>
        </is>
      </c>
      <c r="B479" t="inlineStr">
        <is>
          <t>00039</t>
        </is>
      </c>
      <c r="C479" t="inlineStr">
        <is>
          <t>CH BEIDAHUANG</t>
        </is>
      </c>
      <c r="D479" t="inlineStr">
        <is>
          <t>近五个交易日资金净额</t>
        </is>
      </c>
      <c r="E479" t="inlineStr">
        <is>
          <t>optional_missing</t>
        </is>
      </c>
      <c r="F479" t="inlineStr">
        <is>
          <t>近五个交易日资金净额：optional_missing</t>
        </is>
      </c>
      <c r="G479" t="b">
        <v>0</v>
      </c>
      <c r="H479" t="b">
        <v>1</v>
      </c>
      <c r="M479" t="b">
        <v>0</v>
      </c>
    </row>
    <row r="480">
      <c r="A480" t="inlineStr">
        <is>
          <t>港股</t>
        </is>
      </c>
      <c r="B480" t="inlineStr">
        <is>
          <t>00039</t>
        </is>
      </c>
      <c r="C480" t="inlineStr">
        <is>
          <t>CH BEIDAHUANG</t>
        </is>
      </c>
      <c r="D480" t="inlineStr">
        <is>
          <t>近一月资金净额（最近22个交易日）</t>
        </is>
      </c>
      <c r="E480" t="inlineStr">
        <is>
          <t>optional_missing</t>
        </is>
      </c>
      <c r="F480" t="inlineStr">
        <is>
          <t>近一月资金净额（最近22个交易日）：optional_missing</t>
        </is>
      </c>
      <c r="G480" t="b">
        <v>0</v>
      </c>
      <c r="H480" t="b">
        <v>1</v>
      </c>
      <c r="M480" t="b">
        <v>0</v>
      </c>
    </row>
    <row r="481">
      <c r="A481" t="inlineStr">
        <is>
          <t>A股</t>
        </is>
      </c>
      <c r="B481" t="inlineStr">
        <is>
          <t>000058</t>
        </is>
      </c>
      <c r="C481" t="inlineStr">
        <is>
          <t>深赛格</t>
        </is>
      </c>
      <c r="D481" t="inlineStr">
        <is>
          <t>资金流</t>
        </is>
      </c>
      <c r="E481" t="inlineStr">
        <is>
          <t>optional_missing</t>
        </is>
      </c>
      <c r="F481" t="inlineStr">
        <is>
          <t>用户选择不抓取资金流</t>
        </is>
      </c>
      <c r="G481" t="b">
        <v>0</v>
      </c>
      <c r="H481" t="b">
        <v>1</v>
      </c>
      <c r="I481" t="inlineStr">
        <is>
          <t>配置</t>
        </is>
      </c>
      <c r="J481" t="inlineStr">
        <is>
          <t>配置</t>
        </is>
      </c>
      <c r="K481" t="inlineStr">
        <is>
          <t>flow-mode-off</t>
        </is>
      </c>
      <c r="L481" s="32" t="n">
        <v>46263.25754607147</v>
      </c>
      <c r="M481" t="b">
        <v>0</v>
      </c>
    </row>
    <row r="482">
      <c r="A482" t="inlineStr">
        <is>
          <t>A股</t>
        </is>
      </c>
      <c r="B482" t="inlineStr">
        <is>
          <t>000058</t>
        </is>
      </c>
      <c r="C482" t="inlineStr">
        <is>
          <t>深赛格</t>
        </is>
      </c>
      <c r="D482" t="inlineStr">
        <is>
          <t>近五个交易日资金净额</t>
        </is>
      </c>
      <c r="E482" t="inlineStr">
        <is>
          <t>optional_missing</t>
        </is>
      </c>
      <c r="F482" t="inlineStr">
        <is>
          <t>近五个交易日资金净额：optional_missing</t>
        </is>
      </c>
      <c r="G482" t="b">
        <v>0</v>
      </c>
      <c r="H482" t="b">
        <v>1</v>
      </c>
      <c r="M482" t="b">
        <v>0</v>
      </c>
    </row>
    <row r="483">
      <c r="A483" t="inlineStr">
        <is>
          <t>A股</t>
        </is>
      </c>
      <c r="B483" t="inlineStr">
        <is>
          <t>000058</t>
        </is>
      </c>
      <c r="C483" t="inlineStr">
        <is>
          <t>深赛格</t>
        </is>
      </c>
      <c r="D483" t="inlineStr">
        <is>
          <t>近一月资金净额（最近22个交易日）</t>
        </is>
      </c>
      <c r="E483" t="inlineStr">
        <is>
          <t>optional_missing</t>
        </is>
      </c>
      <c r="F483" t="inlineStr">
        <is>
          <t>近一月资金净额（最近22个交易日）：optional_missing</t>
        </is>
      </c>
      <c r="G483" t="b">
        <v>0</v>
      </c>
      <c r="H483" t="b">
        <v>1</v>
      </c>
      <c r="M483" t="b">
        <v>0</v>
      </c>
    </row>
    <row r="484">
      <c r="A484" t="inlineStr">
        <is>
          <t>港股</t>
        </is>
      </c>
      <c r="B484" t="inlineStr">
        <is>
          <t>00040</t>
        </is>
      </c>
      <c r="C484" t="inlineStr">
        <is>
          <t>GOLD PEAK</t>
        </is>
      </c>
      <c r="D484" t="inlineStr">
        <is>
          <t>大宗交易</t>
        </is>
      </c>
      <c r="E484" t="inlineStr">
        <is>
          <t>optional_missing</t>
        </is>
      </c>
      <c r="F484" t="inlineStr">
        <is>
          <t>港股大宗交易按允许缺失规则留空</t>
        </is>
      </c>
      <c r="G484" t="b">
        <v>0</v>
      </c>
      <c r="H484" t="b">
        <v>1</v>
      </c>
      <c r="I484" t="inlineStr">
        <is>
          <t>东方财富</t>
        </is>
      </c>
      <c r="J484" t="inlineStr">
        <is>
          <t>东方财富</t>
        </is>
      </c>
      <c r="K484" t="inlineStr">
        <is>
          <t>not-applicable-hk</t>
        </is>
      </c>
      <c r="L484" s="32" t="n">
        <v>46263.25725433244</v>
      </c>
      <c r="M484" t="b">
        <v>1</v>
      </c>
    </row>
    <row r="485">
      <c r="A485" t="inlineStr">
        <is>
          <t>港股</t>
        </is>
      </c>
      <c r="B485" t="inlineStr">
        <is>
          <t>00040</t>
        </is>
      </c>
      <c r="C485" t="inlineStr">
        <is>
          <t>GOLD PEAK</t>
        </is>
      </c>
      <c r="D485" t="inlineStr">
        <is>
          <t>资金流</t>
        </is>
      </c>
      <c r="E485" t="inlineStr">
        <is>
          <t>optional_missing</t>
        </is>
      </c>
      <c r="F485" t="inlineStr">
        <is>
          <t>用户选择不抓取资金流</t>
        </is>
      </c>
      <c r="G485" t="b">
        <v>0</v>
      </c>
      <c r="H485" t="b">
        <v>1</v>
      </c>
      <c r="I485" t="inlineStr">
        <is>
          <t>配置</t>
        </is>
      </c>
      <c r="J485" t="inlineStr">
        <is>
          <t>配置</t>
        </is>
      </c>
      <c r="K485" t="inlineStr">
        <is>
          <t>flow-mode-off</t>
        </is>
      </c>
      <c r="L485" s="32" t="n">
        <v>46263.25754607147</v>
      </c>
      <c r="M485" t="b">
        <v>0</v>
      </c>
    </row>
    <row r="486">
      <c r="A486" t="inlineStr">
        <is>
          <t>港股</t>
        </is>
      </c>
      <c r="B486" t="inlineStr">
        <is>
          <t>00040</t>
        </is>
      </c>
      <c r="C486" t="inlineStr">
        <is>
          <t>GOLD PEAK</t>
        </is>
      </c>
      <c r="D486" t="inlineStr">
        <is>
          <t>市值增长率</t>
        </is>
      </c>
      <c r="E486" t="inlineStr">
        <is>
          <t>missing</t>
        </is>
      </c>
      <c r="F486" t="inlineStr">
        <is>
          <t>市值增长率：missing</t>
        </is>
      </c>
      <c r="G486" t="b">
        <v>0</v>
      </c>
      <c r="H486" t="b">
        <v>1</v>
      </c>
      <c r="M486" t="b">
        <v>0</v>
      </c>
    </row>
    <row r="487">
      <c r="A487" t="inlineStr">
        <is>
          <t>港股</t>
        </is>
      </c>
      <c r="B487" t="inlineStr">
        <is>
          <t>00040</t>
        </is>
      </c>
      <c r="C487" t="inlineStr">
        <is>
          <t>GOLD PEAK</t>
        </is>
      </c>
      <c r="D487" t="inlineStr">
        <is>
          <t>发行价</t>
        </is>
      </c>
      <c r="E487" t="inlineStr">
        <is>
          <t>optional_missing</t>
        </is>
      </c>
      <c r="F487" t="inlineStr">
        <is>
          <t>发行价：optional_missing</t>
        </is>
      </c>
      <c r="G487" t="b">
        <v>0</v>
      </c>
      <c r="H487" t="b">
        <v>1</v>
      </c>
      <c r="M487" t="b">
        <v>0</v>
      </c>
    </row>
    <row r="488">
      <c r="A488" t="inlineStr">
        <is>
          <t>港股</t>
        </is>
      </c>
      <c r="B488" t="inlineStr">
        <is>
          <t>00040</t>
        </is>
      </c>
      <c r="C488" t="inlineStr">
        <is>
          <t>GOLD PEAK</t>
        </is>
      </c>
      <c r="D488" t="inlineStr">
        <is>
          <t>发行股数</t>
        </is>
      </c>
      <c r="E488" t="inlineStr">
        <is>
          <t>optional_missing</t>
        </is>
      </c>
      <c r="F488" t="inlineStr">
        <is>
          <t>发行股数：optional_missing</t>
        </is>
      </c>
      <c r="G488" t="b">
        <v>0</v>
      </c>
      <c r="H488" t="b">
        <v>1</v>
      </c>
      <c r="M488" t="b">
        <v>0</v>
      </c>
    </row>
    <row r="489">
      <c r="A489" t="inlineStr">
        <is>
          <t>港股</t>
        </is>
      </c>
      <c r="B489" t="inlineStr">
        <is>
          <t>00040</t>
        </is>
      </c>
      <c r="C489" t="inlineStr">
        <is>
          <t>GOLD PEAK</t>
        </is>
      </c>
      <c r="D489" t="inlineStr">
        <is>
          <t>发行时总市值</t>
        </is>
      </c>
      <c r="E489" t="inlineStr">
        <is>
          <t>optional_missing</t>
        </is>
      </c>
      <c r="F489" t="inlineStr">
        <is>
          <t>发行时总市值：optional_missing</t>
        </is>
      </c>
      <c r="G489" t="b">
        <v>0</v>
      </c>
      <c r="H489" t="b">
        <v>1</v>
      </c>
      <c r="M489" t="b">
        <v>0</v>
      </c>
    </row>
    <row r="490">
      <c r="A490" t="inlineStr">
        <is>
          <t>港股</t>
        </is>
      </c>
      <c r="B490" t="inlineStr">
        <is>
          <t>00040</t>
        </is>
      </c>
      <c r="C490" t="inlineStr">
        <is>
          <t>GOLD PEAK</t>
        </is>
      </c>
      <c r="D490" t="inlineStr">
        <is>
          <t>当年累计大宗交易笔数</t>
        </is>
      </c>
      <c r="E490" t="inlineStr">
        <is>
          <t>optional_missing</t>
        </is>
      </c>
      <c r="F490" t="inlineStr">
        <is>
          <t>当年累计大宗交易笔数：optional_missing</t>
        </is>
      </c>
      <c r="G490" t="b">
        <v>0</v>
      </c>
      <c r="H490" t="b">
        <v>1</v>
      </c>
      <c r="M490" t="b">
        <v>0</v>
      </c>
    </row>
    <row r="491">
      <c r="A491" t="inlineStr">
        <is>
          <t>港股</t>
        </is>
      </c>
      <c r="B491" t="inlineStr">
        <is>
          <t>00040</t>
        </is>
      </c>
      <c r="C491" t="inlineStr">
        <is>
          <t>GOLD PEAK</t>
        </is>
      </c>
      <c r="D491" t="inlineStr">
        <is>
          <t>当年累计大宗交易金额</t>
        </is>
      </c>
      <c r="E491" t="inlineStr">
        <is>
          <t>optional_missing</t>
        </is>
      </c>
      <c r="F491" t="inlineStr">
        <is>
          <t>当年累计大宗交易金额：optional_missing</t>
        </is>
      </c>
      <c r="G491" t="b">
        <v>0</v>
      </c>
      <c r="H491" t="b">
        <v>1</v>
      </c>
      <c r="M491" t="b">
        <v>0</v>
      </c>
    </row>
    <row r="492">
      <c r="A492" t="inlineStr">
        <is>
          <t>港股</t>
        </is>
      </c>
      <c r="B492" t="inlineStr">
        <is>
          <t>00040</t>
        </is>
      </c>
      <c r="C492" t="inlineStr">
        <is>
          <t>GOLD PEAK</t>
        </is>
      </c>
      <c r="D492" t="inlineStr">
        <is>
          <t>近五个交易日资金净额</t>
        </is>
      </c>
      <c r="E492" t="inlineStr">
        <is>
          <t>optional_missing</t>
        </is>
      </c>
      <c r="F492" t="inlineStr">
        <is>
          <t>近五个交易日资金净额：optional_missing</t>
        </is>
      </c>
      <c r="G492" t="b">
        <v>0</v>
      </c>
      <c r="H492" t="b">
        <v>1</v>
      </c>
      <c r="M492" t="b">
        <v>0</v>
      </c>
    </row>
    <row r="493">
      <c r="A493" t="inlineStr">
        <is>
          <t>港股</t>
        </is>
      </c>
      <c r="B493" t="inlineStr">
        <is>
          <t>00040</t>
        </is>
      </c>
      <c r="C493" t="inlineStr">
        <is>
          <t>GOLD PEAK</t>
        </is>
      </c>
      <c r="D493" t="inlineStr">
        <is>
          <t>近一月资金净额（最近22个交易日）</t>
        </is>
      </c>
      <c r="E493" t="inlineStr">
        <is>
          <t>optional_missing</t>
        </is>
      </c>
      <c r="F493" t="inlineStr">
        <is>
          <t>近一月资金净额（最近22个交易日）：optional_missing</t>
        </is>
      </c>
      <c r="G493" t="b">
        <v>0</v>
      </c>
      <c r="H493" t="b">
        <v>1</v>
      </c>
      <c r="M493" t="b">
        <v>0</v>
      </c>
    </row>
    <row r="494">
      <c r="A494" t="inlineStr">
        <is>
          <t>A股</t>
        </is>
      </c>
      <c r="B494" t="inlineStr">
        <is>
          <t>000059</t>
        </is>
      </c>
      <c r="C494" t="inlineStr">
        <is>
          <t>华锦股份</t>
        </is>
      </c>
      <c r="D494" t="inlineStr">
        <is>
          <t>资金流</t>
        </is>
      </c>
      <c r="E494" t="inlineStr">
        <is>
          <t>optional_missing</t>
        </is>
      </c>
      <c r="F494" t="inlineStr">
        <is>
          <t>用户选择不抓取资金流</t>
        </is>
      </c>
      <c r="G494" t="b">
        <v>0</v>
      </c>
      <c r="H494" t="b">
        <v>1</v>
      </c>
      <c r="I494" t="inlineStr">
        <is>
          <t>配置</t>
        </is>
      </c>
      <c r="J494" t="inlineStr">
        <is>
          <t>配置</t>
        </is>
      </c>
      <c r="K494" t="inlineStr">
        <is>
          <t>flow-mode-off</t>
        </is>
      </c>
      <c r="L494" s="32" t="n">
        <v>46263.25754607147</v>
      </c>
      <c r="M494" t="b">
        <v>0</v>
      </c>
    </row>
    <row r="495">
      <c r="A495" t="inlineStr">
        <is>
          <t>A股</t>
        </is>
      </c>
      <c r="B495" t="inlineStr">
        <is>
          <t>000059</t>
        </is>
      </c>
      <c r="C495" t="inlineStr">
        <is>
          <t>华锦股份</t>
        </is>
      </c>
      <c r="D495" t="inlineStr">
        <is>
          <t>近五个交易日资金净额</t>
        </is>
      </c>
      <c r="E495" t="inlineStr">
        <is>
          <t>optional_missing</t>
        </is>
      </c>
      <c r="F495" t="inlineStr">
        <is>
          <t>近五个交易日资金净额：optional_missing</t>
        </is>
      </c>
      <c r="G495" t="b">
        <v>0</v>
      </c>
      <c r="H495" t="b">
        <v>1</v>
      </c>
      <c r="M495" t="b">
        <v>0</v>
      </c>
    </row>
    <row r="496">
      <c r="A496" t="inlineStr">
        <is>
          <t>A股</t>
        </is>
      </c>
      <c r="B496" t="inlineStr">
        <is>
          <t>000059</t>
        </is>
      </c>
      <c r="C496" t="inlineStr">
        <is>
          <t>华锦股份</t>
        </is>
      </c>
      <c r="D496" t="inlineStr">
        <is>
          <t>近一月资金净额（最近22个交易日）</t>
        </is>
      </c>
      <c r="E496" t="inlineStr">
        <is>
          <t>optional_missing</t>
        </is>
      </c>
      <c r="F496" t="inlineStr">
        <is>
          <t>近一月资金净额（最近22个交易日）：optional_missing</t>
        </is>
      </c>
      <c r="G496" t="b">
        <v>0</v>
      </c>
      <c r="H496" t="b">
        <v>1</v>
      </c>
      <c r="M496" t="b">
        <v>0</v>
      </c>
    </row>
    <row r="497">
      <c r="A497" t="inlineStr">
        <is>
          <t>港股</t>
        </is>
      </c>
      <c r="B497" t="inlineStr">
        <is>
          <t>00041</t>
        </is>
      </c>
      <c r="C497" t="inlineStr">
        <is>
          <t>GREAT EAGLE H</t>
        </is>
      </c>
      <c r="D497" t="inlineStr">
        <is>
          <t>大宗交易</t>
        </is>
      </c>
      <c r="E497" t="inlineStr">
        <is>
          <t>optional_missing</t>
        </is>
      </c>
      <c r="F497" t="inlineStr">
        <is>
          <t>港股大宗交易按允许缺失规则留空</t>
        </is>
      </c>
      <c r="G497" t="b">
        <v>0</v>
      </c>
      <c r="H497" t="b">
        <v>1</v>
      </c>
      <c r="I497" t="inlineStr">
        <is>
          <t>东方财富</t>
        </is>
      </c>
      <c r="J497" t="inlineStr">
        <is>
          <t>东方财富</t>
        </is>
      </c>
      <c r="K497" t="inlineStr">
        <is>
          <t>not-applicable-hk</t>
        </is>
      </c>
      <c r="L497" s="32" t="n">
        <v>46263.25725433244</v>
      </c>
      <c r="M497" t="b">
        <v>1</v>
      </c>
    </row>
    <row r="498">
      <c r="A498" t="inlineStr">
        <is>
          <t>港股</t>
        </is>
      </c>
      <c r="B498" t="inlineStr">
        <is>
          <t>00041</t>
        </is>
      </c>
      <c r="C498" t="inlineStr">
        <is>
          <t>GREAT EAGLE H</t>
        </is>
      </c>
      <c r="D498" t="inlineStr">
        <is>
          <t>资金流</t>
        </is>
      </c>
      <c r="E498" t="inlineStr">
        <is>
          <t>optional_missing</t>
        </is>
      </c>
      <c r="F498" t="inlineStr">
        <is>
          <t>用户选择不抓取资金流</t>
        </is>
      </c>
      <c r="G498" t="b">
        <v>0</v>
      </c>
      <c r="H498" t="b">
        <v>1</v>
      </c>
      <c r="I498" t="inlineStr">
        <is>
          <t>配置</t>
        </is>
      </c>
      <c r="J498" t="inlineStr">
        <is>
          <t>配置</t>
        </is>
      </c>
      <c r="K498" t="inlineStr">
        <is>
          <t>flow-mode-off</t>
        </is>
      </c>
      <c r="L498" s="32" t="n">
        <v>46263.25754607147</v>
      </c>
      <c r="M498" t="b">
        <v>0</v>
      </c>
    </row>
    <row r="499">
      <c r="A499" t="inlineStr">
        <is>
          <t>港股</t>
        </is>
      </c>
      <c r="B499" t="inlineStr">
        <is>
          <t>00041</t>
        </is>
      </c>
      <c r="C499" t="inlineStr">
        <is>
          <t>GREAT EAGLE H</t>
        </is>
      </c>
      <c r="D499" t="inlineStr">
        <is>
          <t>市值增长率</t>
        </is>
      </c>
      <c r="E499" t="inlineStr">
        <is>
          <t>missing</t>
        </is>
      </c>
      <c r="F499" t="inlineStr">
        <is>
          <t>市值增长率：missing</t>
        </is>
      </c>
      <c r="G499" t="b">
        <v>0</v>
      </c>
      <c r="H499" t="b">
        <v>1</v>
      </c>
      <c r="M499" t="b">
        <v>0</v>
      </c>
    </row>
    <row r="500">
      <c r="A500" t="inlineStr">
        <is>
          <t>港股</t>
        </is>
      </c>
      <c r="B500" t="inlineStr">
        <is>
          <t>00041</t>
        </is>
      </c>
      <c r="C500" t="inlineStr">
        <is>
          <t>GREAT EAGLE H</t>
        </is>
      </c>
      <c r="D500" t="inlineStr">
        <is>
          <t>发行价</t>
        </is>
      </c>
      <c r="E500" t="inlineStr">
        <is>
          <t>optional_missing</t>
        </is>
      </c>
      <c r="F500" t="inlineStr">
        <is>
          <t>发行价：optional_missing</t>
        </is>
      </c>
      <c r="G500" t="b">
        <v>0</v>
      </c>
      <c r="H500" t="b">
        <v>1</v>
      </c>
      <c r="M500" t="b">
        <v>0</v>
      </c>
    </row>
    <row r="501">
      <c r="A501" t="inlineStr">
        <is>
          <t>港股</t>
        </is>
      </c>
      <c r="B501" t="inlineStr">
        <is>
          <t>00041</t>
        </is>
      </c>
      <c r="C501" t="inlineStr">
        <is>
          <t>GREAT EAGLE H</t>
        </is>
      </c>
      <c r="D501" t="inlineStr">
        <is>
          <t>发行股数</t>
        </is>
      </c>
      <c r="E501" t="inlineStr">
        <is>
          <t>optional_missing</t>
        </is>
      </c>
      <c r="F501" t="inlineStr">
        <is>
          <t>发行股数：optional_missing</t>
        </is>
      </c>
      <c r="G501" t="b">
        <v>0</v>
      </c>
      <c r="H501" t="b">
        <v>1</v>
      </c>
      <c r="M501" t="b">
        <v>0</v>
      </c>
    </row>
    <row r="502">
      <c r="A502" t="inlineStr">
        <is>
          <t>港股</t>
        </is>
      </c>
      <c r="B502" t="inlineStr">
        <is>
          <t>00041</t>
        </is>
      </c>
      <c r="C502" t="inlineStr">
        <is>
          <t>GREAT EAGLE H</t>
        </is>
      </c>
      <c r="D502" t="inlineStr">
        <is>
          <t>发行时总市值</t>
        </is>
      </c>
      <c r="E502" t="inlineStr">
        <is>
          <t>optional_missing</t>
        </is>
      </c>
      <c r="F502" t="inlineStr">
        <is>
          <t>发行时总市值：optional_missing</t>
        </is>
      </c>
      <c r="G502" t="b">
        <v>0</v>
      </c>
      <c r="H502" t="b">
        <v>1</v>
      </c>
      <c r="M502" t="b">
        <v>0</v>
      </c>
    </row>
    <row r="503">
      <c r="A503" t="inlineStr">
        <is>
          <t>港股</t>
        </is>
      </c>
      <c r="B503" t="inlineStr">
        <is>
          <t>00041</t>
        </is>
      </c>
      <c r="C503" t="inlineStr">
        <is>
          <t>GREAT EAGLE H</t>
        </is>
      </c>
      <c r="D503" t="inlineStr">
        <is>
          <t>当年累计大宗交易笔数</t>
        </is>
      </c>
      <c r="E503" t="inlineStr">
        <is>
          <t>optional_missing</t>
        </is>
      </c>
      <c r="F503" t="inlineStr">
        <is>
          <t>当年累计大宗交易笔数：optional_missing</t>
        </is>
      </c>
      <c r="G503" t="b">
        <v>0</v>
      </c>
      <c r="H503" t="b">
        <v>1</v>
      </c>
      <c r="M503" t="b">
        <v>0</v>
      </c>
    </row>
    <row r="504">
      <c r="A504" t="inlineStr">
        <is>
          <t>港股</t>
        </is>
      </c>
      <c r="B504" t="inlineStr">
        <is>
          <t>00041</t>
        </is>
      </c>
      <c r="C504" t="inlineStr">
        <is>
          <t>GREAT EAGLE H</t>
        </is>
      </c>
      <c r="D504" t="inlineStr">
        <is>
          <t>当年累计大宗交易金额</t>
        </is>
      </c>
      <c r="E504" t="inlineStr">
        <is>
          <t>optional_missing</t>
        </is>
      </c>
      <c r="F504" t="inlineStr">
        <is>
          <t>当年累计大宗交易金额：optional_missing</t>
        </is>
      </c>
      <c r="G504" t="b">
        <v>0</v>
      </c>
      <c r="H504" t="b">
        <v>1</v>
      </c>
      <c r="M504" t="b">
        <v>0</v>
      </c>
    </row>
    <row r="505">
      <c r="A505" t="inlineStr">
        <is>
          <t>港股</t>
        </is>
      </c>
      <c r="B505" t="inlineStr">
        <is>
          <t>00041</t>
        </is>
      </c>
      <c r="C505" t="inlineStr">
        <is>
          <t>GREAT EAGLE H</t>
        </is>
      </c>
      <c r="D505" t="inlineStr">
        <is>
          <t>近五个交易日资金净额</t>
        </is>
      </c>
      <c r="E505" t="inlineStr">
        <is>
          <t>optional_missing</t>
        </is>
      </c>
      <c r="F505" t="inlineStr">
        <is>
          <t>近五个交易日资金净额：optional_missing</t>
        </is>
      </c>
      <c r="G505" t="b">
        <v>0</v>
      </c>
      <c r="H505" t="b">
        <v>1</v>
      </c>
      <c r="M505" t="b">
        <v>0</v>
      </c>
    </row>
    <row r="506">
      <c r="A506" t="inlineStr">
        <is>
          <t>港股</t>
        </is>
      </c>
      <c r="B506" t="inlineStr">
        <is>
          <t>00041</t>
        </is>
      </c>
      <c r="C506" t="inlineStr">
        <is>
          <t>GREAT EAGLE H</t>
        </is>
      </c>
      <c r="D506" t="inlineStr">
        <is>
          <t>近一月资金净额（最近22个交易日）</t>
        </is>
      </c>
      <c r="E506" t="inlineStr">
        <is>
          <t>optional_missing</t>
        </is>
      </c>
      <c r="F506" t="inlineStr">
        <is>
          <t>近一月资金净额（最近22个交易日）：optional_missing</t>
        </is>
      </c>
      <c r="G506" t="b">
        <v>0</v>
      </c>
      <c r="H506" t="b">
        <v>1</v>
      </c>
      <c r="M506" t="b">
        <v>0</v>
      </c>
    </row>
    <row r="507">
      <c r="A507" t="inlineStr">
        <is>
          <t>A股</t>
        </is>
      </c>
      <c r="B507" t="inlineStr">
        <is>
          <t>000060</t>
        </is>
      </c>
      <c r="C507" t="inlineStr">
        <is>
          <t>中金岭南</t>
        </is>
      </c>
      <c r="D507" t="inlineStr">
        <is>
          <t>资金流</t>
        </is>
      </c>
      <c r="E507" t="inlineStr">
        <is>
          <t>optional_missing</t>
        </is>
      </c>
      <c r="F507" t="inlineStr">
        <is>
          <t>用户选择不抓取资金流</t>
        </is>
      </c>
      <c r="G507" t="b">
        <v>0</v>
      </c>
      <c r="H507" t="b">
        <v>1</v>
      </c>
      <c r="I507" t="inlineStr">
        <is>
          <t>配置</t>
        </is>
      </c>
      <c r="J507" t="inlineStr">
        <is>
          <t>配置</t>
        </is>
      </c>
      <c r="K507" t="inlineStr">
        <is>
          <t>flow-mode-off</t>
        </is>
      </c>
      <c r="L507" s="32" t="n">
        <v>46263.25754607147</v>
      </c>
      <c r="M507" t="b">
        <v>0</v>
      </c>
    </row>
    <row r="508">
      <c r="A508" t="inlineStr">
        <is>
          <t>A股</t>
        </is>
      </c>
      <c r="B508" t="inlineStr">
        <is>
          <t>000060</t>
        </is>
      </c>
      <c r="C508" t="inlineStr">
        <is>
          <t>中金岭南</t>
        </is>
      </c>
      <c r="D508" t="inlineStr">
        <is>
          <t>近五个交易日资金净额</t>
        </is>
      </c>
      <c r="E508" t="inlineStr">
        <is>
          <t>optional_missing</t>
        </is>
      </c>
      <c r="F508" t="inlineStr">
        <is>
          <t>近五个交易日资金净额：optional_missing</t>
        </is>
      </c>
      <c r="G508" t="b">
        <v>0</v>
      </c>
      <c r="H508" t="b">
        <v>1</v>
      </c>
      <c r="M508" t="b">
        <v>0</v>
      </c>
    </row>
    <row r="509">
      <c r="A509" t="inlineStr">
        <is>
          <t>A股</t>
        </is>
      </c>
      <c r="B509" t="inlineStr">
        <is>
          <t>000060</t>
        </is>
      </c>
      <c r="C509" t="inlineStr">
        <is>
          <t>中金岭南</t>
        </is>
      </c>
      <c r="D509" t="inlineStr">
        <is>
          <t>近一月资金净额（最近22个交易日）</t>
        </is>
      </c>
      <c r="E509" t="inlineStr">
        <is>
          <t>optional_missing</t>
        </is>
      </c>
      <c r="F509" t="inlineStr">
        <is>
          <t>近一月资金净额（最近22个交易日）：optional_missing</t>
        </is>
      </c>
      <c r="G509" t="b">
        <v>0</v>
      </c>
      <c r="H509" t="b">
        <v>1</v>
      </c>
      <c r="M509" t="b">
        <v>0</v>
      </c>
    </row>
    <row r="510">
      <c r="A510" t="inlineStr">
        <is>
          <t>港股</t>
        </is>
      </c>
      <c r="B510" t="inlineStr">
        <is>
          <t>00042</t>
        </is>
      </c>
      <c r="C510" t="inlineStr">
        <is>
          <t>NE ELECTRIC</t>
        </is>
      </c>
      <c r="D510" t="inlineStr">
        <is>
          <t>大宗交易</t>
        </is>
      </c>
      <c r="E510" t="inlineStr">
        <is>
          <t>optional_missing</t>
        </is>
      </c>
      <c r="F510" t="inlineStr">
        <is>
          <t>港股大宗交易按允许缺失规则留空</t>
        </is>
      </c>
      <c r="G510" t="b">
        <v>0</v>
      </c>
      <c r="H510" t="b">
        <v>1</v>
      </c>
      <c r="I510" t="inlineStr">
        <is>
          <t>东方财富</t>
        </is>
      </c>
      <c r="J510" t="inlineStr">
        <is>
          <t>东方财富</t>
        </is>
      </c>
      <c r="K510" t="inlineStr">
        <is>
          <t>not-applicable-hk</t>
        </is>
      </c>
      <c r="L510" s="32" t="n">
        <v>46263.25725433244</v>
      </c>
      <c r="M510" t="b">
        <v>1</v>
      </c>
    </row>
    <row r="511">
      <c r="A511" t="inlineStr">
        <is>
          <t>港股</t>
        </is>
      </c>
      <c r="B511" t="inlineStr">
        <is>
          <t>00042</t>
        </is>
      </c>
      <c r="C511" t="inlineStr">
        <is>
          <t>NE ELECTRIC</t>
        </is>
      </c>
      <c r="D511" t="inlineStr">
        <is>
          <t>资金流</t>
        </is>
      </c>
      <c r="E511" t="inlineStr">
        <is>
          <t>optional_missing</t>
        </is>
      </c>
      <c r="F511" t="inlineStr">
        <is>
          <t>用户选择不抓取资金流</t>
        </is>
      </c>
      <c r="G511" t="b">
        <v>0</v>
      </c>
      <c r="H511" t="b">
        <v>1</v>
      </c>
      <c r="I511" t="inlineStr">
        <is>
          <t>配置</t>
        </is>
      </c>
      <c r="J511" t="inlineStr">
        <is>
          <t>配置</t>
        </is>
      </c>
      <c r="K511" t="inlineStr">
        <is>
          <t>flow-mode-off</t>
        </is>
      </c>
      <c r="L511" s="32" t="n">
        <v>46263.25754607147</v>
      </c>
      <c r="M511" t="b">
        <v>0</v>
      </c>
    </row>
    <row r="512">
      <c r="A512" t="inlineStr">
        <is>
          <t>港股</t>
        </is>
      </c>
      <c r="B512" t="inlineStr">
        <is>
          <t>00042</t>
        </is>
      </c>
      <c r="C512" t="inlineStr">
        <is>
          <t>NE ELECTRIC</t>
        </is>
      </c>
      <c r="D512" t="inlineStr">
        <is>
          <t>当年累计大宗交易笔数</t>
        </is>
      </c>
      <c r="E512" t="inlineStr">
        <is>
          <t>optional_missing</t>
        </is>
      </c>
      <c r="F512" t="inlineStr">
        <is>
          <t>当年累计大宗交易笔数：optional_missing</t>
        </is>
      </c>
      <c r="G512" t="b">
        <v>0</v>
      </c>
      <c r="H512" t="b">
        <v>1</v>
      </c>
      <c r="M512" t="b">
        <v>0</v>
      </c>
    </row>
    <row r="513">
      <c r="A513" t="inlineStr">
        <is>
          <t>港股</t>
        </is>
      </c>
      <c r="B513" t="inlineStr">
        <is>
          <t>00042</t>
        </is>
      </c>
      <c r="C513" t="inlineStr">
        <is>
          <t>NE ELECTRIC</t>
        </is>
      </c>
      <c r="D513" t="inlineStr">
        <is>
          <t>当年累计大宗交易金额</t>
        </is>
      </c>
      <c r="E513" t="inlineStr">
        <is>
          <t>optional_missing</t>
        </is>
      </c>
      <c r="F513" t="inlineStr">
        <is>
          <t>当年累计大宗交易金额：optional_missing</t>
        </is>
      </c>
      <c r="G513" t="b">
        <v>0</v>
      </c>
      <c r="H513" t="b">
        <v>1</v>
      </c>
      <c r="M513" t="b">
        <v>0</v>
      </c>
    </row>
    <row r="514">
      <c r="A514" t="inlineStr">
        <is>
          <t>港股</t>
        </is>
      </c>
      <c r="B514" t="inlineStr">
        <is>
          <t>00042</t>
        </is>
      </c>
      <c r="C514" t="inlineStr">
        <is>
          <t>NE ELECTRIC</t>
        </is>
      </c>
      <c r="D514" t="inlineStr">
        <is>
          <t>近五个交易日资金净额</t>
        </is>
      </c>
      <c r="E514" t="inlineStr">
        <is>
          <t>optional_missing</t>
        </is>
      </c>
      <c r="F514" t="inlineStr">
        <is>
          <t>近五个交易日资金净额：optional_missing</t>
        </is>
      </c>
      <c r="G514" t="b">
        <v>0</v>
      </c>
      <c r="H514" t="b">
        <v>1</v>
      </c>
      <c r="M514" t="b">
        <v>0</v>
      </c>
    </row>
    <row r="515">
      <c r="A515" t="inlineStr">
        <is>
          <t>港股</t>
        </is>
      </c>
      <c r="B515" t="inlineStr">
        <is>
          <t>00042</t>
        </is>
      </c>
      <c r="C515" t="inlineStr">
        <is>
          <t>NE ELECTRIC</t>
        </is>
      </c>
      <c r="D515" t="inlineStr">
        <is>
          <t>近一月资金净额（最近22个交易日）</t>
        </is>
      </c>
      <c r="E515" t="inlineStr">
        <is>
          <t>optional_missing</t>
        </is>
      </c>
      <c r="F515" t="inlineStr">
        <is>
          <t>近一月资金净额（最近22个交易日）：optional_missing</t>
        </is>
      </c>
      <c r="G515" t="b">
        <v>0</v>
      </c>
      <c r="H515" t="b">
        <v>1</v>
      </c>
      <c r="M515" t="b">
        <v>0</v>
      </c>
    </row>
    <row r="516">
      <c r="A516" t="inlineStr">
        <is>
          <t>A股</t>
        </is>
      </c>
      <c r="B516" t="inlineStr">
        <is>
          <t>000061</t>
        </is>
      </c>
      <c r="C516" t="inlineStr">
        <is>
          <t>农产品</t>
        </is>
      </c>
      <c r="D516" t="inlineStr">
        <is>
          <t>资金流</t>
        </is>
      </c>
      <c r="E516" t="inlineStr">
        <is>
          <t>optional_missing</t>
        </is>
      </c>
      <c r="F516" t="inlineStr">
        <is>
          <t>用户选择不抓取资金流</t>
        </is>
      </c>
      <c r="G516" t="b">
        <v>0</v>
      </c>
      <c r="H516" t="b">
        <v>1</v>
      </c>
      <c r="I516" t="inlineStr">
        <is>
          <t>配置</t>
        </is>
      </c>
      <c r="J516" t="inlineStr">
        <is>
          <t>配置</t>
        </is>
      </c>
      <c r="K516" t="inlineStr">
        <is>
          <t>flow-mode-off</t>
        </is>
      </c>
      <c r="L516" s="32" t="n">
        <v>46263.25754607147</v>
      </c>
      <c r="M516" t="b">
        <v>0</v>
      </c>
    </row>
    <row r="517">
      <c r="A517" t="inlineStr">
        <is>
          <t>A股</t>
        </is>
      </c>
      <c r="B517" t="inlineStr">
        <is>
          <t>000061</t>
        </is>
      </c>
      <c r="C517" t="inlineStr">
        <is>
          <t>农产品</t>
        </is>
      </c>
      <c r="D517" t="inlineStr">
        <is>
          <t>近五个交易日资金净额</t>
        </is>
      </c>
      <c r="E517" t="inlineStr">
        <is>
          <t>optional_missing</t>
        </is>
      </c>
      <c r="F517" t="inlineStr">
        <is>
          <t>近五个交易日资金净额：optional_missing</t>
        </is>
      </c>
      <c r="G517" t="b">
        <v>0</v>
      </c>
      <c r="H517" t="b">
        <v>1</v>
      </c>
      <c r="M517" t="b">
        <v>0</v>
      </c>
    </row>
    <row r="518">
      <c r="A518" t="inlineStr">
        <is>
          <t>A股</t>
        </is>
      </c>
      <c r="B518" t="inlineStr">
        <is>
          <t>000061</t>
        </is>
      </c>
      <c r="C518" t="inlineStr">
        <is>
          <t>农产品</t>
        </is>
      </c>
      <c r="D518" t="inlineStr">
        <is>
          <t>近一月资金净额（最近22个交易日）</t>
        </is>
      </c>
      <c r="E518" t="inlineStr">
        <is>
          <t>optional_missing</t>
        </is>
      </c>
      <c r="F518" t="inlineStr">
        <is>
          <t>近一月资金净额（最近22个交易日）：optional_missing</t>
        </is>
      </c>
      <c r="G518" t="b">
        <v>0</v>
      </c>
      <c r="H518" t="b">
        <v>1</v>
      </c>
      <c r="M518" t="b">
        <v>0</v>
      </c>
    </row>
    <row r="519">
      <c r="A519" t="inlineStr">
        <is>
          <t>港股</t>
        </is>
      </c>
      <c r="B519" t="inlineStr">
        <is>
          <t>00045</t>
        </is>
      </c>
      <c r="C519" t="inlineStr">
        <is>
          <t>HK&amp;S HOTELS</t>
        </is>
      </c>
      <c r="D519" t="inlineStr">
        <is>
          <t>大宗交易</t>
        </is>
      </c>
      <c r="E519" t="inlineStr">
        <is>
          <t>optional_missing</t>
        </is>
      </c>
      <c r="F519" t="inlineStr">
        <is>
          <t>港股大宗交易按允许缺失规则留空</t>
        </is>
      </c>
      <c r="G519" t="b">
        <v>0</v>
      </c>
      <c r="H519" t="b">
        <v>1</v>
      </c>
      <c r="I519" t="inlineStr">
        <is>
          <t>东方财富</t>
        </is>
      </c>
      <c r="J519" t="inlineStr">
        <is>
          <t>东方财富</t>
        </is>
      </c>
      <c r="K519" t="inlineStr">
        <is>
          <t>not-applicable-hk</t>
        </is>
      </c>
      <c r="L519" s="32" t="n">
        <v>46263.25725433244</v>
      </c>
      <c r="M519" t="b">
        <v>1</v>
      </c>
    </row>
    <row r="520">
      <c r="A520" t="inlineStr">
        <is>
          <t>港股</t>
        </is>
      </c>
      <c r="B520" t="inlineStr">
        <is>
          <t>00045</t>
        </is>
      </c>
      <c r="C520" t="inlineStr">
        <is>
          <t>HK&amp;S HOTELS</t>
        </is>
      </c>
      <c r="D520" t="inlineStr">
        <is>
          <t>资金流</t>
        </is>
      </c>
      <c r="E520" t="inlineStr">
        <is>
          <t>optional_missing</t>
        </is>
      </c>
      <c r="F520" t="inlineStr">
        <is>
          <t>用户选择不抓取资金流</t>
        </is>
      </c>
      <c r="G520" t="b">
        <v>0</v>
      </c>
      <c r="H520" t="b">
        <v>1</v>
      </c>
      <c r="I520" t="inlineStr">
        <is>
          <t>配置</t>
        </is>
      </c>
      <c r="J520" t="inlineStr">
        <is>
          <t>配置</t>
        </is>
      </c>
      <c r="K520" t="inlineStr">
        <is>
          <t>flow-mode-off</t>
        </is>
      </c>
      <c r="L520" s="32" t="n">
        <v>46263.25754607147</v>
      </c>
      <c r="M520" t="b">
        <v>0</v>
      </c>
    </row>
    <row r="521">
      <c r="A521" t="inlineStr">
        <is>
          <t>港股</t>
        </is>
      </c>
      <c r="B521" t="inlineStr">
        <is>
          <t>00045</t>
        </is>
      </c>
      <c r="C521" t="inlineStr">
        <is>
          <t>HK&amp;S HOTELS</t>
        </is>
      </c>
      <c r="D521" t="inlineStr">
        <is>
          <t>市值增长率</t>
        </is>
      </c>
      <c r="E521" t="inlineStr">
        <is>
          <t>missing</t>
        </is>
      </c>
      <c r="F521" t="inlineStr">
        <is>
          <t>市值增长率：missing</t>
        </is>
      </c>
      <c r="G521" t="b">
        <v>0</v>
      </c>
      <c r="H521" t="b">
        <v>1</v>
      </c>
      <c r="M521" t="b">
        <v>0</v>
      </c>
    </row>
    <row r="522">
      <c r="A522" t="inlineStr">
        <is>
          <t>港股</t>
        </is>
      </c>
      <c r="B522" t="inlineStr">
        <is>
          <t>00045</t>
        </is>
      </c>
      <c r="C522" t="inlineStr">
        <is>
          <t>HK&amp;S HOTELS</t>
        </is>
      </c>
      <c r="D522" t="inlineStr">
        <is>
          <t>发行价</t>
        </is>
      </c>
      <c r="E522" t="inlineStr">
        <is>
          <t>optional_missing</t>
        </is>
      </c>
      <c r="F522" t="inlineStr">
        <is>
          <t>发行价：optional_missing</t>
        </is>
      </c>
      <c r="G522" t="b">
        <v>0</v>
      </c>
      <c r="H522" t="b">
        <v>1</v>
      </c>
      <c r="M522" t="b">
        <v>0</v>
      </c>
    </row>
    <row r="523">
      <c r="A523" t="inlineStr">
        <is>
          <t>港股</t>
        </is>
      </c>
      <c r="B523" t="inlineStr">
        <is>
          <t>00045</t>
        </is>
      </c>
      <c r="C523" t="inlineStr">
        <is>
          <t>HK&amp;S HOTELS</t>
        </is>
      </c>
      <c r="D523" t="inlineStr">
        <is>
          <t>发行股数</t>
        </is>
      </c>
      <c r="E523" t="inlineStr">
        <is>
          <t>optional_missing</t>
        </is>
      </c>
      <c r="F523" t="inlineStr">
        <is>
          <t>发行股数：optional_missing</t>
        </is>
      </c>
      <c r="G523" t="b">
        <v>0</v>
      </c>
      <c r="H523" t="b">
        <v>1</v>
      </c>
      <c r="M523" t="b">
        <v>0</v>
      </c>
    </row>
    <row r="524">
      <c r="A524" t="inlineStr">
        <is>
          <t>港股</t>
        </is>
      </c>
      <c r="B524" t="inlineStr">
        <is>
          <t>00045</t>
        </is>
      </c>
      <c r="C524" t="inlineStr">
        <is>
          <t>HK&amp;S HOTELS</t>
        </is>
      </c>
      <c r="D524" t="inlineStr">
        <is>
          <t>发行时总市值</t>
        </is>
      </c>
      <c r="E524" t="inlineStr">
        <is>
          <t>optional_missing</t>
        </is>
      </c>
      <c r="F524" t="inlineStr">
        <is>
          <t>发行时总市值：optional_missing</t>
        </is>
      </c>
      <c r="G524" t="b">
        <v>0</v>
      </c>
      <c r="H524" t="b">
        <v>1</v>
      </c>
      <c r="M524" t="b">
        <v>0</v>
      </c>
    </row>
    <row r="525">
      <c r="A525" t="inlineStr">
        <is>
          <t>港股</t>
        </is>
      </c>
      <c r="B525" t="inlineStr">
        <is>
          <t>00045</t>
        </is>
      </c>
      <c r="C525" t="inlineStr">
        <is>
          <t>HK&amp;S HOTELS</t>
        </is>
      </c>
      <c r="D525" t="inlineStr">
        <is>
          <t>当年累计大宗交易笔数</t>
        </is>
      </c>
      <c r="E525" t="inlineStr">
        <is>
          <t>optional_missing</t>
        </is>
      </c>
      <c r="F525" t="inlineStr">
        <is>
          <t>当年累计大宗交易笔数：optional_missing</t>
        </is>
      </c>
      <c r="G525" t="b">
        <v>0</v>
      </c>
      <c r="H525" t="b">
        <v>1</v>
      </c>
      <c r="M525" t="b">
        <v>0</v>
      </c>
    </row>
    <row r="526">
      <c r="A526" t="inlineStr">
        <is>
          <t>港股</t>
        </is>
      </c>
      <c r="B526" t="inlineStr">
        <is>
          <t>00045</t>
        </is>
      </c>
      <c r="C526" t="inlineStr">
        <is>
          <t>HK&amp;S HOTELS</t>
        </is>
      </c>
      <c r="D526" t="inlineStr">
        <is>
          <t>当年累计大宗交易金额</t>
        </is>
      </c>
      <c r="E526" t="inlineStr">
        <is>
          <t>optional_missing</t>
        </is>
      </c>
      <c r="F526" t="inlineStr">
        <is>
          <t>当年累计大宗交易金额：optional_missing</t>
        </is>
      </c>
      <c r="G526" t="b">
        <v>0</v>
      </c>
      <c r="H526" t="b">
        <v>1</v>
      </c>
      <c r="M526" t="b">
        <v>0</v>
      </c>
    </row>
    <row r="527">
      <c r="A527" t="inlineStr">
        <is>
          <t>港股</t>
        </is>
      </c>
      <c r="B527" t="inlineStr">
        <is>
          <t>00045</t>
        </is>
      </c>
      <c r="C527" t="inlineStr">
        <is>
          <t>HK&amp;S HOTELS</t>
        </is>
      </c>
      <c r="D527" t="inlineStr">
        <is>
          <t>近五个交易日资金净额</t>
        </is>
      </c>
      <c r="E527" t="inlineStr">
        <is>
          <t>optional_missing</t>
        </is>
      </c>
      <c r="F527" t="inlineStr">
        <is>
          <t>近五个交易日资金净额：optional_missing</t>
        </is>
      </c>
      <c r="G527" t="b">
        <v>0</v>
      </c>
      <c r="H527" t="b">
        <v>1</v>
      </c>
      <c r="M527" t="b">
        <v>0</v>
      </c>
    </row>
    <row r="528">
      <c r="A528" t="inlineStr">
        <is>
          <t>港股</t>
        </is>
      </c>
      <c r="B528" t="inlineStr">
        <is>
          <t>00045</t>
        </is>
      </c>
      <c r="C528" t="inlineStr">
        <is>
          <t>HK&amp;S HOTELS</t>
        </is>
      </c>
      <c r="D528" t="inlineStr">
        <is>
          <t>近一月资金净额（最近22个交易日）</t>
        </is>
      </c>
      <c r="E528" t="inlineStr">
        <is>
          <t>optional_missing</t>
        </is>
      </c>
      <c r="F528" t="inlineStr">
        <is>
          <t>近一月资金净额（最近22个交易日）：optional_missing</t>
        </is>
      </c>
      <c r="G528" t="b">
        <v>0</v>
      </c>
      <c r="H528" t="b">
        <v>1</v>
      </c>
      <c r="M528" t="b">
        <v>0</v>
      </c>
    </row>
    <row r="529">
      <c r="A529" t="inlineStr">
        <is>
          <t>A股</t>
        </is>
      </c>
      <c r="B529" t="inlineStr">
        <is>
          <t>000062</t>
        </is>
      </c>
      <c r="C529" t="inlineStr">
        <is>
          <t>深圳华强</t>
        </is>
      </c>
      <c r="D529" t="inlineStr">
        <is>
          <t>资金流</t>
        </is>
      </c>
      <c r="E529" t="inlineStr">
        <is>
          <t>optional_missing</t>
        </is>
      </c>
      <c r="F529" t="inlineStr">
        <is>
          <t>用户选择不抓取资金流</t>
        </is>
      </c>
      <c r="G529" t="b">
        <v>0</v>
      </c>
      <c r="H529" t="b">
        <v>1</v>
      </c>
      <c r="I529" t="inlineStr">
        <is>
          <t>配置</t>
        </is>
      </c>
      <c r="J529" t="inlineStr">
        <is>
          <t>配置</t>
        </is>
      </c>
      <c r="K529" t="inlineStr">
        <is>
          <t>flow-mode-off</t>
        </is>
      </c>
      <c r="L529" s="32" t="n">
        <v>46263.25754607147</v>
      </c>
      <c r="M529" t="b">
        <v>0</v>
      </c>
    </row>
    <row r="530">
      <c r="A530" t="inlineStr">
        <is>
          <t>A股</t>
        </is>
      </c>
      <c r="B530" t="inlineStr">
        <is>
          <t>000062</t>
        </is>
      </c>
      <c r="C530" t="inlineStr">
        <is>
          <t>深圳华强</t>
        </is>
      </c>
      <c r="D530" t="inlineStr">
        <is>
          <t>近五个交易日资金净额</t>
        </is>
      </c>
      <c r="E530" t="inlineStr">
        <is>
          <t>optional_missing</t>
        </is>
      </c>
      <c r="F530" t="inlineStr">
        <is>
          <t>近五个交易日资金净额：optional_missing</t>
        </is>
      </c>
      <c r="G530" t="b">
        <v>0</v>
      </c>
      <c r="H530" t="b">
        <v>1</v>
      </c>
      <c r="M530" t="b">
        <v>0</v>
      </c>
    </row>
    <row r="531">
      <c r="A531" t="inlineStr">
        <is>
          <t>A股</t>
        </is>
      </c>
      <c r="B531" t="inlineStr">
        <is>
          <t>000062</t>
        </is>
      </c>
      <c r="C531" t="inlineStr">
        <is>
          <t>深圳华强</t>
        </is>
      </c>
      <c r="D531" t="inlineStr">
        <is>
          <t>近一月资金净额（最近22个交易日）</t>
        </is>
      </c>
      <c r="E531" t="inlineStr">
        <is>
          <t>optional_missing</t>
        </is>
      </c>
      <c r="F531" t="inlineStr">
        <is>
          <t>近一月资金净额（最近22个交易日）：optional_missing</t>
        </is>
      </c>
      <c r="G531" t="b">
        <v>0</v>
      </c>
      <c r="H531" t="b">
        <v>1</v>
      </c>
      <c r="M531" t="b">
        <v>0</v>
      </c>
    </row>
    <row r="532">
      <c r="A532" t="inlineStr">
        <is>
          <t>港股</t>
        </is>
      </c>
      <c r="B532" t="inlineStr">
        <is>
          <t>00046</t>
        </is>
      </c>
      <c r="C532" t="inlineStr">
        <is>
          <t>COMPUTER &amp; TECH</t>
        </is>
      </c>
      <c r="D532" t="inlineStr">
        <is>
          <t>大宗交易</t>
        </is>
      </c>
      <c r="E532" t="inlineStr">
        <is>
          <t>optional_missing</t>
        </is>
      </c>
      <c r="F532" t="inlineStr">
        <is>
          <t>港股大宗交易按允许缺失规则留空</t>
        </is>
      </c>
      <c r="G532" t="b">
        <v>0</v>
      </c>
      <c r="H532" t="b">
        <v>1</v>
      </c>
      <c r="I532" t="inlineStr">
        <is>
          <t>东方财富</t>
        </is>
      </c>
      <c r="J532" t="inlineStr">
        <is>
          <t>东方财富</t>
        </is>
      </c>
      <c r="K532" t="inlineStr">
        <is>
          <t>not-applicable-hk</t>
        </is>
      </c>
      <c r="L532" s="32" t="n">
        <v>46263.25725433244</v>
      </c>
      <c r="M532" t="b">
        <v>1</v>
      </c>
    </row>
    <row r="533">
      <c r="A533" t="inlineStr">
        <is>
          <t>港股</t>
        </is>
      </c>
      <c r="B533" t="inlineStr">
        <is>
          <t>00046</t>
        </is>
      </c>
      <c r="C533" t="inlineStr">
        <is>
          <t>COMPUTER &amp; TECH</t>
        </is>
      </c>
      <c r="D533" t="inlineStr">
        <is>
          <t>资金流</t>
        </is>
      </c>
      <c r="E533" t="inlineStr">
        <is>
          <t>optional_missing</t>
        </is>
      </c>
      <c r="F533" t="inlineStr">
        <is>
          <t>用户选择不抓取资金流</t>
        </is>
      </c>
      <c r="G533" t="b">
        <v>0</v>
      </c>
      <c r="H533" t="b">
        <v>1</v>
      </c>
      <c r="I533" t="inlineStr">
        <is>
          <t>配置</t>
        </is>
      </c>
      <c r="J533" t="inlineStr">
        <is>
          <t>配置</t>
        </is>
      </c>
      <c r="K533" t="inlineStr">
        <is>
          <t>flow-mode-off</t>
        </is>
      </c>
      <c r="L533" s="32" t="n">
        <v>46263.25754607147</v>
      </c>
      <c r="M533" t="b">
        <v>0</v>
      </c>
    </row>
    <row r="534">
      <c r="A534" t="inlineStr">
        <is>
          <t>港股</t>
        </is>
      </c>
      <c r="B534" t="inlineStr">
        <is>
          <t>00046</t>
        </is>
      </c>
      <c r="C534" t="inlineStr">
        <is>
          <t>COMPUTER &amp; TECH</t>
        </is>
      </c>
      <c r="D534" t="inlineStr">
        <is>
          <t>当年累计大宗交易笔数</t>
        </is>
      </c>
      <c r="E534" t="inlineStr">
        <is>
          <t>optional_missing</t>
        </is>
      </c>
      <c r="F534" t="inlineStr">
        <is>
          <t>当年累计大宗交易笔数：optional_missing</t>
        </is>
      </c>
      <c r="G534" t="b">
        <v>0</v>
      </c>
      <c r="H534" t="b">
        <v>1</v>
      </c>
      <c r="M534" t="b">
        <v>0</v>
      </c>
    </row>
    <row r="535">
      <c r="A535" t="inlineStr">
        <is>
          <t>港股</t>
        </is>
      </c>
      <c r="B535" t="inlineStr">
        <is>
          <t>00046</t>
        </is>
      </c>
      <c r="C535" t="inlineStr">
        <is>
          <t>COMPUTER &amp; TECH</t>
        </is>
      </c>
      <c r="D535" t="inlineStr">
        <is>
          <t>当年累计大宗交易金额</t>
        </is>
      </c>
      <c r="E535" t="inlineStr">
        <is>
          <t>optional_missing</t>
        </is>
      </c>
      <c r="F535" t="inlineStr">
        <is>
          <t>当年累计大宗交易金额：optional_missing</t>
        </is>
      </c>
      <c r="G535" t="b">
        <v>0</v>
      </c>
      <c r="H535" t="b">
        <v>1</v>
      </c>
      <c r="M535" t="b">
        <v>0</v>
      </c>
    </row>
    <row r="536">
      <c r="A536" t="inlineStr">
        <is>
          <t>港股</t>
        </is>
      </c>
      <c r="B536" t="inlineStr">
        <is>
          <t>00046</t>
        </is>
      </c>
      <c r="C536" t="inlineStr">
        <is>
          <t>COMPUTER &amp; TECH</t>
        </is>
      </c>
      <c r="D536" t="inlineStr">
        <is>
          <t>近五个交易日资金净额</t>
        </is>
      </c>
      <c r="E536" t="inlineStr">
        <is>
          <t>optional_missing</t>
        </is>
      </c>
      <c r="F536" t="inlineStr">
        <is>
          <t>近五个交易日资金净额：optional_missing</t>
        </is>
      </c>
      <c r="G536" t="b">
        <v>0</v>
      </c>
      <c r="H536" t="b">
        <v>1</v>
      </c>
      <c r="M536" t="b">
        <v>0</v>
      </c>
    </row>
    <row r="537">
      <c r="A537" t="inlineStr">
        <is>
          <t>港股</t>
        </is>
      </c>
      <c r="B537" t="inlineStr">
        <is>
          <t>00046</t>
        </is>
      </c>
      <c r="C537" t="inlineStr">
        <is>
          <t>COMPUTER &amp; TECH</t>
        </is>
      </c>
      <c r="D537" t="inlineStr">
        <is>
          <t>近一月资金净额（最近22个交易日）</t>
        </is>
      </c>
      <c r="E537" t="inlineStr">
        <is>
          <t>optional_missing</t>
        </is>
      </c>
      <c r="F537" t="inlineStr">
        <is>
          <t>近一月资金净额（最近22个交易日）：optional_missing</t>
        </is>
      </c>
      <c r="G537" t="b">
        <v>0</v>
      </c>
      <c r="H537" t="b">
        <v>1</v>
      </c>
      <c r="M537" t="b">
        <v>0</v>
      </c>
    </row>
    <row r="538">
      <c r="A538" t="inlineStr">
        <is>
          <t>A股</t>
        </is>
      </c>
      <c r="B538" t="inlineStr">
        <is>
          <t>000063</t>
        </is>
      </c>
      <c r="C538" t="inlineStr">
        <is>
          <t>中兴通讯</t>
        </is>
      </c>
      <c r="D538" t="inlineStr">
        <is>
          <t>资金流</t>
        </is>
      </c>
      <c r="E538" t="inlineStr">
        <is>
          <t>optional_missing</t>
        </is>
      </c>
      <c r="F538" t="inlineStr">
        <is>
          <t>用户选择不抓取资金流</t>
        </is>
      </c>
      <c r="G538" t="b">
        <v>0</v>
      </c>
      <c r="H538" t="b">
        <v>1</v>
      </c>
      <c r="I538" t="inlineStr">
        <is>
          <t>配置</t>
        </is>
      </c>
      <c r="J538" t="inlineStr">
        <is>
          <t>配置</t>
        </is>
      </c>
      <c r="K538" t="inlineStr">
        <is>
          <t>flow-mode-off</t>
        </is>
      </c>
      <c r="L538" s="32" t="n">
        <v>46263.25754607147</v>
      </c>
      <c r="M538" t="b">
        <v>0</v>
      </c>
    </row>
    <row r="539">
      <c r="A539" t="inlineStr">
        <is>
          <t>A股</t>
        </is>
      </c>
      <c r="B539" t="inlineStr">
        <is>
          <t>000063</t>
        </is>
      </c>
      <c r="C539" t="inlineStr">
        <is>
          <t>中兴通讯</t>
        </is>
      </c>
      <c r="D539" t="inlineStr">
        <is>
          <t>近五个交易日资金净额</t>
        </is>
      </c>
      <c r="E539" t="inlineStr">
        <is>
          <t>optional_missing</t>
        </is>
      </c>
      <c r="F539" t="inlineStr">
        <is>
          <t>近五个交易日资金净额：optional_missing</t>
        </is>
      </c>
      <c r="G539" t="b">
        <v>0</v>
      </c>
      <c r="H539" t="b">
        <v>1</v>
      </c>
      <c r="M539" t="b">
        <v>0</v>
      </c>
    </row>
    <row r="540">
      <c r="A540" t="inlineStr">
        <is>
          <t>A股</t>
        </is>
      </c>
      <c r="B540" t="inlineStr">
        <is>
          <t>000063</t>
        </is>
      </c>
      <c r="C540" t="inlineStr">
        <is>
          <t>中兴通讯</t>
        </is>
      </c>
      <c r="D540" t="inlineStr">
        <is>
          <t>近一月资金净额（最近22个交易日）</t>
        </is>
      </c>
      <c r="E540" t="inlineStr">
        <is>
          <t>optional_missing</t>
        </is>
      </c>
      <c r="F540" t="inlineStr">
        <is>
          <t>近一月资金净额（最近22个交易日）：optional_missing</t>
        </is>
      </c>
      <c r="G540" t="b">
        <v>0</v>
      </c>
      <c r="H540" t="b">
        <v>1</v>
      </c>
      <c r="M540" t="b">
        <v>0</v>
      </c>
    </row>
    <row r="541">
      <c r="A541" t="inlineStr">
        <is>
          <t>港股</t>
        </is>
      </c>
      <c r="B541" t="inlineStr">
        <is>
          <t>00048</t>
        </is>
      </c>
      <c r="C541" t="inlineStr">
        <is>
          <t>C AUTO INT DECO</t>
        </is>
      </c>
      <c r="D541" t="inlineStr">
        <is>
          <t>大宗交易</t>
        </is>
      </c>
      <c r="E541" t="inlineStr">
        <is>
          <t>optional_missing</t>
        </is>
      </c>
      <c r="F541" t="inlineStr">
        <is>
          <t>港股大宗交易按允许缺失规则留空</t>
        </is>
      </c>
      <c r="G541" t="b">
        <v>0</v>
      </c>
      <c r="H541" t="b">
        <v>1</v>
      </c>
      <c r="I541" t="inlineStr">
        <is>
          <t>东方财富</t>
        </is>
      </c>
      <c r="J541" t="inlineStr">
        <is>
          <t>东方财富</t>
        </is>
      </c>
      <c r="K541" t="inlineStr">
        <is>
          <t>not-applicable-hk</t>
        </is>
      </c>
      <c r="L541" s="32" t="n">
        <v>46263.25725433244</v>
      </c>
      <c r="M541" t="b">
        <v>1</v>
      </c>
    </row>
    <row r="542">
      <c r="A542" t="inlineStr">
        <is>
          <t>港股</t>
        </is>
      </c>
      <c r="B542" t="inlineStr">
        <is>
          <t>00048</t>
        </is>
      </c>
      <c r="C542" t="inlineStr">
        <is>
          <t>C AUTO INT DECO</t>
        </is>
      </c>
      <c r="D542" t="inlineStr">
        <is>
          <t>资金流</t>
        </is>
      </c>
      <c r="E542" t="inlineStr">
        <is>
          <t>optional_missing</t>
        </is>
      </c>
      <c r="F542" t="inlineStr">
        <is>
          <t>用户选择不抓取资金流</t>
        </is>
      </c>
      <c r="G542" t="b">
        <v>0</v>
      </c>
      <c r="H542" t="b">
        <v>1</v>
      </c>
      <c r="I542" t="inlineStr">
        <is>
          <t>配置</t>
        </is>
      </c>
      <c r="J542" t="inlineStr">
        <is>
          <t>配置</t>
        </is>
      </c>
      <c r="K542" t="inlineStr">
        <is>
          <t>flow-mode-off</t>
        </is>
      </c>
      <c r="L542" s="32" t="n">
        <v>46263.25754607147</v>
      </c>
      <c r="M542" t="b">
        <v>0</v>
      </c>
    </row>
    <row r="543">
      <c r="A543" t="inlineStr">
        <is>
          <t>港股</t>
        </is>
      </c>
      <c r="B543" t="inlineStr">
        <is>
          <t>00048</t>
        </is>
      </c>
      <c r="C543" t="inlineStr">
        <is>
          <t>C AUTO INT DECO</t>
        </is>
      </c>
      <c r="D543" t="inlineStr">
        <is>
          <t>市值增长率</t>
        </is>
      </c>
      <c r="E543" t="inlineStr">
        <is>
          <t>missing</t>
        </is>
      </c>
      <c r="F543" t="inlineStr">
        <is>
          <t>市值增长率：missing</t>
        </is>
      </c>
      <c r="G543" t="b">
        <v>0</v>
      </c>
      <c r="H543" t="b">
        <v>1</v>
      </c>
      <c r="M543" t="b">
        <v>0</v>
      </c>
    </row>
    <row r="544">
      <c r="A544" t="inlineStr">
        <is>
          <t>港股</t>
        </is>
      </c>
      <c r="B544" t="inlineStr">
        <is>
          <t>00048</t>
        </is>
      </c>
      <c r="C544" t="inlineStr">
        <is>
          <t>C AUTO INT DECO</t>
        </is>
      </c>
      <c r="D544" t="inlineStr">
        <is>
          <t>发行价</t>
        </is>
      </c>
      <c r="E544" t="inlineStr">
        <is>
          <t>optional_missing</t>
        </is>
      </c>
      <c r="F544" t="inlineStr">
        <is>
          <t>发行价：optional_missing</t>
        </is>
      </c>
      <c r="G544" t="b">
        <v>0</v>
      </c>
      <c r="H544" t="b">
        <v>1</v>
      </c>
      <c r="M544" t="b">
        <v>0</v>
      </c>
    </row>
    <row r="545">
      <c r="A545" t="inlineStr">
        <is>
          <t>港股</t>
        </is>
      </c>
      <c r="B545" t="inlineStr">
        <is>
          <t>00048</t>
        </is>
      </c>
      <c r="C545" t="inlineStr">
        <is>
          <t>C AUTO INT DECO</t>
        </is>
      </c>
      <c r="D545" t="inlineStr">
        <is>
          <t>发行股数</t>
        </is>
      </c>
      <c r="E545" t="inlineStr">
        <is>
          <t>optional_missing</t>
        </is>
      </c>
      <c r="F545" t="inlineStr">
        <is>
          <t>发行股数：optional_missing</t>
        </is>
      </c>
      <c r="G545" t="b">
        <v>0</v>
      </c>
      <c r="H545" t="b">
        <v>1</v>
      </c>
      <c r="M545" t="b">
        <v>0</v>
      </c>
    </row>
    <row r="546">
      <c r="A546" t="inlineStr">
        <is>
          <t>港股</t>
        </is>
      </c>
      <c r="B546" t="inlineStr">
        <is>
          <t>00048</t>
        </is>
      </c>
      <c r="C546" t="inlineStr">
        <is>
          <t>C AUTO INT DECO</t>
        </is>
      </c>
      <c r="D546" t="inlineStr">
        <is>
          <t>发行时总市值</t>
        </is>
      </c>
      <c r="E546" t="inlineStr">
        <is>
          <t>optional_missing</t>
        </is>
      </c>
      <c r="F546" t="inlineStr">
        <is>
          <t>发行时总市值：optional_missing</t>
        </is>
      </c>
      <c r="G546" t="b">
        <v>0</v>
      </c>
      <c r="H546" t="b">
        <v>1</v>
      </c>
      <c r="M546" t="b">
        <v>0</v>
      </c>
    </row>
    <row r="547">
      <c r="A547" t="inlineStr">
        <is>
          <t>港股</t>
        </is>
      </c>
      <c r="B547" t="inlineStr">
        <is>
          <t>00048</t>
        </is>
      </c>
      <c r="C547" t="inlineStr">
        <is>
          <t>C AUTO INT DECO</t>
        </is>
      </c>
      <c r="D547" t="inlineStr">
        <is>
          <t>当年累计大宗交易笔数</t>
        </is>
      </c>
      <c r="E547" t="inlineStr">
        <is>
          <t>optional_missing</t>
        </is>
      </c>
      <c r="F547" t="inlineStr">
        <is>
          <t>当年累计大宗交易笔数：optional_missing</t>
        </is>
      </c>
      <c r="G547" t="b">
        <v>0</v>
      </c>
      <c r="H547" t="b">
        <v>1</v>
      </c>
      <c r="M547" t="b">
        <v>0</v>
      </c>
    </row>
    <row r="548">
      <c r="A548" t="inlineStr">
        <is>
          <t>港股</t>
        </is>
      </c>
      <c r="B548" t="inlineStr">
        <is>
          <t>00048</t>
        </is>
      </c>
      <c r="C548" t="inlineStr">
        <is>
          <t>C AUTO INT DECO</t>
        </is>
      </c>
      <c r="D548" t="inlineStr">
        <is>
          <t>当年累计大宗交易金额</t>
        </is>
      </c>
      <c r="E548" t="inlineStr">
        <is>
          <t>optional_missing</t>
        </is>
      </c>
      <c r="F548" t="inlineStr">
        <is>
          <t>当年累计大宗交易金额：optional_missing</t>
        </is>
      </c>
      <c r="G548" t="b">
        <v>0</v>
      </c>
      <c r="H548" t="b">
        <v>1</v>
      </c>
      <c r="M548" t="b">
        <v>0</v>
      </c>
    </row>
    <row r="549">
      <c r="A549" t="inlineStr">
        <is>
          <t>港股</t>
        </is>
      </c>
      <c r="B549" t="inlineStr">
        <is>
          <t>00048</t>
        </is>
      </c>
      <c r="C549" t="inlineStr">
        <is>
          <t>C AUTO INT DECO</t>
        </is>
      </c>
      <c r="D549" t="inlineStr">
        <is>
          <t>近五个交易日资金净额</t>
        </is>
      </c>
      <c r="E549" t="inlineStr">
        <is>
          <t>optional_missing</t>
        </is>
      </c>
      <c r="F549" t="inlineStr">
        <is>
          <t>近五个交易日资金净额：optional_missing</t>
        </is>
      </c>
      <c r="G549" t="b">
        <v>0</v>
      </c>
      <c r="H549" t="b">
        <v>1</v>
      </c>
      <c r="M549" t="b">
        <v>0</v>
      </c>
    </row>
    <row r="550">
      <c r="A550" t="inlineStr">
        <is>
          <t>港股</t>
        </is>
      </c>
      <c r="B550" t="inlineStr">
        <is>
          <t>00048</t>
        </is>
      </c>
      <c r="C550" t="inlineStr">
        <is>
          <t>C AUTO INT DECO</t>
        </is>
      </c>
      <c r="D550" t="inlineStr">
        <is>
          <t>近一月资金净额（最近22个交易日）</t>
        </is>
      </c>
      <c r="E550" t="inlineStr">
        <is>
          <t>optional_missing</t>
        </is>
      </c>
      <c r="F550" t="inlineStr">
        <is>
          <t>近一月资金净额（最近22个交易日）：optional_missing</t>
        </is>
      </c>
      <c r="G550" t="b">
        <v>0</v>
      </c>
      <c r="H550" t="b">
        <v>1</v>
      </c>
      <c r="M550" t="b">
        <v>0</v>
      </c>
    </row>
    <row r="551">
      <c r="A551" t="inlineStr">
        <is>
          <t>A股</t>
        </is>
      </c>
      <c r="B551" t="inlineStr">
        <is>
          <t>000065</t>
        </is>
      </c>
      <c r="C551" t="inlineStr">
        <is>
          <t>北方国际</t>
        </is>
      </c>
      <c r="D551" t="inlineStr">
        <is>
          <t>资金流</t>
        </is>
      </c>
      <c r="E551" t="inlineStr">
        <is>
          <t>optional_missing</t>
        </is>
      </c>
      <c r="F551" t="inlineStr">
        <is>
          <t>用户选择不抓取资金流</t>
        </is>
      </c>
      <c r="G551" t="b">
        <v>0</v>
      </c>
      <c r="H551" t="b">
        <v>1</v>
      </c>
      <c r="I551" t="inlineStr">
        <is>
          <t>配置</t>
        </is>
      </c>
      <c r="J551" t="inlineStr">
        <is>
          <t>配置</t>
        </is>
      </c>
      <c r="K551" t="inlineStr">
        <is>
          <t>flow-mode-off</t>
        </is>
      </c>
      <c r="L551" s="32" t="n">
        <v>46263.25754607147</v>
      </c>
      <c r="M551" t="b">
        <v>0</v>
      </c>
    </row>
    <row r="552">
      <c r="A552" t="inlineStr">
        <is>
          <t>A股</t>
        </is>
      </c>
      <c r="B552" t="inlineStr">
        <is>
          <t>000065</t>
        </is>
      </c>
      <c r="C552" t="inlineStr">
        <is>
          <t>北方国际</t>
        </is>
      </c>
      <c r="D552" t="inlineStr">
        <is>
          <t>近五个交易日资金净额</t>
        </is>
      </c>
      <c r="E552" t="inlineStr">
        <is>
          <t>optional_missing</t>
        </is>
      </c>
      <c r="F552" t="inlineStr">
        <is>
          <t>近五个交易日资金净额：optional_missing</t>
        </is>
      </c>
      <c r="G552" t="b">
        <v>0</v>
      </c>
      <c r="H552" t="b">
        <v>1</v>
      </c>
      <c r="M552" t="b">
        <v>0</v>
      </c>
    </row>
    <row r="553">
      <c r="A553" t="inlineStr">
        <is>
          <t>A股</t>
        </is>
      </c>
      <c r="B553" t="inlineStr">
        <is>
          <t>000065</t>
        </is>
      </c>
      <c r="C553" t="inlineStr">
        <is>
          <t>北方国际</t>
        </is>
      </c>
      <c r="D553" t="inlineStr">
        <is>
          <t>近一月资金净额（最近22个交易日）</t>
        </is>
      </c>
      <c r="E553" t="inlineStr">
        <is>
          <t>optional_missing</t>
        </is>
      </c>
      <c r="F553" t="inlineStr">
        <is>
          <t>近一月资金净额（最近22个交易日）：optional_missing</t>
        </is>
      </c>
      <c r="G553" t="b">
        <v>0</v>
      </c>
      <c r="H553" t="b">
        <v>1</v>
      </c>
      <c r="M553" t="b">
        <v>0</v>
      </c>
    </row>
    <row r="554">
      <c r="A554" t="inlineStr">
        <is>
          <t>港股</t>
        </is>
      </c>
      <c r="B554" t="inlineStr">
        <is>
          <t>00050</t>
        </is>
      </c>
      <c r="C554" t="inlineStr">
        <is>
          <t>HK FERRY (HOLD)</t>
        </is>
      </c>
      <c r="D554" t="inlineStr">
        <is>
          <t>大宗交易</t>
        </is>
      </c>
      <c r="E554" t="inlineStr">
        <is>
          <t>optional_missing</t>
        </is>
      </c>
      <c r="F554" t="inlineStr">
        <is>
          <t>港股大宗交易按允许缺失规则留空</t>
        </is>
      </c>
      <c r="G554" t="b">
        <v>0</v>
      </c>
      <c r="H554" t="b">
        <v>1</v>
      </c>
      <c r="I554" t="inlineStr">
        <is>
          <t>东方财富</t>
        </is>
      </c>
      <c r="J554" t="inlineStr">
        <is>
          <t>东方财富</t>
        </is>
      </c>
      <c r="K554" t="inlineStr">
        <is>
          <t>not-applicable-hk</t>
        </is>
      </c>
      <c r="L554" s="32" t="n">
        <v>46263.25725433244</v>
      </c>
      <c r="M554" t="b">
        <v>1</v>
      </c>
    </row>
    <row r="555">
      <c r="A555" t="inlineStr">
        <is>
          <t>港股</t>
        </is>
      </c>
      <c r="B555" t="inlineStr">
        <is>
          <t>00050</t>
        </is>
      </c>
      <c r="C555" t="inlineStr">
        <is>
          <t>HK FERRY (HOLD)</t>
        </is>
      </c>
      <c r="D555" t="inlineStr">
        <is>
          <t>资金流</t>
        </is>
      </c>
      <c r="E555" t="inlineStr">
        <is>
          <t>optional_missing</t>
        </is>
      </c>
      <c r="F555" t="inlineStr">
        <is>
          <t>用户选择不抓取资金流</t>
        </is>
      </c>
      <c r="G555" t="b">
        <v>0</v>
      </c>
      <c r="H555" t="b">
        <v>1</v>
      </c>
      <c r="I555" t="inlineStr">
        <is>
          <t>配置</t>
        </is>
      </c>
      <c r="J555" t="inlineStr">
        <is>
          <t>配置</t>
        </is>
      </c>
      <c r="K555" t="inlineStr">
        <is>
          <t>flow-mode-off</t>
        </is>
      </c>
      <c r="L555" s="32" t="n">
        <v>46263.25754607147</v>
      </c>
      <c r="M555" t="b">
        <v>0</v>
      </c>
    </row>
    <row r="556">
      <c r="A556" t="inlineStr">
        <is>
          <t>港股</t>
        </is>
      </c>
      <c r="B556" t="inlineStr">
        <is>
          <t>00050</t>
        </is>
      </c>
      <c r="C556" t="inlineStr">
        <is>
          <t>HK FERRY (HOLD)</t>
        </is>
      </c>
      <c r="D556" t="inlineStr">
        <is>
          <t>市值增长率</t>
        </is>
      </c>
      <c r="E556" t="inlineStr">
        <is>
          <t>missing</t>
        </is>
      </c>
      <c r="F556" t="inlineStr">
        <is>
          <t>市值增长率：missing</t>
        </is>
      </c>
      <c r="G556" t="b">
        <v>0</v>
      </c>
      <c r="H556" t="b">
        <v>1</v>
      </c>
      <c r="M556" t="b">
        <v>0</v>
      </c>
    </row>
    <row r="557">
      <c r="A557" t="inlineStr">
        <is>
          <t>港股</t>
        </is>
      </c>
      <c r="B557" t="inlineStr">
        <is>
          <t>00050</t>
        </is>
      </c>
      <c r="C557" t="inlineStr">
        <is>
          <t>HK FERRY (HOLD)</t>
        </is>
      </c>
      <c r="D557" t="inlineStr">
        <is>
          <t>发行价</t>
        </is>
      </c>
      <c r="E557" t="inlineStr">
        <is>
          <t>optional_missing</t>
        </is>
      </c>
      <c r="F557" t="inlineStr">
        <is>
          <t>发行价：optional_missing</t>
        </is>
      </c>
      <c r="G557" t="b">
        <v>0</v>
      </c>
      <c r="H557" t="b">
        <v>1</v>
      </c>
      <c r="M557" t="b">
        <v>0</v>
      </c>
    </row>
    <row r="558">
      <c r="A558" t="inlineStr">
        <is>
          <t>港股</t>
        </is>
      </c>
      <c r="B558" t="inlineStr">
        <is>
          <t>00050</t>
        </is>
      </c>
      <c r="C558" t="inlineStr">
        <is>
          <t>HK FERRY (HOLD)</t>
        </is>
      </c>
      <c r="D558" t="inlineStr">
        <is>
          <t>发行股数</t>
        </is>
      </c>
      <c r="E558" t="inlineStr">
        <is>
          <t>optional_missing</t>
        </is>
      </c>
      <c r="F558" t="inlineStr">
        <is>
          <t>发行股数：optional_missing</t>
        </is>
      </c>
      <c r="G558" t="b">
        <v>0</v>
      </c>
      <c r="H558" t="b">
        <v>1</v>
      </c>
      <c r="M558" t="b">
        <v>0</v>
      </c>
    </row>
    <row r="559">
      <c r="A559" t="inlineStr">
        <is>
          <t>港股</t>
        </is>
      </c>
      <c r="B559" t="inlineStr">
        <is>
          <t>00050</t>
        </is>
      </c>
      <c r="C559" t="inlineStr">
        <is>
          <t>HK FERRY (HOLD)</t>
        </is>
      </c>
      <c r="D559" t="inlineStr">
        <is>
          <t>发行时总市值</t>
        </is>
      </c>
      <c r="E559" t="inlineStr">
        <is>
          <t>optional_missing</t>
        </is>
      </c>
      <c r="F559" t="inlineStr">
        <is>
          <t>发行时总市值：optional_missing</t>
        </is>
      </c>
      <c r="G559" t="b">
        <v>0</v>
      </c>
      <c r="H559" t="b">
        <v>1</v>
      </c>
      <c r="M559" t="b">
        <v>0</v>
      </c>
    </row>
    <row r="560">
      <c r="A560" t="inlineStr">
        <is>
          <t>港股</t>
        </is>
      </c>
      <c r="B560" t="inlineStr">
        <is>
          <t>00050</t>
        </is>
      </c>
      <c r="C560" t="inlineStr">
        <is>
          <t>HK FERRY (HOLD)</t>
        </is>
      </c>
      <c r="D560" t="inlineStr">
        <is>
          <t>当年累计大宗交易笔数</t>
        </is>
      </c>
      <c r="E560" t="inlineStr">
        <is>
          <t>optional_missing</t>
        </is>
      </c>
      <c r="F560" t="inlineStr">
        <is>
          <t>当年累计大宗交易笔数：optional_missing</t>
        </is>
      </c>
      <c r="G560" t="b">
        <v>0</v>
      </c>
      <c r="H560" t="b">
        <v>1</v>
      </c>
      <c r="M560" t="b">
        <v>0</v>
      </c>
    </row>
    <row r="561">
      <c r="A561" t="inlineStr">
        <is>
          <t>港股</t>
        </is>
      </c>
      <c r="B561" t="inlineStr">
        <is>
          <t>00050</t>
        </is>
      </c>
      <c r="C561" t="inlineStr">
        <is>
          <t>HK FERRY (HOLD)</t>
        </is>
      </c>
      <c r="D561" t="inlineStr">
        <is>
          <t>当年累计大宗交易金额</t>
        </is>
      </c>
      <c r="E561" t="inlineStr">
        <is>
          <t>optional_missing</t>
        </is>
      </c>
      <c r="F561" t="inlineStr">
        <is>
          <t>当年累计大宗交易金额：optional_missing</t>
        </is>
      </c>
      <c r="G561" t="b">
        <v>0</v>
      </c>
      <c r="H561" t="b">
        <v>1</v>
      </c>
      <c r="M561" t="b">
        <v>0</v>
      </c>
    </row>
    <row r="562">
      <c r="A562" t="inlineStr">
        <is>
          <t>港股</t>
        </is>
      </c>
      <c r="B562" t="inlineStr">
        <is>
          <t>00050</t>
        </is>
      </c>
      <c r="C562" t="inlineStr">
        <is>
          <t>HK FERRY (HOLD)</t>
        </is>
      </c>
      <c r="D562" t="inlineStr">
        <is>
          <t>近五个交易日资金净额</t>
        </is>
      </c>
      <c r="E562" t="inlineStr">
        <is>
          <t>optional_missing</t>
        </is>
      </c>
      <c r="F562" t="inlineStr">
        <is>
          <t>近五个交易日资金净额：optional_missing</t>
        </is>
      </c>
      <c r="G562" t="b">
        <v>0</v>
      </c>
      <c r="H562" t="b">
        <v>1</v>
      </c>
      <c r="M562" t="b">
        <v>0</v>
      </c>
    </row>
    <row r="563">
      <c r="A563" t="inlineStr">
        <is>
          <t>港股</t>
        </is>
      </c>
      <c r="B563" t="inlineStr">
        <is>
          <t>00050</t>
        </is>
      </c>
      <c r="C563" t="inlineStr">
        <is>
          <t>HK FERRY (HOLD)</t>
        </is>
      </c>
      <c r="D563" t="inlineStr">
        <is>
          <t>近一月资金净额（最近22个交易日）</t>
        </is>
      </c>
      <c r="E563" t="inlineStr">
        <is>
          <t>optional_missing</t>
        </is>
      </c>
      <c r="F563" t="inlineStr">
        <is>
          <t>近一月资金净额（最近22个交易日）：optional_missing</t>
        </is>
      </c>
      <c r="G563" t="b">
        <v>0</v>
      </c>
      <c r="H563" t="b">
        <v>1</v>
      </c>
      <c r="M563" t="b">
        <v>0</v>
      </c>
    </row>
    <row r="564">
      <c r="A564" t="inlineStr">
        <is>
          <t>A股</t>
        </is>
      </c>
      <c r="B564" t="inlineStr">
        <is>
          <t>000066</t>
        </is>
      </c>
      <c r="C564" t="inlineStr">
        <is>
          <t>中国长城</t>
        </is>
      </c>
      <c r="D564" t="inlineStr">
        <is>
          <t>资金流</t>
        </is>
      </c>
      <c r="E564" t="inlineStr">
        <is>
          <t>optional_missing</t>
        </is>
      </c>
      <c r="F564" t="inlineStr">
        <is>
          <t>用户选择不抓取资金流</t>
        </is>
      </c>
      <c r="G564" t="b">
        <v>0</v>
      </c>
      <c r="H564" t="b">
        <v>1</v>
      </c>
      <c r="I564" t="inlineStr">
        <is>
          <t>配置</t>
        </is>
      </c>
      <c r="J564" t="inlineStr">
        <is>
          <t>配置</t>
        </is>
      </c>
      <c r="K564" t="inlineStr">
        <is>
          <t>flow-mode-off</t>
        </is>
      </c>
      <c r="L564" s="32" t="n">
        <v>46263.25754607147</v>
      </c>
      <c r="M564" t="b">
        <v>0</v>
      </c>
    </row>
    <row r="565">
      <c r="A565" t="inlineStr">
        <is>
          <t>A股</t>
        </is>
      </c>
      <c r="B565" t="inlineStr">
        <is>
          <t>000066</t>
        </is>
      </c>
      <c r="C565" t="inlineStr">
        <is>
          <t>中国长城</t>
        </is>
      </c>
      <c r="D565" t="inlineStr">
        <is>
          <t>近五个交易日资金净额</t>
        </is>
      </c>
      <c r="E565" t="inlineStr">
        <is>
          <t>optional_missing</t>
        </is>
      </c>
      <c r="F565" t="inlineStr">
        <is>
          <t>近五个交易日资金净额：optional_missing</t>
        </is>
      </c>
      <c r="G565" t="b">
        <v>0</v>
      </c>
      <c r="H565" t="b">
        <v>1</v>
      </c>
      <c r="M565" t="b">
        <v>0</v>
      </c>
    </row>
    <row r="566">
      <c r="A566" t="inlineStr">
        <is>
          <t>A股</t>
        </is>
      </c>
      <c r="B566" t="inlineStr">
        <is>
          <t>000066</t>
        </is>
      </c>
      <c r="C566" t="inlineStr">
        <is>
          <t>中国长城</t>
        </is>
      </c>
      <c r="D566" t="inlineStr">
        <is>
          <t>近一月资金净额（最近22个交易日）</t>
        </is>
      </c>
      <c r="E566" t="inlineStr">
        <is>
          <t>optional_missing</t>
        </is>
      </c>
      <c r="F566" t="inlineStr">
        <is>
          <t>近一月资金净额（最近22个交易日）：optional_missing</t>
        </is>
      </c>
      <c r="G566" t="b">
        <v>0</v>
      </c>
      <c r="H566" t="b">
        <v>1</v>
      </c>
      <c r="M566" t="b">
        <v>0</v>
      </c>
    </row>
    <row r="567">
      <c r="A567" t="inlineStr">
        <is>
          <t>港股</t>
        </is>
      </c>
      <c r="B567" t="inlineStr">
        <is>
          <t>00051</t>
        </is>
      </c>
      <c r="C567" t="inlineStr">
        <is>
          <t>HARBOUR CENTRE</t>
        </is>
      </c>
      <c r="D567" t="inlineStr">
        <is>
          <t>大宗交易</t>
        </is>
      </c>
      <c r="E567" t="inlineStr">
        <is>
          <t>optional_missing</t>
        </is>
      </c>
      <c r="F567" t="inlineStr">
        <is>
          <t>港股大宗交易按允许缺失规则留空</t>
        </is>
      </c>
      <c r="G567" t="b">
        <v>0</v>
      </c>
      <c r="H567" t="b">
        <v>1</v>
      </c>
      <c r="I567" t="inlineStr">
        <is>
          <t>东方财富</t>
        </is>
      </c>
      <c r="J567" t="inlineStr">
        <is>
          <t>东方财富</t>
        </is>
      </c>
      <c r="K567" t="inlineStr">
        <is>
          <t>not-applicable-hk</t>
        </is>
      </c>
      <c r="L567" s="32" t="n">
        <v>46263.25725433244</v>
      </c>
      <c r="M567" t="b">
        <v>1</v>
      </c>
    </row>
    <row r="568">
      <c r="A568" t="inlineStr">
        <is>
          <t>港股</t>
        </is>
      </c>
      <c r="B568" t="inlineStr">
        <is>
          <t>00051</t>
        </is>
      </c>
      <c r="C568" t="inlineStr">
        <is>
          <t>HARBOUR CENTRE</t>
        </is>
      </c>
      <c r="D568" t="inlineStr">
        <is>
          <t>资金流</t>
        </is>
      </c>
      <c r="E568" t="inlineStr">
        <is>
          <t>optional_missing</t>
        </is>
      </c>
      <c r="F568" t="inlineStr">
        <is>
          <t>用户选择不抓取资金流</t>
        </is>
      </c>
      <c r="G568" t="b">
        <v>0</v>
      </c>
      <c r="H568" t="b">
        <v>1</v>
      </c>
      <c r="I568" t="inlineStr">
        <is>
          <t>配置</t>
        </is>
      </c>
      <c r="J568" t="inlineStr">
        <is>
          <t>配置</t>
        </is>
      </c>
      <c r="K568" t="inlineStr">
        <is>
          <t>flow-mode-off</t>
        </is>
      </c>
      <c r="L568" s="32" t="n">
        <v>46263.25754607147</v>
      </c>
      <c r="M568" t="b">
        <v>0</v>
      </c>
    </row>
    <row r="569">
      <c r="A569" t="inlineStr">
        <is>
          <t>港股</t>
        </is>
      </c>
      <c r="B569" t="inlineStr">
        <is>
          <t>00051</t>
        </is>
      </c>
      <c r="C569" t="inlineStr">
        <is>
          <t>HARBOUR CENTRE</t>
        </is>
      </c>
      <c r="D569" t="inlineStr">
        <is>
          <t>市值增长率</t>
        </is>
      </c>
      <c r="E569" t="inlineStr">
        <is>
          <t>missing</t>
        </is>
      </c>
      <c r="F569" t="inlineStr">
        <is>
          <t>市值增长率：missing</t>
        </is>
      </c>
      <c r="G569" t="b">
        <v>0</v>
      </c>
      <c r="H569" t="b">
        <v>1</v>
      </c>
      <c r="M569" t="b">
        <v>0</v>
      </c>
    </row>
    <row r="570">
      <c r="A570" t="inlineStr">
        <is>
          <t>港股</t>
        </is>
      </c>
      <c r="B570" t="inlineStr">
        <is>
          <t>00051</t>
        </is>
      </c>
      <c r="C570" t="inlineStr">
        <is>
          <t>HARBOUR CENTRE</t>
        </is>
      </c>
      <c r="D570" t="inlineStr">
        <is>
          <t>发行价</t>
        </is>
      </c>
      <c r="E570" t="inlineStr">
        <is>
          <t>optional_missing</t>
        </is>
      </c>
      <c r="F570" t="inlineStr">
        <is>
          <t>发行价：optional_missing</t>
        </is>
      </c>
      <c r="G570" t="b">
        <v>0</v>
      </c>
      <c r="H570" t="b">
        <v>1</v>
      </c>
      <c r="M570" t="b">
        <v>0</v>
      </c>
    </row>
    <row r="571">
      <c r="A571" t="inlineStr">
        <is>
          <t>港股</t>
        </is>
      </c>
      <c r="B571" t="inlineStr">
        <is>
          <t>00051</t>
        </is>
      </c>
      <c r="C571" t="inlineStr">
        <is>
          <t>HARBOUR CENTRE</t>
        </is>
      </c>
      <c r="D571" t="inlineStr">
        <is>
          <t>发行股数</t>
        </is>
      </c>
      <c r="E571" t="inlineStr">
        <is>
          <t>optional_missing</t>
        </is>
      </c>
      <c r="F571" t="inlineStr">
        <is>
          <t>发行股数：optional_missing</t>
        </is>
      </c>
      <c r="G571" t="b">
        <v>0</v>
      </c>
      <c r="H571" t="b">
        <v>1</v>
      </c>
      <c r="M571" t="b">
        <v>0</v>
      </c>
    </row>
    <row r="572">
      <c r="A572" t="inlineStr">
        <is>
          <t>港股</t>
        </is>
      </c>
      <c r="B572" t="inlineStr">
        <is>
          <t>00051</t>
        </is>
      </c>
      <c r="C572" t="inlineStr">
        <is>
          <t>HARBOUR CENTRE</t>
        </is>
      </c>
      <c r="D572" t="inlineStr">
        <is>
          <t>发行时总市值</t>
        </is>
      </c>
      <c r="E572" t="inlineStr">
        <is>
          <t>optional_missing</t>
        </is>
      </c>
      <c r="F572" t="inlineStr">
        <is>
          <t>发行时总市值：optional_missing</t>
        </is>
      </c>
      <c r="G572" t="b">
        <v>0</v>
      </c>
      <c r="H572" t="b">
        <v>1</v>
      </c>
      <c r="M572" t="b">
        <v>0</v>
      </c>
    </row>
    <row r="573">
      <c r="A573" t="inlineStr">
        <is>
          <t>港股</t>
        </is>
      </c>
      <c r="B573" t="inlineStr">
        <is>
          <t>00051</t>
        </is>
      </c>
      <c r="C573" t="inlineStr">
        <is>
          <t>HARBOUR CENTRE</t>
        </is>
      </c>
      <c r="D573" t="inlineStr">
        <is>
          <t>当年累计大宗交易笔数</t>
        </is>
      </c>
      <c r="E573" t="inlineStr">
        <is>
          <t>optional_missing</t>
        </is>
      </c>
      <c r="F573" t="inlineStr">
        <is>
          <t>当年累计大宗交易笔数：optional_missing</t>
        </is>
      </c>
      <c r="G573" t="b">
        <v>0</v>
      </c>
      <c r="H573" t="b">
        <v>1</v>
      </c>
      <c r="M573" t="b">
        <v>0</v>
      </c>
    </row>
    <row r="574">
      <c r="A574" t="inlineStr">
        <is>
          <t>港股</t>
        </is>
      </c>
      <c r="B574" t="inlineStr">
        <is>
          <t>00051</t>
        </is>
      </c>
      <c r="C574" t="inlineStr">
        <is>
          <t>HARBOUR CENTRE</t>
        </is>
      </c>
      <c r="D574" t="inlineStr">
        <is>
          <t>当年累计大宗交易金额</t>
        </is>
      </c>
      <c r="E574" t="inlineStr">
        <is>
          <t>optional_missing</t>
        </is>
      </c>
      <c r="F574" t="inlineStr">
        <is>
          <t>当年累计大宗交易金额：optional_missing</t>
        </is>
      </c>
      <c r="G574" t="b">
        <v>0</v>
      </c>
      <c r="H574" t="b">
        <v>1</v>
      </c>
      <c r="M574" t="b">
        <v>0</v>
      </c>
    </row>
    <row r="575">
      <c r="A575" t="inlineStr">
        <is>
          <t>港股</t>
        </is>
      </c>
      <c r="B575" t="inlineStr">
        <is>
          <t>00051</t>
        </is>
      </c>
      <c r="C575" t="inlineStr">
        <is>
          <t>HARBOUR CENTRE</t>
        </is>
      </c>
      <c r="D575" t="inlineStr">
        <is>
          <t>近五个交易日资金净额</t>
        </is>
      </c>
      <c r="E575" t="inlineStr">
        <is>
          <t>optional_missing</t>
        </is>
      </c>
      <c r="F575" t="inlineStr">
        <is>
          <t>近五个交易日资金净额：optional_missing</t>
        </is>
      </c>
      <c r="G575" t="b">
        <v>0</v>
      </c>
      <c r="H575" t="b">
        <v>1</v>
      </c>
      <c r="M575" t="b">
        <v>0</v>
      </c>
    </row>
    <row r="576">
      <c r="A576" t="inlineStr">
        <is>
          <t>港股</t>
        </is>
      </c>
      <c r="B576" t="inlineStr">
        <is>
          <t>00051</t>
        </is>
      </c>
      <c r="C576" t="inlineStr">
        <is>
          <t>HARBOUR CENTRE</t>
        </is>
      </c>
      <c r="D576" t="inlineStr">
        <is>
          <t>近一月资金净额（最近22个交易日）</t>
        </is>
      </c>
      <c r="E576" t="inlineStr">
        <is>
          <t>optional_missing</t>
        </is>
      </c>
      <c r="F576" t="inlineStr">
        <is>
          <t>近一月资金净额（最近22个交易日）：optional_missing</t>
        </is>
      </c>
      <c r="G576" t="b">
        <v>0</v>
      </c>
      <c r="H576" t="b">
        <v>1</v>
      </c>
      <c r="M576" t="b">
        <v>0</v>
      </c>
    </row>
    <row r="577">
      <c r="A577" t="inlineStr">
        <is>
          <t>A股</t>
        </is>
      </c>
      <c r="B577" t="inlineStr">
        <is>
          <t>000068</t>
        </is>
      </c>
      <c r="C577" t="inlineStr">
        <is>
          <t>华控赛格</t>
        </is>
      </c>
      <c r="D577" t="inlineStr">
        <is>
          <t>资金流</t>
        </is>
      </c>
      <c r="E577" t="inlineStr">
        <is>
          <t>optional_missing</t>
        </is>
      </c>
      <c r="F577" t="inlineStr">
        <is>
          <t>用户选择不抓取资金流</t>
        </is>
      </c>
      <c r="G577" t="b">
        <v>0</v>
      </c>
      <c r="H577" t="b">
        <v>1</v>
      </c>
      <c r="I577" t="inlineStr">
        <is>
          <t>配置</t>
        </is>
      </c>
      <c r="J577" t="inlineStr">
        <is>
          <t>配置</t>
        </is>
      </c>
      <c r="K577" t="inlineStr">
        <is>
          <t>flow-mode-off</t>
        </is>
      </c>
      <c r="L577" s="32" t="n">
        <v>46263.25754607147</v>
      </c>
      <c r="M577" t="b">
        <v>0</v>
      </c>
    </row>
    <row r="578">
      <c r="A578" t="inlineStr">
        <is>
          <t>A股</t>
        </is>
      </c>
      <c r="B578" t="inlineStr">
        <is>
          <t>000068</t>
        </is>
      </c>
      <c r="C578" t="inlineStr">
        <is>
          <t>华控赛格</t>
        </is>
      </c>
      <c r="D578" t="inlineStr">
        <is>
          <t>近五个交易日资金净额</t>
        </is>
      </c>
      <c r="E578" t="inlineStr">
        <is>
          <t>optional_missing</t>
        </is>
      </c>
      <c r="F578" t="inlineStr">
        <is>
          <t>近五个交易日资金净额：optional_missing</t>
        </is>
      </c>
      <c r="G578" t="b">
        <v>0</v>
      </c>
      <c r="H578" t="b">
        <v>1</v>
      </c>
      <c r="M578" t="b">
        <v>0</v>
      </c>
    </row>
    <row r="579">
      <c r="A579" t="inlineStr">
        <is>
          <t>A股</t>
        </is>
      </c>
      <c r="B579" t="inlineStr">
        <is>
          <t>000068</t>
        </is>
      </c>
      <c r="C579" t="inlineStr">
        <is>
          <t>华控赛格</t>
        </is>
      </c>
      <c r="D579" t="inlineStr">
        <is>
          <t>近一月资金净额（最近22个交易日）</t>
        </is>
      </c>
      <c r="E579" t="inlineStr">
        <is>
          <t>optional_missing</t>
        </is>
      </c>
      <c r="F579" t="inlineStr">
        <is>
          <t>近一月资金净额（最近22个交易日）：optional_missing</t>
        </is>
      </c>
      <c r="G579" t="b">
        <v>0</v>
      </c>
      <c r="H579" t="b">
        <v>1</v>
      </c>
      <c r="M579" t="b">
        <v>0</v>
      </c>
    </row>
    <row r="580">
      <c r="A580" t="inlineStr">
        <is>
          <t>港股</t>
        </is>
      </c>
      <c r="B580" t="inlineStr">
        <is>
          <t>00052</t>
        </is>
      </c>
      <c r="C580" t="inlineStr">
        <is>
          <t>FAIRWOOD HOLD</t>
        </is>
      </c>
      <c r="D580" t="inlineStr">
        <is>
          <t>大宗交易</t>
        </is>
      </c>
      <c r="E580" t="inlineStr">
        <is>
          <t>optional_missing</t>
        </is>
      </c>
      <c r="F580" t="inlineStr">
        <is>
          <t>港股大宗交易按允许缺失规则留空</t>
        </is>
      </c>
      <c r="G580" t="b">
        <v>0</v>
      </c>
      <c r="H580" t="b">
        <v>1</v>
      </c>
      <c r="I580" t="inlineStr">
        <is>
          <t>东方财富</t>
        </is>
      </c>
      <c r="J580" t="inlineStr">
        <is>
          <t>东方财富</t>
        </is>
      </c>
      <c r="K580" t="inlineStr">
        <is>
          <t>not-applicable-hk</t>
        </is>
      </c>
      <c r="L580" s="32" t="n">
        <v>46263.25725433244</v>
      </c>
      <c r="M580" t="b">
        <v>1</v>
      </c>
    </row>
    <row r="581">
      <c r="A581" t="inlineStr">
        <is>
          <t>港股</t>
        </is>
      </c>
      <c r="B581" t="inlineStr">
        <is>
          <t>00052</t>
        </is>
      </c>
      <c r="C581" t="inlineStr">
        <is>
          <t>FAIRWOOD HOLD</t>
        </is>
      </c>
      <c r="D581" t="inlineStr">
        <is>
          <t>资金流</t>
        </is>
      </c>
      <c r="E581" t="inlineStr">
        <is>
          <t>optional_missing</t>
        </is>
      </c>
      <c r="F581" t="inlineStr">
        <is>
          <t>用户选择不抓取资金流</t>
        </is>
      </c>
      <c r="G581" t="b">
        <v>0</v>
      </c>
      <c r="H581" t="b">
        <v>1</v>
      </c>
      <c r="I581" t="inlineStr">
        <is>
          <t>配置</t>
        </is>
      </c>
      <c r="J581" t="inlineStr">
        <is>
          <t>配置</t>
        </is>
      </c>
      <c r="K581" t="inlineStr">
        <is>
          <t>flow-mode-off</t>
        </is>
      </c>
      <c r="L581" s="32" t="n">
        <v>46263.25754607147</v>
      </c>
      <c r="M581" t="b">
        <v>0</v>
      </c>
    </row>
    <row r="582">
      <c r="A582" t="inlineStr">
        <is>
          <t>港股</t>
        </is>
      </c>
      <c r="B582" t="inlineStr">
        <is>
          <t>00052</t>
        </is>
      </c>
      <c r="C582" t="inlineStr">
        <is>
          <t>FAIRWOOD HOLD</t>
        </is>
      </c>
      <c r="D582" t="inlineStr">
        <is>
          <t>当年累计大宗交易笔数</t>
        </is>
      </c>
      <c r="E582" t="inlineStr">
        <is>
          <t>optional_missing</t>
        </is>
      </c>
      <c r="F582" t="inlineStr">
        <is>
          <t>当年累计大宗交易笔数：optional_missing</t>
        </is>
      </c>
      <c r="G582" t="b">
        <v>0</v>
      </c>
      <c r="H582" t="b">
        <v>1</v>
      </c>
      <c r="M582" t="b">
        <v>0</v>
      </c>
    </row>
    <row r="583">
      <c r="A583" t="inlineStr">
        <is>
          <t>港股</t>
        </is>
      </c>
      <c r="B583" t="inlineStr">
        <is>
          <t>00052</t>
        </is>
      </c>
      <c r="C583" t="inlineStr">
        <is>
          <t>FAIRWOOD HOLD</t>
        </is>
      </c>
      <c r="D583" t="inlineStr">
        <is>
          <t>当年累计大宗交易金额</t>
        </is>
      </c>
      <c r="E583" t="inlineStr">
        <is>
          <t>optional_missing</t>
        </is>
      </c>
      <c r="F583" t="inlineStr">
        <is>
          <t>当年累计大宗交易金额：optional_missing</t>
        </is>
      </c>
      <c r="G583" t="b">
        <v>0</v>
      </c>
      <c r="H583" t="b">
        <v>1</v>
      </c>
      <c r="M583" t="b">
        <v>0</v>
      </c>
    </row>
    <row r="584">
      <c r="A584" t="inlineStr">
        <is>
          <t>港股</t>
        </is>
      </c>
      <c r="B584" t="inlineStr">
        <is>
          <t>00052</t>
        </is>
      </c>
      <c r="C584" t="inlineStr">
        <is>
          <t>FAIRWOOD HOLD</t>
        </is>
      </c>
      <c r="D584" t="inlineStr">
        <is>
          <t>近五个交易日资金净额</t>
        </is>
      </c>
      <c r="E584" t="inlineStr">
        <is>
          <t>optional_missing</t>
        </is>
      </c>
      <c r="F584" t="inlineStr">
        <is>
          <t>近五个交易日资金净额：optional_missing</t>
        </is>
      </c>
      <c r="G584" t="b">
        <v>0</v>
      </c>
      <c r="H584" t="b">
        <v>1</v>
      </c>
      <c r="M584" t="b">
        <v>0</v>
      </c>
    </row>
    <row r="585">
      <c r="A585" t="inlineStr">
        <is>
          <t>港股</t>
        </is>
      </c>
      <c r="B585" t="inlineStr">
        <is>
          <t>00052</t>
        </is>
      </c>
      <c r="C585" t="inlineStr">
        <is>
          <t>FAIRWOOD HOLD</t>
        </is>
      </c>
      <c r="D585" t="inlineStr">
        <is>
          <t>近一月资金净额（最近22个交易日）</t>
        </is>
      </c>
      <c r="E585" t="inlineStr">
        <is>
          <t>optional_missing</t>
        </is>
      </c>
      <c r="F585" t="inlineStr">
        <is>
          <t>近一月资金净额（最近22个交易日）：optional_missing</t>
        </is>
      </c>
      <c r="G585" t="b">
        <v>0</v>
      </c>
      <c r="H585" t="b">
        <v>1</v>
      </c>
      <c r="M585" t="b">
        <v>0</v>
      </c>
    </row>
    <row r="586">
      <c r="A586" t="inlineStr">
        <is>
          <t>A股</t>
        </is>
      </c>
      <c r="B586" t="inlineStr">
        <is>
          <t>000069</t>
        </is>
      </c>
      <c r="C586" t="inlineStr">
        <is>
          <t>华侨城Ａ</t>
        </is>
      </c>
      <c r="D586" t="inlineStr">
        <is>
          <t>资金流</t>
        </is>
      </c>
      <c r="E586" t="inlineStr">
        <is>
          <t>optional_missing</t>
        </is>
      </c>
      <c r="F586" t="inlineStr">
        <is>
          <t>用户选择不抓取资金流</t>
        </is>
      </c>
      <c r="G586" t="b">
        <v>0</v>
      </c>
      <c r="H586" t="b">
        <v>1</v>
      </c>
      <c r="I586" t="inlineStr">
        <is>
          <t>配置</t>
        </is>
      </c>
      <c r="J586" t="inlineStr">
        <is>
          <t>配置</t>
        </is>
      </c>
      <c r="K586" t="inlineStr">
        <is>
          <t>flow-mode-off</t>
        </is>
      </c>
      <c r="L586" s="32" t="n">
        <v>46263.25754607147</v>
      </c>
      <c r="M586" t="b">
        <v>0</v>
      </c>
    </row>
    <row r="587">
      <c r="A587" t="inlineStr">
        <is>
          <t>A股</t>
        </is>
      </c>
      <c r="B587" t="inlineStr">
        <is>
          <t>000069</t>
        </is>
      </c>
      <c r="C587" t="inlineStr">
        <is>
          <t>华侨城Ａ</t>
        </is>
      </c>
      <c r="D587" t="inlineStr">
        <is>
          <t>近五个交易日资金净额</t>
        </is>
      </c>
      <c r="E587" t="inlineStr">
        <is>
          <t>optional_missing</t>
        </is>
      </c>
      <c r="F587" t="inlineStr">
        <is>
          <t>近五个交易日资金净额：optional_missing</t>
        </is>
      </c>
      <c r="G587" t="b">
        <v>0</v>
      </c>
      <c r="H587" t="b">
        <v>1</v>
      </c>
      <c r="M587" t="b">
        <v>0</v>
      </c>
    </row>
    <row r="588">
      <c r="A588" t="inlineStr">
        <is>
          <t>A股</t>
        </is>
      </c>
      <c r="B588" t="inlineStr">
        <is>
          <t>000069</t>
        </is>
      </c>
      <c r="C588" t="inlineStr">
        <is>
          <t>华侨城Ａ</t>
        </is>
      </c>
      <c r="D588" t="inlineStr">
        <is>
          <t>近一月资金净额（最近22个交易日）</t>
        </is>
      </c>
      <c r="E588" t="inlineStr">
        <is>
          <t>optional_missing</t>
        </is>
      </c>
      <c r="F588" t="inlineStr">
        <is>
          <t>近一月资金净额（最近22个交易日）：optional_missing</t>
        </is>
      </c>
      <c r="G588" t="b">
        <v>0</v>
      </c>
      <c r="H588" t="b">
        <v>1</v>
      </c>
      <c r="M588" t="b">
        <v>0</v>
      </c>
    </row>
    <row r="589">
      <c r="A589" t="inlineStr">
        <is>
          <t>港股</t>
        </is>
      </c>
      <c r="B589" t="inlineStr">
        <is>
          <t>00053</t>
        </is>
      </c>
      <c r="C589" t="inlineStr">
        <is>
          <t>GUOCO GROUP</t>
        </is>
      </c>
      <c r="D589" t="inlineStr">
        <is>
          <t>大宗交易</t>
        </is>
      </c>
      <c r="E589" t="inlineStr">
        <is>
          <t>optional_missing</t>
        </is>
      </c>
      <c r="F589" t="inlineStr">
        <is>
          <t>港股大宗交易按允许缺失规则留空</t>
        </is>
      </c>
      <c r="G589" t="b">
        <v>0</v>
      </c>
      <c r="H589" t="b">
        <v>1</v>
      </c>
      <c r="I589" t="inlineStr">
        <is>
          <t>东方财富</t>
        </is>
      </c>
      <c r="J589" t="inlineStr">
        <is>
          <t>东方财富</t>
        </is>
      </c>
      <c r="K589" t="inlineStr">
        <is>
          <t>not-applicable-hk</t>
        </is>
      </c>
      <c r="L589" s="32" t="n">
        <v>46263.25725433244</v>
      </c>
      <c r="M589" t="b">
        <v>1</v>
      </c>
    </row>
    <row r="590">
      <c r="A590" t="inlineStr">
        <is>
          <t>港股</t>
        </is>
      </c>
      <c r="B590" t="inlineStr">
        <is>
          <t>00053</t>
        </is>
      </c>
      <c r="C590" t="inlineStr">
        <is>
          <t>GUOCO GROUP</t>
        </is>
      </c>
      <c r="D590" t="inlineStr">
        <is>
          <t>资金流</t>
        </is>
      </c>
      <c r="E590" t="inlineStr">
        <is>
          <t>optional_missing</t>
        </is>
      </c>
      <c r="F590" t="inlineStr">
        <is>
          <t>用户选择不抓取资金流</t>
        </is>
      </c>
      <c r="G590" t="b">
        <v>0</v>
      </c>
      <c r="H590" t="b">
        <v>1</v>
      </c>
      <c r="I590" t="inlineStr">
        <is>
          <t>配置</t>
        </is>
      </c>
      <c r="J590" t="inlineStr">
        <is>
          <t>配置</t>
        </is>
      </c>
      <c r="K590" t="inlineStr">
        <is>
          <t>flow-mode-off</t>
        </is>
      </c>
      <c r="L590" s="32" t="n">
        <v>46263.25754607147</v>
      </c>
      <c r="M590" t="b">
        <v>0</v>
      </c>
    </row>
    <row r="591">
      <c r="A591" t="inlineStr">
        <is>
          <t>港股</t>
        </is>
      </c>
      <c r="B591" t="inlineStr">
        <is>
          <t>00053</t>
        </is>
      </c>
      <c r="C591" t="inlineStr">
        <is>
          <t>GUOCO GROUP</t>
        </is>
      </c>
      <c r="D591" t="inlineStr">
        <is>
          <t>毛利率</t>
        </is>
      </c>
      <c r="E591" t="inlineStr">
        <is>
          <t>missing</t>
        </is>
      </c>
      <c r="F591" t="inlineStr">
        <is>
          <t>毛利率：missing</t>
        </is>
      </c>
      <c r="G591" t="b">
        <v>0</v>
      </c>
      <c r="H591" t="b">
        <v>0</v>
      </c>
      <c r="M591" t="b">
        <v>0</v>
      </c>
    </row>
    <row r="592">
      <c r="A592" t="inlineStr">
        <is>
          <t>港股</t>
        </is>
      </c>
      <c r="B592" t="inlineStr">
        <is>
          <t>00053</t>
        </is>
      </c>
      <c r="C592" t="inlineStr">
        <is>
          <t>GUOCO GROUP</t>
        </is>
      </c>
      <c r="D592" t="inlineStr">
        <is>
          <t>毛利率同比变化（百分点）</t>
        </is>
      </c>
      <c r="E592" t="inlineStr">
        <is>
          <t>missing</t>
        </is>
      </c>
      <c r="F592" t="inlineStr">
        <is>
          <t>毛利率同比变化（百分点）：missing</t>
        </is>
      </c>
      <c r="G592" t="b">
        <v>0</v>
      </c>
      <c r="H592" t="b">
        <v>0</v>
      </c>
      <c r="M592" t="b">
        <v>0</v>
      </c>
    </row>
    <row r="593">
      <c r="A593" t="inlineStr">
        <is>
          <t>港股</t>
        </is>
      </c>
      <c r="B593" t="inlineStr">
        <is>
          <t>00053</t>
        </is>
      </c>
      <c r="C593" t="inlineStr">
        <is>
          <t>GUOCO GROUP</t>
        </is>
      </c>
      <c r="D593" t="inlineStr">
        <is>
          <t>毛利率三年变化（百分点）</t>
        </is>
      </c>
      <c r="E593" t="inlineStr">
        <is>
          <t>missing</t>
        </is>
      </c>
      <c r="F593" t="inlineStr">
        <is>
          <t>毛利率三年变化（百分点）：missing</t>
        </is>
      </c>
      <c r="G593" t="b">
        <v>0</v>
      </c>
      <c r="H593" t="b">
        <v>0</v>
      </c>
      <c r="M593" t="b">
        <v>0</v>
      </c>
    </row>
    <row r="594">
      <c r="A594" t="inlineStr">
        <is>
          <t>港股</t>
        </is>
      </c>
      <c r="B594" t="inlineStr">
        <is>
          <t>00053</t>
        </is>
      </c>
      <c r="C594" t="inlineStr">
        <is>
          <t>GUOCO GROUP</t>
        </is>
      </c>
      <c r="D594" t="inlineStr">
        <is>
          <t>市值增长率</t>
        </is>
      </c>
      <c r="E594" t="inlineStr">
        <is>
          <t>missing</t>
        </is>
      </c>
      <c r="F594" t="inlineStr">
        <is>
          <t>市值增长率：missing</t>
        </is>
      </c>
      <c r="G594" t="b">
        <v>0</v>
      </c>
      <c r="H594" t="b">
        <v>1</v>
      </c>
      <c r="M594" t="b">
        <v>0</v>
      </c>
    </row>
    <row r="595">
      <c r="A595" t="inlineStr">
        <is>
          <t>港股</t>
        </is>
      </c>
      <c r="B595" t="inlineStr">
        <is>
          <t>00053</t>
        </is>
      </c>
      <c r="C595" t="inlineStr">
        <is>
          <t>GUOCO GROUP</t>
        </is>
      </c>
      <c r="D595" t="inlineStr">
        <is>
          <t>发行价</t>
        </is>
      </c>
      <c r="E595" t="inlineStr">
        <is>
          <t>optional_missing</t>
        </is>
      </c>
      <c r="F595" t="inlineStr">
        <is>
          <t>发行价：optional_missing</t>
        </is>
      </c>
      <c r="G595" t="b">
        <v>0</v>
      </c>
      <c r="H595" t="b">
        <v>1</v>
      </c>
      <c r="M595" t="b">
        <v>0</v>
      </c>
    </row>
    <row r="596">
      <c r="A596" t="inlineStr">
        <is>
          <t>港股</t>
        </is>
      </c>
      <c r="B596" t="inlineStr">
        <is>
          <t>00053</t>
        </is>
      </c>
      <c r="C596" t="inlineStr">
        <is>
          <t>GUOCO GROUP</t>
        </is>
      </c>
      <c r="D596" t="inlineStr">
        <is>
          <t>发行股数</t>
        </is>
      </c>
      <c r="E596" t="inlineStr">
        <is>
          <t>optional_missing</t>
        </is>
      </c>
      <c r="F596" t="inlineStr">
        <is>
          <t>发行股数：optional_missing</t>
        </is>
      </c>
      <c r="G596" t="b">
        <v>0</v>
      </c>
      <c r="H596" t="b">
        <v>1</v>
      </c>
      <c r="M596" t="b">
        <v>0</v>
      </c>
    </row>
    <row r="597">
      <c r="A597" t="inlineStr">
        <is>
          <t>港股</t>
        </is>
      </c>
      <c r="B597" t="inlineStr">
        <is>
          <t>00053</t>
        </is>
      </c>
      <c r="C597" t="inlineStr">
        <is>
          <t>GUOCO GROUP</t>
        </is>
      </c>
      <c r="D597" t="inlineStr">
        <is>
          <t>发行时总市值</t>
        </is>
      </c>
      <c r="E597" t="inlineStr">
        <is>
          <t>optional_missing</t>
        </is>
      </c>
      <c r="F597" t="inlineStr">
        <is>
          <t>发行时总市值：optional_missing</t>
        </is>
      </c>
      <c r="G597" t="b">
        <v>0</v>
      </c>
      <c r="H597" t="b">
        <v>1</v>
      </c>
      <c r="M597" t="b">
        <v>0</v>
      </c>
    </row>
    <row r="598">
      <c r="A598" t="inlineStr">
        <is>
          <t>港股</t>
        </is>
      </c>
      <c r="B598" t="inlineStr">
        <is>
          <t>00053</t>
        </is>
      </c>
      <c r="C598" t="inlineStr">
        <is>
          <t>GUOCO GROUP</t>
        </is>
      </c>
      <c r="D598" t="inlineStr">
        <is>
          <t>当年累计大宗交易笔数</t>
        </is>
      </c>
      <c r="E598" t="inlineStr">
        <is>
          <t>optional_missing</t>
        </is>
      </c>
      <c r="F598" t="inlineStr">
        <is>
          <t>当年累计大宗交易笔数：optional_missing</t>
        </is>
      </c>
      <c r="G598" t="b">
        <v>0</v>
      </c>
      <c r="H598" t="b">
        <v>1</v>
      </c>
      <c r="M598" t="b">
        <v>0</v>
      </c>
    </row>
    <row r="599">
      <c r="A599" t="inlineStr">
        <is>
          <t>港股</t>
        </is>
      </c>
      <c r="B599" t="inlineStr">
        <is>
          <t>00053</t>
        </is>
      </c>
      <c r="C599" t="inlineStr">
        <is>
          <t>GUOCO GROUP</t>
        </is>
      </c>
      <c r="D599" t="inlineStr">
        <is>
          <t>当年累计大宗交易金额</t>
        </is>
      </c>
      <c r="E599" t="inlineStr">
        <is>
          <t>optional_missing</t>
        </is>
      </c>
      <c r="F599" t="inlineStr">
        <is>
          <t>当年累计大宗交易金额：optional_missing</t>
        </is>
      </c>
      <c r="G599" t="b">
        <v>0</v>
      </c>
      <c r="H599" t="b">
        <v>1</v>
      </c>
      <c r="M599" t="b">
        <v>0</v>
      </c>
    </row>
    <row r="600">
      <c r="A600" t="inlineStr">
        <is>
          <t>港股</t>
        </is>
      </c>
      <c r="B600" t="inlineStr">
        <is>
          <t>00053</t>
        </is>
      </c>
      <c r="C600" t="inlineStr">
        <is>
          <t>GUOCO GROUP</t>
        </is>
      </c>
      <c r="D600" t="inlineStr">
        <is>
          <t>近五个交易日资金净额</t>
        </is>
      </c>
      <c r="E600" t="inlineStr">
        <is>
          <t>optional_missing</t>
        </is>
      </c>
      <c r="F600" t="inlineStr">
        <is>
          <t>近五个交易日资金净额：optional_missing</t>
        </is>
      </c>
      <c r="G600" t="b">
        <v>0</v>
      </c>
      <c r="H600" t="b">
        <v>1</v>
      </c>
      <c r="M600" t="b">
        <v>0</v>
      </c>
    </row>
    <row r="601">
      <c r="A601" t="inlineStr">
        <is>
          <t>港股</t>
        </is>
      </c>
      <c r="B601" t="inlineStr">
        <is>
          <t>00053</t>
        </is>
      </c>
      <c r="C601" t="inlineStr">
        <is>
          <t>GUOCO GROUP</t>
        </is>
      </c>
      <c r="D601" t="inlineStr">
        <is>
          <t>近一月资金净额（最近22个交易日）</t>
        </is>
      </c>
      <c r="E601" t="inlineStr">
        <is>
          <t>optional_missing</t>
        </is>
      </c>
      <c r="F601" t="inlineStr">
        <is>
          <t>近一月资金净额（最近22个交易日）：optional_missing</t>
        </is>
      </c>
      <c r="G601" t="b">
        <v>0</v>
      </c>
      <c r="H601" t="b">
        <v>1</v>
      </c>
      <c r="M601" t="b">
        <v>0</v>
      </c>
    </row>
    <row r="602">
      <c r="A602" t="inlineStr">
        <is>
          <t>A股</t>
        </is>
      </c>
      <c r="B602" t="inlineStr">
        <is>
          <t>000070</t>
        </is>
      </c>
      <c r="C602" t="inlineStr">
        <is>
          <t>特发信息</t>
        </is>
      </c>
      <c r="D602" t="inlineStr">
        <is>
          <t>资金流</t>
        </is>
      </c>
      <c r="E602" t="inlineStr">
        <is>
          <t>optional_missing</t>
        </is>
      </c>
      <c r="F602" t="inlineStr">
        <is>
          <t>用户选择不抓取资金流</t>
        </is>
      </c>
      <c r="G602" t="b">
        <v>0</v>
      </c>
      <c r="H602" t="b">
        <v>1</v>
      </c>
      <c r="I602" t="inlineStr">
        <is>
          <t>配置</t>
        </is>
      </c>
      <c r="J602" t="inlineStr">
        <is>
          <t>配置</t>
        </is>
      </c>
      <c r="K602" t="inlineStr">
        <is>
          <t>flow-mode-off</t>
        </is>
      </c>
      <c r="L602" s="32" t="n">
        <v>46263.25754607147</v>
      </c>
      <c r="M602" t="b">
        <v>0</v>
      </c>
    </row>
    <row r="603">
      <c r="A603" t="inlineStr">
        <is>
          <t>A股</t>
        </is>
      </c>
      <c r="B603" t="inlineStr">
        <is>
          <t>000070</t>
        </is>
      </c>
      <c r="C603" t="inlineStr">
        <is>
          <t>特发信息</t>
        </is>
      </c>
      <c r="D603" t="inlineStr">
        <is>
          <t>近五个交易日资金净额</t>
        </is>
      </c>
      <c r="E603" t="inlineStr">
        <is>
          <t>optional_missing</t>
        </is>
      </c>
      <c r="F603" t="inlineStr">
        <is>
          <t>近五个交易日资金净额：optional_missing</t>
        </is>
      </c>
      <c r="G603" t="b">
        <v>0</v>
      </c>
      <c r="H603" t="b">
        <v>1</v>
      </c>
      <c r="M603" t="b">
        <v>0</v>
      </c>
    </row>
    <row r="604">
      <c r="A604" t="inlineStr">
        <is>
          <t>A股</t>
        </is>
      </c>
      <c r="B604" t="inlineStr">
        <is>
          <t>000070</t>
        </is>
      </c>
      <c r="C604" t="inlineStr">
        <is>
          <t>特发信息</t>
        </is>
      </c>
      <c r="D604" t="inlineStr">
        <is>
          <t>近一月资金净额（最近22个交易日）</t>
        </is>
      </c>
      <c r="E604" t="inlineStr">
        <is>
          <t>optional_missing</t>
        </is>
      </c>
      <c r="F604" t="inlineStr">
        <is>
          <t>近一月资金净额（最近22个交易日）：optional_missing</t>
        </is>
      </c>
      <c r="G604" t="b">
        <v>0</v>
      </c>
      <c r="H604" t="b">
        <v>1</v>
      </c>
      <c r="M604" t="b">
        <v>0</v>
      </c>
    </row>
    <row r="605">
      <c r="A605" t="inlineStr">
        <is>
          <t>港股</t>
        </is>
      </c>
      <c r="B605" t="inlineStr">
        <is>
          <t>00055</t>
        </is>
      </c>
      <c r="C605" t="inlineStr">
        <is>
          <t>NEWAY GROUP</t>
        </is>
      </c>
      <c r="D605" t="inlineStr">
        <is>
          <t>大宗交易</t>
        </is>
      </c>
      <c r="E605" t="inlineStr">
        <is>
          <t>optional_missing</t>
        </is>
      </c>
      <c r="F605" t="inlineStr">
        <is>
          <t>港股大宗交易按允许缺失规则留空</t>
        </is>
      </c>
      <c r="G605" t="b">
        <v>0</v>
      </c>
      <c r="H605" t="b">
        <v>1</v>
      </c>
      <c r="I605" t="inlineStr">
        <is>
          <t>东方财富</t>
        </is>
      </c>
      <c r="J605" t="inlineStr">
        <is>
          <t>东方财富</t>
        </is>
      </c>
      <c r="K605" t="inlineStr">
        <is>
          <t>not-applicable-hk</t>
        </is>
      </c>
      <c r="L605" s="32" t="n">
        <v>46263.25725433244</v>
      </c>
      <c r="M605" t="b">
        <v>1</v>
      </c>
    </row>
    <row r="606">
      <c r="A606" t="inlineStr">
        <is>
          <t>港股</t>
        </is>
      </c>
      <c r="B606" t="inlineStr">
        <is>
          <t>00055</t>
        </is>
      </c>
      <c r="C606" t="inlineStr">
        <is>
          <t>NEWAY GROUP</t>
        </is>
      </c>
      <c r="D606" t="inlineStr">
        <is>
          <t>资金流</t>
        </is>
      </c>
      <c r="E606" t="inlineStr">
        <is>
          <t>optional_missing</t>
        </is>
      </c>
      <c r="F606" t="inlineStr">
        <is>
          <t>用户选择不抓取资金流</t>
        </is>
      </c>
      <c r="G606" t="b">
        <v>0</v>
      </c>
      <c r="H606" t="b">
        <v>1</v>
      </c>
      <c r="I606" t="inlineStr">
        <is>
          <t>配置</t>
        </is>
      </c>
      <c r="J606" t="inlineStr">
        <is>
          <t>配置</t>
        </is>
      </c>
      <c r="K606" t="inlineStr">
        <is>
          <t>flow-mode-off</t>
        </is>
      </c>
      <c r="L606" s="32" t="n">
        <v>46263.25754607147</v>
      </c>
      <c r="M606" t="b">
        <v>0</v>
      </c>
    </row>
    <row r="607">
      <c r="A607" t="inlineStr">
        <is>
          <t>港股</t>
        </is>
      </c>
      <c r="B607" t="inlineStr">
        <is>
          <t>00055</t>
        </is>
      </c>
      <c r="C607" t="inlineStr">
        <is>
          <t>NEWAY GROUP</t>
        </is>
      </c>
      <c r="D607" t="inlineStr">
        <is>
          <t>当年累计大宗交易笔数</t>
        </is>
      </c>
      <c r="E607" t="inlineStr">
        <is>
          <t>optional_missing</t>
        </is>
      </c>
      <c r="F607" t="inlineStr">
        <is>
          <t>当年累计大宗交易笔数：optional_missing</t>
        </is>
      </c>
      <c r="G607" t="b">
        <v>0</v>
      </c>
      <c r="H607" t="b">
        <v>1</v>
      </c>
      <c r="M607" t="b">
        <v>0</v>
      </c>
    </row>
    <row r="608">
      <c r="A608" t="inlineStr">
        <is>
          <t>港股</t>
        </is>
      </c>
      <c r="B608" t="inlineStr">
        <is>
          <t>00055</t>
        </is>
      </c>
      <c r="C608" t="inlineStr">
        <is>
          <t>NEWAY GROUP</t>
        </is>
      </c>
      <c r="D608" t="inlineStr">
        <is>
          <t>当年累计大宗交易金额</t>
        </is>
      </c>
      <c r="E608" t="inlineStr">
        <is>
          <t>optional_missing</t>
        </is>
      </c>
      <c r="F608" t="inlineStr">
        <is>
          <t>当年累计大宗交易金额：optional_missing</t>
        </is>
      </c>
      <c r="G608" t="b">
        <v>0</v>
      </c>
      <c r="H608" t="b">
        <v>1</v>
      </c>
      <c r="M608" t="b">
        <v>0</v>
      </c>
    </row>
    <row r="609">
      <c r="A609" t="inlineStr">
        <is>
          <t>港股</t>
        </is>
      </c>
      <c r="B609" t="inlineStr">
        <is>
          <t>00055</t>
        </is>
      </c>
      <c r="C609" t="inlineStr">
        <is>
          <t>NEWAY GROUP</t>
        </is>
      </c>
      <c r="D609" t="inlineStr">
        <is>
          <t>近五个交易日资金净额</t>
        </is>
      </c>
      <c r="E609" t="inlineStr">
        <is>
          <t>optional_missing</t>
        </is>
      </c>
      <c r="F609" t="inlineStr">
        <is>
          <t>近五个交易日资金净额：optional_missing</t>
        </is>
      </c>
      <c r="G609" t="b">
        <v>0</v>
      </c>
      <c r="H609" t="b">
        <v>1</v>
      </c>
      <c r="M609" t="b">
        <v>0</v>
      </c>
    </row>
    <row r="610">
      <c r="A610" t="inlineStr">
        <is>
          <t>港股</t>
        </is>
      </c>
      <c r="B610" t="inlineStr">
        <is>
          <t>00055</t>
        </is>
      </c>
      <c r="C610" t="inlineStr">
        <is>
          <t>NEWAY GROUP</t>
        </is>
      </c>
      <c r="D610" t="inlineStr">
        <is>
          <t>近一月资金净额（最近22个交易日）</t>
        </is>
      </c>
      <c r="E610" t="inlineStr">
        <is>
          <t>optional_missing</t>
        </is>
      </c>
      <c r="F610" t="inlineStr">
        <is>
          <t>近一月资金净额（最近22个交易日）：optional_missing</t>
        </is>
      </c>
      <c r="G610" t="b">
        <v>0</v>
      </c>
      <c r="H610" t="b">
        <v>1</v>
      </c>
      <c r="M610" t="b">
        <v>0</v>
      </c>
    </row>
    <row r="611">
      <c r="A611" t="inlineStr">
        <is>
          <t>A股</t>
        </is>
      </c>
      <c r="B611" t="inlineStr">
        <is>
          <t>000078</t>
        </is>
      </c>
      <c r="C611" t="inlineStr">
        <is>
          <t>ST海王</t>
        </is>
      </c>
      <c r="D611" t="inlineStr">
        <is>
          <t>资金流</t>
        </is>
      </c>
      <c r="E611" t="inlineStr">
        <is>
          <t>optional_missing</t>
        </is>
      </c>
      <c r="F611" t="inlineStr">
        <is>
          <t>用户选择不抓取资金流</t>
        </is>
      </c>
      <c r="G611" t="b">
        <v>0</v>
      </c>
      <c r="H611" t="b">
        <v>1</v>
      </c>
      <c r="I611" t="inlineStr">
        <is>
          <t>配置</t>
        </is>
      </c>
      <c r="J611" t="inlineStr">
        <is>
          <t>配置</t>
        </is>
      </c>
      <c r="K611" t="inlineStr">
        <is>
          <t>flow-mode-off</t>
        </is>
      </c>
      <c r="L611" s="32" t="n">
        <v>46263.25754607147</v>
      </c>
      <c r="M611" t="b">
        <v>0</v>
      </c>
    </row>
    <row r="612">
      <c r="A612" t="inlineStr">
        <is>
          <t>A股</t>
        </is>
      </c>
      <c r="B612" t="inlineStr">
        <is>
          <t>000078</t>
        </is>
      </c>
      <c r="C612" t="inlineStr">
        <is>
          <t>ST海王</t>
        </is>
      </c>
      <c r="D612" t="inlineStr">
        <is>
          <t>近五个交易日资金净额</t>
        </is>
      </c>
      <c r="E612" t="inlineStr">
        <is>
          <t>optional_missing</t>
        </is>
      </c>
      <c r="F612" t="inlineStr">
        <is>
          <t>近五个交易日资金净额：optional_missing</t>
        </is>
      </c>
      <c r="G612" t="b">
        <v>0</v>
      </c>
      <c r="H612" t="b">
        <v>1</v>
      </c>
      <c r="M612" t="b">
        <v>0</v>
      </c>
    </row>
    <row r="613">
      <c r="A613" t="inlineStr">
        <is>
          <t>A股</t>
        </is>
      </c>
      <c r="B613" t="inlineStr">
        <is>
          <t>000078</t>
        </is>
      </c>
      <c r="C613" t="inlineStr">
        <is>
          <t>ST海王</t>
        </is>
      </c>
      <c r="D613" t="inlineStr">
        <is>
          <t>近一月资金净额（最近22个交易日）</t>
        </is>
      </c>
      <c r="E613" t="inlineStr">
        <is>
          <t>optional_missing</t>
        </is>
      </c>
      <c r="F613" t="inlineStr">
        <is>
          <t>近一月资金净额（最近22个交易日）：optional_missing</t>
        </is>
      </c>
      <c r="G613" t="b">
        <v>0</v>
      </c>
      <c r="H613" t="b">
        <v>1</v>
      </c>
      <c r="M613" t="b">
        <v>0</v>
      </c>
    </row>
    <row r="614">
      <c r="A614" t="inlineStr">
        <is>
          <t>港股</t>
        </is>
      </c>
      <c r="B614" t="inlineStr">
        <is>
          <t>00057</t>
        </is>
      </c>
      <c r="C614" t="inlineStr">
        <is>
          <t>CHEN HSONG HOLD</t>
        </is>
      </c>
      <c r="D614" t="inlineStr">
        <is>
          <t>大宗交易</t>
        </is>
      </c>
      <c r="E614" t="inlineStr">
        <is>
          <t>optional_missing</t>
        </is>
      </c>
      <c r="F614" t="inlineStr">
        <is>
          <t>港股大宗交易按允许缺失规则留空</t>
        </is>
      </c>
      <c r="G614" t="b">
        <v>0</v>
      </c>
      <c r="H614" t="b">
        <v>1</v>
      </c>
      <c r="I614" t="inlineStr">
        <is>
          <t>东方财富</t>
        </is>
      </c>
      <c r="J614" t="inlineStr">
        <is>
          <t>东方财富</t>
        </is>
      </c>
      <c r="K614" t="inlineStr">
        <is>
          <t>not-applicable-hk</t>
        </is>
      </c>
      <c r="L614" s="32" t="n">
        <v>46263.25725433244</v>
      </c>
      <c r="M614" t="b">
        <v>1</v>
      </c>
    </row>
    <row r="615">
      <c r="A615" t="inlineStr">
        <is>
          <t>港股</t>
        </is>
      </c>
      <c r="B615" t="inlineStr">
        <is>
          <t>00057</t>
        </is>
      </c>
      <c r="C615" t="inlineStr">
        <is>
          <t>CHEN HSONG HOLD</t>
        </is>
      </c>
      <c r="D615" t="inlineStr">
        <is>
          <t>资金流</t>
        </is>
      </c>
      <c r="E615" t="inlineStr">
        <is>
          <t>optional_missing</t>
        </is>
      </c>
      <c r="F615" t="inlineStr">
        <is>
          <t>用户选择不抓取资金流</t>
        </is>
      </c>
      <c r="G615" t="b">
        <v>0</v>
      </c>
      <c r="H615" t="b">
        <v>1</v>
      </c>
      <c r="I615" t="inlineStr">
        <is>
          <t>配置</t>
        </is>
      </c>
      <c r="J615" t="inlineStr">
        <is>
          <t>配置</t>
        </is>
      </c>
      <c r="K615" t="inlineStr">
        <is>
          <t>flow-mode-off</t>
        </is>
      </c>
      <c r="L615" s="32" t="n">
        <v>46263.25754607147</v>
      </c>
      <c r="M615" t="b">
        <v>0</v>
      </c>
    </row>
    <row r="616">
      <c r="A616" t="inlineStr">
        <is>
          <t>港股</t>
        </is>
      </c>
      <c r="B616" t="inlineStr">
        <is>
          <t>00057</t>
        </is>
      </c>
      <c r="C616" t="inlineStr">
        <is>
          <t>CHEN HSONG HOLD</t>
        </is>
      </c>
      <c r="D616" t="inlineStr">
        <is>
          <t>当年累计大宗交易笔数</t>
        </is>
      </c>
      <c r="E616" t="inlineStr">
        <is>
          <t>optional_missing</t>
        </is>
      </c>
      <c r="F616" t="inlineStr">
        <is>
          <t>当年累计大宗交易笔数：optional_missing</t>
        </is>
      </c>
      <c r="G616" t="b">
        <v>0</v>
      </c>
      <c r="H616" t="b">
        <v>1</v>
      </c>
      <c r="M616" t="b">
        <v>0</v>
      </c>
    </row>
    <row r="617">
      <c r="A617" t="inlineStr">
        <is>
          <t>港股</t>
        </is>
      </c>
      <c r="B617" t="inlineStr">
        <is>
          <t>00057</t>
        </is>
      </c>
      <c r="C617" t="inlineStr">
        <is>
          <t>CHEN HSONG HOLD</t>
        </is>
      </c>
      <c r="D617" t="inlineStr">
        <is>
          <t>当年累计大宗交易金额</t>
        </is>
      </c>
      <c r="E617" t="inlineStr">
        <is>
          <t>optional_missing</t>
        </is>
      </c>
      <c r="F617" t="inlineStr">
        <is>
          <t>当年累计大宗交易金额：optional_missing</t>
        </is>
      </c>
      <c r="G617" t="b">
        <v>0</v>
      </c>
      <c r="H617" t="b">
        <v>1</v>
      </c>
      <c r="M617" t="b">
        <v>0</v>
      </c>
    </row>
    <row r="618">
      <c r="A618" t="inlineStr">
        <is>
          <t>港股</t>
        </is>
      </c>
      <c r="B618" t="inlineStr">
        <is>
          <t>00057</t>
        </is>
      </c>
      <c r="C618" t="inlineStr">
        <is>
          <t>CHEN HSONG HOLD</t>
        </is>
      </c>
      <c r="D618" t="inlineStr">
        <is>
          <t>近五个交易日资金净额</t>
        </is>
      </c>
      <c r="E618" t="inlineStr">
        <is>
          <t>optional_missing</t>
        </is>
      </c>
      <c r="F618" t="inlineStr">
        <is>
          <t>近五个交易日资金净额：optional_missing</t>
        </is>
      </c>
      <c r="G618" t="b">
        <v>0</v>
      </c>
      <c r="H618" t="b">
        <v>1</v>
      </c>
      <c r="M618" t="b">
        <v>0</v>
      </c>
    </row>
    <row r="619">
      <c r="A619" t="inlineStr">
        <is>
          <t>港股</t>
        </is>
      </c>
      <c r="B619" t="inlineStr">
        <is>
          <t>00057</t>
        </is>
      </c>
      <c r="C619" t="inlineStr">
        <is>
          <t>CHEN HSONG HOLD</t>
        </is>
      </c>
      <c r="D619" t="inlineStr">
        <is>
          <t>近一月资金净额（最近22个交易日）</t>
        </is>
      </c>
      <c r="E619" t="inlineStr">
        <is>
          <t>optional_missing</t>
        </is>
      </c>
      <c r="F619" t="inlineStr">
        <is>
          <t>近一月资金净额（最近22个交易日）：optional_missing</t>
        </is>
      </c>
      <c r="G619" t="b">
        <v>0</v>
      </c>
      <c r="H619" t="b">
        <v>1</v>
      </c>
      <c r="M619" t="b">
        <v>0</v>
      </c>
    </row>
    <row r="620">
      <c r="A620" t="inlineStr">
        <is>
          <t>A股</t>
        </is>
      </c>
      <c r="B620" t="inlineStr">
        <is>
          <t>000088</t>
        </is>
      </c>
      <c r="C620" t="inlineStr">
        <is>
          <t>盐田港</t>
        </is>
      </c>
      <c r="D620" t="inlineStr">
        <is>
          <t>资金流</t>
        </is>
      </c>
      <c r="E620" t="inlineStr">
        <is>
          <t>optional_missing</t>
        </is>
      </c>
      <c r="F620" t="inlineStr">
        <is>
          <t>用户选择不抓取资金流</t>
        </is>
      </c>
      <c r="G620" t="b">
        <v>0</v>
      </c>
      <c r="H620" t="b">
        <v>1</v>
      </c>
      <c r="I620" t="inlineStr">
        <is>
          <t>配置</t>
        </is>
      </c>
      <c r="J620" t="inlineStr">
        <is>
          <t>配置</t>
        </is>
      </c>
      <c r="K620" t="inlineStr">
        <is>
          <t>flow-mode-off</t>
        </is>
      </c>
      <c r="L620" s="32" t="n">
        <v>46263.25754607147</v>
      </c>
      <c r="M620" t="b">
        <v>0</v>
      </c>
    </row>
    <row r="621">
      <c r="A621" t="inlineStr">
        <is>
          <t>A股</t>
        </is>
      </c>
      <c r="B621" t="inlineStr">
        <is>
          <t>000088</t>
        </is>
      </c>
      <c r="C621" t="inlineStr">
        <is>
          <t>盐田港</t>
        </is>
      </c>
      <c r="D621" t="inlineStr">
        <is>
          <t>近五个交易日资金净额</t>
        </is>
      </c>
      <c r="E621" t="inlineStr">
        <is>
          <t>optional_missing</t>
        </is>
      </c>
      <c r="F621" t="inlineStr">
        <is>
          <t>近五个交易日资金净额：optional_missing</t>
        </is>
      </c>
      <c r="G621" t="b">
        <v>0</v>
      </c>
      <c r="H621" t="b">
        <v>1</v>
      </c>
      <c r="M621" t="b">
        <v>0</v>
      </c>
    </row>
    <row r="622">
      <c r="A622" t="inlineStr">
        <is>
          <t>A股</t>
        </is>
      </c>
      <c r="B622" t="inlineStr">
        <is>
          <t>000088</t>
        </is>
      </c>
      <c r="C622" t="inlineStr">
        <is>
          <t>盐田港</t>
        </is>
      </c>
      <c r="D622" t="inlineStr">
        <is>
          <t>近一月资金净额（最近22个交易日）</t>
        </is>
      </c>
      <c r="E622" t="inlineStr">
        <is>
          <t>optional_missing</t>
        </is>
      </c>
      <c r="F622" t="inlineStr">
        <is>
          <t>近一月资金净额（最近22个交易日）：optional_missing</t>
        </is>
      </c>
      <c r="G622" t="b">
        <v>0</v>
      </c>
      <c r="H622" t="b">
        <v>1</v>
      </c>
      <c r="M622" t="b">
        <v>0</v>
      </c>
    </row>
    <row r="623">
      <c r="A623" t="inlineStr">
        <is>
          <t>港股</t>
        </is>
      </c>
      <c r="B623" t="inlineStr">
        <is>
          <t>00058</t>
        </is>
      </c>
      <c r="C623" t="inlineStr">
        <is>
          <t>SUNWAY INT'L</t>
        </is>
      </c>
      <c r="D623" t="inlineStr">
        <is>
          <t>大宗交易</t>
        </is>
      </c>
      <c r="E623" t="inlineStr">
        <is>
          <t>optional_missing</t>
        </is>
      </c>
      <c r="F623" t="inlineStr">
        <is>
          <t>港股大宗交易按允许缺失规则留空</t>
        </is>
      </c>
      <c r="G623" t="b">
        <v>0</v>
      </c>
      <c r="H623" t="b">
        <v>1</v>
      </c>
      <c r="I623" t="inlineStr">
        <is>
          <t>东方财富</t>
        </is>
      </c>
      <c r="J623" t="inlineStr">
        <is>
          <t>东方财富</t>
        </is>
      </c>
      <c r="K623" t="inlineStr">
        <is>
          <t>not-applicable-hk</t>
        </is>
      </c>
      <c r="L623" s="32" t="n">
        <v>46263.25725433244</v>
      </c>
      <c r="M623" t="b">
        <v>1</v>
      </c>
    </row>
    <row r="624">
      <c r="A624" t="inlineStr">
        <is>
          <t>港股</t>
        </is>
      </c>
      <c r="B624" t="inlineStr">
        <is>
          <t>00058</t>
        </is>
      </c>
      <c r="C624" t="inlineStr">
        <is>
          <t>SUNWAY INT'L</t>
        </is>
      </c>
      <c r="D624" t="inlineStr">
        <is>
          <t>资金流</t>
        </is>
      </c>
      <c r="E624" t="inlineStr">
        <is>
          <t>optional_missing</t>
        </is>
      </c>
      <c r="F624" t="inlineStr">
        <is>
          <t>用户选择不抓取资金流</t>
        </is>
      </c>
      <c r="G624" t="b">
        <v>0</v>
      </c>
      <c r="H624" t="b">
        <v>1</v>
      </c>
      <c r="I624" t="inlineStr">
        <is>
          <t>配置</t>
        </is>
      </c>
      <c r="J624" t="inlineStr">
        <is>
          <t>配置</t>
        </is>
      </c>
      <c r="K624" t="inlineStr">
        <is>
          <t>flow-mode-off</t>
        </is>
      </c>
      <c r="L624" s="32" t="n">
        <v>46263.25754607147</v>
      </c>
      <c r="M624" t="b">
        <v>0</v>
      </c>
    </row>
    <row r="625">
      <c r="A625" t="inlineStr">
        <is>
          <t>港股</t>
        </is>
      </c>
      <c r="B625" t="inlineStr">
        <is>
          <t>00058</t>
        </is>
      </c>
      <c r="C625" t="inlineStr">
        <is>
          <t>SUNWAY INT'L</t>
        </is>
      </c>
      <c r="D625" t="inlineStr">
        <is>
          <t>当年累计大宗交易笔数</t>
        </is>
      </c>
      <c r="E625" t="inlineStr">
        <is>
          <t>optional_missing</t>
        </is>
      </c>
      <c r="F625" t="inlineStr">
        <is>
          <t>当年累计大宗交易笔数：optional_missing</t>
        </is>
      </c>
      <c r="G625" t="b">
        <v>0</v>
      </c>
      <c r="H625" t="b">
        <v>1</v>
      </c>
      <c r="M625" t="b">
        <v>0</v>
      </c>
    </row>
    <row r="626">
      <c r="A626" t="inlineStr">
        <is>
          <t>港股</t>
        </is>
      </c>
      <c r="B626" t="inlineStr">
        <is>
          <t>00058</t>
        </is>
      </c>
      <c r="C626" t="inlineStr">
        <is>
          <t>SUNWAY INT'L</t>
        </is>
      </c>
      <c r="D626" t="inlineStr">
        <is>
          <t>当年累计大宗交易金额</t>
        </is>
      </c>
      <c r="E626" t="inlineStr">
        <is>
          <t>optional_missing</t>
        </is>
      </c>
      <c r="F626" t="inlineStr">
        <is>
          <t>当年累计大宗交易金额：optional_missing</t>
        </is>
      </c>
      <c r="G626" t="b">
        <v>0</v>
      </c>
      <c r="H626" t="b">
        <v>1</v>
      </c>
      <c r="M626" t="b">
        <v>0</v>
      </c>
    </row>
    <row r="627">
      <c r="A627" t="inlineStr">
        <is>
          <t>港股</t>
        </is>
      </c>
      <c r="B627" t="inlineStr">
        <is>
          <t>00058</t>
        </is>
      </c>
      <c r="C627" t="inlineStr">
        <is>
          <t>SUNWAY INT'L</t>
        </is>
      </c>
      <c r="D627" t="inlineStr">
        <is>
          <t>近五个交易日资金净额</t>
        </is>
      </c>
      <c r="E627" t="inlineStr">
        <is>
          <t>optional_missing</t>
        </is>
      </c>
      <c r="F627" t="inlineStr">
        <is>
          <t>近五个交易日资金净额：optional_missing</t>
        </is>
      </c>
      <c r="G627" t="b">
        <v>0</v>
      </c>
      <c r="H627" t="b">
        <v>1</v>
      </c>
      <c r="M627" t="b">
        <v>0</v>
      </c>
    </row>
    <row r="628">
      <c r="A628" t="inlineStr">
        <is>
          <t>港股</t>
        </is>
      </c>
      <c r="B628" t="inlineStr">
        <is>
          <t>00058</t>
        </is>
      </c>
      <c r="C628" t="inlineStr">
        <is>
          <t>SUNWAY INT'L</t>
        </is>
      </c>
      <c r="D628" t="inlineStr">
        <is>
          <t>近一月资金净额（最近22个交易日）</t>
        </is>
      </c>
      <c r="E628" t="inlineStr">
        <is>
          <t>optional_missing</t>
        </is>
      </c>
      <c r="F628" t="inlineStr">
        <is>
          <t>近一月资金净额（最近22个交易日）：optional_missing</t>
        </is>
      </c>
      <c r="G628" t="b">
        <v>0</v>
      </c>
      <c r="H628" t="b">
        <v>1</v>
      </c>
      <c r="M628" t="b">
        <v>0</v>
      </c>
    </row>
    <row r="629">
      <c r="A629" t="inlineStr">
        <is>
          <t>A股</t>
        </is>
      </c>
      <c r="B629" t="inlineStr">
        <is>
          <t>000089</t>
        </is>
      </c>
      <c r="C629" t="inlineStr">
        <is>
          <t>深圳机场</t>
        </is>
      </c>
      <c r="D629" t="inlineStr">
        <is>
          <t>资金流</t>
        </is>
      </c>
      <c r="E629" t="inlineStr">
        <is>
          <t>optional_missing</t>
        </is>
      </c>
      <c r="F629" t="inlineStr">
        <is>
          <t>用户选择不抓取资金流</t>
        </is>
      </c>
      <c r="G629" t="b">
        <v>0</v>
      </c>
      <c r="H629" t="b">
        <v>1</v>
      </c>
      <c r="I629" t="inlineStr">
        <is>
          <t>配置</t>
        </is>
      </c>
      <c r="J629" t="inlineStr">
        <is>
          <t>配置</t>
        </is>
      </c>
      <c r="K629" t="inlineStr">
        <is>
          <t>flow-mode-off</t>
        </is>
      </c>
      <c r="L629" s="32" t="n">
        <v>46263.25754607147</v>
      </c>
      <c r="M629" t="b">
        <v>0</v>
      </c>
    </row>
    <row r="630">
      <c r="A630" t="inlineStr">
        <is>
          <t>A股</t>
        </is>
      </c>
      <c r="B630" t="inlineStr">
        <is>
          <t>000089</t>
        </is>
      </c>
      <c r="C630" t="inlineStr">
        <is>
          <t>深圳机场</t>
        </is>
      </c>
      <c r="D630" t="inlineStr">
        <is>
          <t>近五个交易日资金净额</t>
        </is>
      </c>
      <c r="E630" t="inlineStr">
        <is>
          <t>optional_missing</t>
        </is>
      </c>
      <c r="F630" t="inlineStr">
        <is>
          <t>近五个交易日资金净额：optional_missing</t>
        </is>
      </c>
      <c r="G630" t="b">
        <v>0</v>
      </c>
      <c r="H630" t="b">
        <v>1</v>
      </c>
      <c r="M630" t="b">
        <v>0</v>
      </c>
    </row>
    <row r="631">
      <c r="A631" t="inlineStr">
        <is>
          <t>A股</t>
        </is>
      </c>
      <c r="B631" t="inlineStr">
        <is>
          <t>000089</t>
        </is>
      </c>
      <c r="C631" t="inlineStr">
        <is>
          <t>深圳机场</t>
        </is>
      </c>
      <c r="D631" t="inlineStr">
        <is>
          <t>近一月资金净额（最近22个交易日）</t>
        </is>
      </c>
      <c r="E631" t="inlineStr">
        <is>
          <t>optional_missing</t>
        </is>
      </c>
      <c r="F631" t="inlineStr">
        <is>
          <t>近一月资金净额（最近22个交易日）：optional_missing</t>
        </is>
      </c>
      <c r="G631" t="b">
        <v>0</v>
      </c>
      <c r="H631" t="b">
        <v>1</v>
      </c>
      <c r="M631" t="b">
        <v>0</v>
      </c>
    </row>
    <row r="632">
      <c r="A632" t="inlineStr">
        <is>
          <t>港股</t>
        </is>
      </c>
      <c r="B632" t="inlineStr">
        <is>
          <t>00059</t>
        </is>
      </c>
      <c r="C632" t="inlineStr">
        <is>
          <t>SKYFAME REALTY</t>
        </is>
      </c>
      <c r="D632" t="inlineStr">
        <is>
          <t>大宗交易</t>
        </is>
      </c>
      <c r="E632" t="inlineStr">
        <is>
          <t>optional_missing</t>
        </is>
      </c>
      <c r="F632" t="inlineStr">
        <is>
          <t>港股大宗交易按允许缺失规则留空</t>
        </is>
      </c>
      <c r="G632" t="b">
        <v>0</v>
      </c>
      <c r="H632" t="b">
        <v>1</v>
      </c>
      <c r="I632" t="inlineStr">
        <is>
          <t>东方财富</t>
        </is>
      </c>
      <c r="J632" t="inlineStr">
        <is>
          <t>东方财富</t>
        </is>
      </c>
      <c r="K632" t="inlineStr">
        <is>
          <t>not-applicable-hk</t>
        </is>
      </c>
      <c r="L632" s="32" t="n">
        <v>46263.25725433244</v>
      </c>
      <c r="M632" t="b">
        <v>1</v>
      </c>
    </row>
    <row r="633">
      <c r="A633" t="inlineStr">
        <is>
          <t>港股</t>
        </is>
      </c>
      <c r="B633" t="inlineStr">
        <is>
          <t>00059</t>
        </is>
      </c>
      <c r="C633" t="inlineStr">
        <is>
          <t>SKYFAME REALTY</t>
        </is>
      </c>
      <c r="D633" t="inlineStr">
        <is>
          <t>营业收入</t>
        </is>
      </c>
      <c r="E633" t="inlineStr">
        <is>
          <t>missing</t>
        </is>
      </c>
      <c r="F633" t="inlineStr">
        <is>
          <t>港股缺少结构化核心财务数据，已按港股纳入规则排除</t>
        </is>
      </c>
      <c r="G633" t="b">
        <v>1</v>
      </c>
      <c r="H633" t="b">
        <v>0</v>
      </c>
      <c r="J633" t="inlineStr">
        <is>
          <t>公开结构化数据组合源</t>
        </is>
      </c>
      <c r="M633" t="b">
        <v>0</v>
      </c>
    </row>
    <row r="634">
      <c r="A634" t="inlineStr">
        <is>
          <t>港股</t>
        </is>
      </c>
      <c r="B634" t="inlineStr">
        <is>
          <t>00059</t>
        </is>
      </c>
      <c r="C634" t="inlineStr">
        <is>
          <t>SKYFAME REALTY</t>
        </is>
      </c>
      <c r="D634" t="inlineStr">
        <is>
          <t>营业收入</t>
        </is>
      </c>
      <c r="E634" t="inlineStr">
        <is>
          <t>missing</t>
        </is>
      </c>
      <c r="F634" t="inlineStr">
        <is>
          <t>缺少所选年度营业收入</t>
        </is>
      </c>
      <c r="G634" t="b">
        <v>1</v>
      </c>
      <c r="H634" t="b">
        <v>0</v>
      </c>
      <c r="M634" t="b">
        <v>0</v>
      </c>
    </row>
    <row r="635">
      <c r="A635" t="inlineStr">
        <is>
          <t>港股</t>
        </is>
      </c>
      <c r="B635" t="inlineStr">
        <is>
          <t>00059</t>
        </is>
      </c>
      <c r="C635" t="inlineStr">
        <is>
          <t>SKYFAME REALTY</t>
        </is>
      </c>
      <c r="D635" t="inlineStr">
        <is>
          <t>营业收入同比</t>
        </is>
      </c>
      <c r="E635" t="inlineStr">
        <is>
          <t>missing</t>
        </is>
      </c>
      <c r="F635" t="inlineStr">
        <is>
          <t>营业收入同比：missing</t>
        </is>
      </c>
      <c r="G635" t="b">
        <v>0</v>
      </c>
      <c r="H635" t="b">
        <v>0</v>
      </c>
      <c r="M635" t="b">
        <v>0</v>
      </c>
    </row>
    <row r="636">
      <c r="A636" t="inlineStr">
        <is>
          <t>港股</t>
        </is>
      </c>
      <c r="B636" t="inlineStr">
        <is>
          <t>00059</t>
        </is>
      </c>
      <c r="C636" t="inlineStr">
        <is>
          <t>SKYFAME REALTY</t>
        </is>
      </c>
      <c r="D636" t="inlineStr">
        <is>
          <t>营业收入三年 CAGR</t>
        </is>
      </c>
      <c r="E636" t="inlineStr">
        <is>
          <t>missing</t>
        </is>
      </c>
      <c r="F636" t="inlineStr">
        <is>
          <t>营业收入三年 CAGR：missing</t>
        </is>
      </c>
      <c r="G636" t="b">
        <v>0</v>
      </c>
      <c r="H636" t="b">
        <v>0</v>
      </c>
      <c r="M636" t="b">
        <v>0</v>
      </c>
    </row>
    <row r="637">
      <c r="A637" t="inlineStr">
        <is>
          <t>港股</t>
        </is>
      </c>
      <c r="B637" t="inlineStr">
        <is>
          <t>00059</t>
        </is>
      </c>
      <c r="C637" t="inlineStr">
        <is>
          <t>SKYFAME REALTY</t>
        </is>
      </c>
      <c r="D637" t="inlineStr">
        <is>
          <t>毛利率</t>
        </is>
      </c>
      <c r="E637" t="inlineStr">
        <is>
          <t>missing</t>
        </is>
      </c>
      <c r="F637" t="inlineStr">
        <is>
          <t>毛利率：missing</t>
        </is>
      </c>
      <c r="G637" t="b">
        <v>0</v>
      </c>
      <c r="H637" t="b">
        <v>0</v>
      </c>
      <c r="M637" t="b">
        <v>0</v>
      </c>
    </row>
    <row r="638">
      <c r="A638" t="inlineStr">
        <is>
          <t>港股</t>
        </is>
      </c>
      <c r="B638" t="inlineStr">
        <is>
          <t>00059</t>
        </is>
      </c>
      <c r="C638" t="inlineStr">
        <is>
          <t>SKYFAME REALTY</t>
        </is>
      </c>
      <c r="D638" t="inlineStr">
        <is>
          <t>毛利率同比变化（百分点）</t>
        </is>
      </c>
      <c r="E638" t="inlineStr">
        <is>
          <t>missing</t>
        </is>
      </c>
      <c r="F638" t="inlineStr">
        <is>
          <t>毛利率同比变化（百分点）：missing</t>
        </is>
      </c>
      <c r="G638" t="b">
        <v>0</v>
      </c>
      <c r="H638" t="b">
        <v>0</v>
      </c>
      <c r="M638" t="b">
        <v>0</v>
      </c>
    </row>
    <row r="639">
      <c r="A639" t="inlineStr">
        <is>
          <t>港股</t>
        </is>
      </c>
      <c r="B639" t="inlineStr">
        <is>
          <t>00059</t>
        </is>
      </c>
      <c r="C639" t="inlineStr">
        <is>
          <t>SKYFAME REALTY</t>
        </is>
      </c>
      <c r="D639" t="inlineStr">
        <is>
          <t>毛利率三年变化（百分点）</t>
        </is>
      </c>
      <c r="E639" t="inlineStr">
        <is>
          <t>missing</t>
        </is>
      </c>
      <c r="F639" t="inlineStr">
        <is>
          <t>毛利率三年变化（百分点）：missing</t>
        </is>
      </c>
      <c r="G639" t="b">
        <v>0</v>
      </c>
      <c r="H639" t="b">
        <v>0</v>
      </c>
      <c r="M639" t="b">
        <v>0</v>
      </c>
    </row>
    <row r="640">
      <c r="A640" t="inlineStr">
        <is>
          <t>港股</t>
        </is>
      </c>
      <c r="B640" t="inlineStr">
        <is>
          <t>00059</t>
        </is>
      </c>
      <c r="C640" t="inlineStr">
        <is>
          <t>SKYFAME REALTY</t>
        </is>
      </c>
      <c r="D640" t="inlineStr">
        <is>
          <t>归母净利润</t>
        </is>
      </c>
      <c r="E640" t="inlineStr">
        <is>
          <t>missing</t>
        </is>
      </c>
      <c r="F640" t="inlineStr">
        <is>
          <t>归母净利润：missing</t>
        </is>
      </c>
      <c r="G640" t="b">
        <v>0</v>
      </c>
      <c r="H640" t="b">
        <v>0</v>
      </c>
      <c r="M640" t="b">
        <v>0</v>
      </c>
    </row>
    <row r="641">
      <c r="A641" t="inlineStr">
        <is>
          <t>港股</t>
        </is>
      </c>
      <c r="B641" t="inlineStr">
        <is>
          <t>00059</t>
        </is>
      </c>
      <c r="C641" t="inlineStr">
        <is>
          <t>SKYFAME REALTY</t>
        </is>
      </c>
      <c r="D641" t="inlineStr">
        <is>
          <t>归母净利率</t>
        </is>
      </c>
      <c r="E641" t="inlineStr">
        <is>
          <t>missing</t>
        </is>
      </c>
      <c r="F641" t="inlineStr">
        <is>
          <t>归母净利率：missing</t>
        </is>
      </c>
      <c r="G641" t="b">
        <v>0</v>
      </c>
      <c r="H641" t="b">
        <v>0</v>
      </c>
      <c r="M641" t="b">
        <v>0</v>
      </c>
    </row>
    <row r="642">
      <c r="A642" t="inlineStr">
        <is>
          <t>港股</t>
        </is>
      </c>
      <c r="B642" t="inlineStr">
        <is>
          <t>00059</t>
        </is>
      </c>
      <c r="C642" t="inlineStr">
        <is>
          <t>SKYFAME REALTY</t>
        </is>
      </c>
      <c r="D642" t="inlineStr">
        <is>
          <t>归母净利润同比</t>
        </is>
      </c>
      <c r="E642" t="inlineStr">
        <is>
          <t>missing</t>
        </is>
      </c>
      <c r="F642" t="inlineStr">
        <is>
          <t>归母净利润同比：missing</t>
        </is>
      </c>
      <c r="G642" t="b">
        <v>0</v>
      </c>
      <c r="H642" t="b">
        <v>0</v>
      </c>
      <c r="M642" t="b">
        <v>0</v>
      </c>
    </row>
    <row r="643">
      <c r="A643" t="inlineStr">
        <is>
          <t>港股</t>
        </is>
      </c>
      <c r="B643" t="inlineStr">
        <is>
          <t>00059</t>
        </is>
      </c>
      <c r="C643" t="inlineStr">
        <is>
          <t>SKYFAME REALTY</t>
        </is>
      </c>
      <c r="D643" t="inlineStr">
        <is>
          <t>归母净利润三年 CAGR</t>
        </is>
      </c>
      <c r="E643" t="inlineStr">
        <is>
          <t>missing</t>
        </is>
      </c>
      <c r="F643" t="inlineStr">
        <is>
          <t>归母净利润三年 CAGR：missing</t>
        </is>
      </c>
      <c r="G643" t="b">
        <v>0</v>
      </c>
      <c r="H643" t="b">
        <v>0</v>
      </c>
      <c r="M643" t="b">
        <v>0</v>
      </c>
    </row>
    <row r="644">
      <c r="A644" t="inlineStr">
        <is>
          <t>港股</t>
        </is>
      </c>
      <c r="B644" t="inlineStr">
        <is>
          <t>00059</t>
        </is>
      </c>
      <c r="C644" t="inlineStr">
        <is>
          <t>SKYFAME REALTY</t>
        </is>
      </c>
      <c r="D644" t="inlineStr">
        <is>
          <t>经营活动现金流净额</t>
        </is>
      </c>
      <c r="E644" t="inlineStr">
        <is>
          <t>missing</t>
        </is>
      </c>
      <c r="F644" t="inlineStr">
        <is>
          <t>经营活动现金流净额：missing</t>
        </is>
      </c>
      <c r="G644" t="b">
        <v>0</v>
      </c>
      <c r="H644" t="b">
        <v>0</v>
      </c>
      <c r="M644" t="b">
        <v>0</v>
      </c>
    </row>
    <row r="645">
      <c r="A645" t="inlineStr">
        <is>
          <t>港股</t>
        </is>
      </c>
      <c r="B645" t="inlineStr">
        <is>
          <t>00059</t>
        </is>
      </c>
      <c r="C645" t="inlineStr">
        <is>
          <t>SKYFAME REALTY</t>
        </is>
      </c>
      <c r="D645" t="inlineStr">
        <is>
          <t>经营活动现金流同比</t>
        </is>
      </c>
      <c r="E645" t="inlineStr">
        <is>
          <t>missing</t>
        </is>
      </c>
      <c r="F645" t="inlineStr">
        <is>
          <t>经营活动现金流同比：missing</t>
        </is>
      </c>
      <c r="G645" t="b">
        <v>0</v>
      </c>
      <c r="H645" t="b">
        <v>0</v>
      </c>
      <c r="M645" t="b">
        <v>0</v>
      </c>
    </row>
    <row r="646">
      <c r="A646" t="inlineStr">
        <is>
          <t>港股</t>
        </is>
      </c>
      <c r="B646" t="inlineStr">
        <is>
          <t>00059</t>
        </is>
      </c>
      <c r="C646" t="inlineStr">
        <is>
          <t>SKYFAME REALTY</t>
        </is>
      </c>
      <c r="D646" t="inlineStr">
        <is>
          <t>经营活动现金流三年 CAGR</t>
        </is>
      </c>
      <c r="E646" t="inlineStr">
        <is>
          <t>missing</t>
        </is>
      </c>
      <c r="F646" t="inlineStr">
        <is>
          <t>经营活动现金流三年 CAGR：missing</t>
        </is>
      </c>
      <c r="G646" t="b">
        <v>0</v>
      </c>
      <c r="H646" t="b">
        <v>0</v>
      </c>
      <c r="M646" t="b">
        <v>0</v>
      </c>
    </row>
    <row r="647">
      <c r="A647" t="inlineStr">
        <is>
          <t>港股</t>
        </is>
      </c>
      <c r="B647" t="inlineStr">
        <is>
          <t>00059</t>
        </is>
      </c>
      <c r="C647" t="inlineStr">
        <is>
          <t>SKYFAME REALTY</t>
        </is>
      </c>
      <c r="D647" t="inlineStr">
        <is>
          <t>市值增长率</t>
        </is>
      </c>
      <c r="E647" t="inlineStr">
        <is>
          <t>missing</t>
        </is>
      </c>
      <c r="F647" t="inlineStr">
        <is>
          <t>市值增长率：missing</t>
        </is>
      </c>
      <c r="G647" t="b">
        <v>0</v>
      </c>
      <c r="H647" t="b">
        <v>1</v>
      </c>
      <c r="M647" t="b">
        <v>0</v>
      </c>
    </row>
    <row r="648">
      <c r="A648" t="inlineStr">
        <is>
          <t>港股</t>
        </is>
      </c>
      <c r="B648" t="inlineStr">
        <is>
          <t>00059</t>
        </is>
      </c>
      <c r="C648" t="inlineStr">
        <is>
          <t>SKYFAME REALTY</t>
        </is>
      </c>
      <c r="D648" t="inlineStr">
        <is>
          <t>最新价</t>
        </is>
      </c>
      <c r="E648" t="inlineStr">
        <is>
          <t>missing</t>
        </is>
      </c>
      <c r="F648" t="inlineStr">
        <is>
          <t>最新价：missing</t>
        </is>
      </c>
      <c r="G648" t="b">
        <v>0</v>
      </c>
      <c r="H648" t="b">
        <v>0</v>
      </c>
      <c r="M648" t="b">
        <v>0</v>
      </c>
    </row>
    <row r="649">
      <c r="A649" t="inlineStr">
        <is>
          <t>港股</t>
        </is>
      </c>
      <c r="B649" t="inlineStr">
        <is>
          <t>00059</t>
        </is>
      </c>
      <c r="C649" t="inlineStr">
        <is>
          <t>SKYFAME REALTY</t>
        </is>
      </c>
      <c r="D649" t="inlineStr">
        <is>
          <t>上市日期</t>
        </is>
      </c>
      <c r="E649" t="inlineStr">
        <is>
          <t>missing</t>
        </is>
      </c>
      <c r="F649" t="inlineStr">
        <is>
          <t>上市日期：missing</t>
        </is>
      </c>
      <c r="G649" t="b">
        <v>0</v>
      </c>
      <c r="H649" t="b">
        <v>0</v>
      </c>
      <c r="M649" t="b">
        <v>0</v>
      </c>
    </row>
    <row r="650">
      <c r="A650" t="inlineStr">
        <is>
          <t>港股</t>
        </is>
      </c>
      <c r="B650" t="inlineStr">
        <is>
          <t>00059</t>
        </is>
      </c>
      <c r="C650" t="inlineStr">
        <is>
          <t>SKYFAME REALTY</t>
        </is>
      </c>
      <c r="D650" t="inlineStr">
        <is>
          <t>发行价</t>
        </is>
      </c>
      <c r="E650" t="inlineStr">
        <is>
          <t>optional_missing</t>
        </is>
      </c>
      <c r="F650" t="inlineStr">
        <is>
          <t>发行价：optional_missing</t>
        </is>
      </c>
      <c r="G650" t="b">
        <v>0</v>
      </c>
      <c r="H650" t="b">
        <v>1</v>
      </c>
      <c r="M650" t="b">
        <v>0</v>
      </c>
    </row>
    <row r="651">
      <c r="A651" t="inlineStr">
        <is>
          <t>港股</t>
        </is>
      </c>
      <c r="B651" t="inlineStr">
        <is>
          <t>00059</t>
        </is>
      </c>
      <c r="C651" t="inlineStr">
        <is>
          <t>SKYFAME REALTY</t>
        </is>
      </c>
      <c r="D651" t="inlineStr">
        <is>
          <t>发行股数</t>
        </is>
      </c>
      <c r="E651" t="inlineStr">
        <is>
          <t>optional_missing</t>
        </is>
      </c>
      <c r="F651" t="inlineStr">
        <is>
          <t>发行股数：optional_missing</t>
        </is>
      </c>
      <c r="G651" t="b">
        <v>0</v>
      </c>
      <c r="H651" t="b">
        <v>1</v>
      </c>
      <c r="M651" t="b">
        <v>0</v>
      </c>
    </row>
    <row r="652">
      <c r="A652" t="inlineStr">
        <is>
          <t>港股</t>
        </is>
      </c>
      <c r="B652" t="inlineStr">
        <is>
          <t>00059</t>
        </is>
      </c>
      <c r="C652" t="inlineStr">
        <is>
          <t>SKYFAME REALTY</t>
        </is>
      </c>
      <c r="D652" t="inlineStr">
        <is>
          <t>发行时总市值</t>
        </is>
      </c>
      <c r="E652" t="inlineStr">
        <is>
          <t>optional_missing</t>
        </is>
      </c>
      <c r="F652" t="inlineStr">
        <is>
          <t>发行时总市值：optional_missing</t>
        </is>
      </c>
      <c r="G652" t="b">
        <v>0</v>
      </c>
      <c r="H652" t="b">
        <v>1</v>
      </c>
      <c r="M652" t="b">
        <v>0</v>
      </c>
    </row>
    <row r="653">
      <c r="A653" t="inlineStr">
        <is>
          <t>港股</t>
        </is>
      </c>
      <c r="B653" t="inlineStr">
        <is>
          <t>00059</t>
        </is>
      </c>
      <c r="C653" t="inlineStr">
        <is>
          <t>SKYFAME REALTY</t>
        </is>
      </c>
      <c r="D653" t="inlineStr">
        <is>
          <t>当年累计大宗交易笔数</t>
        </is>
      </c>
      <c r="E653" t="inlineStr">
        <is>
          <t>optional_missing</t>
        </is>
      </c>
      <c r="F653" t="inlineStr">
        <is>
          <t>当年累计大宗交易笔数：optional_missing</t>
        </is>
      </c>
      <c r="G653" t="b">
        <v>0</v>
      </c>
      <c r="H653" t="b">
        <v>1</v>
      </c>
      <c r="M653" t="b">
        <v>0</v>
      </c>
    </row>
    <row r="654">
      <c r="A654" t="inlineStr">
        <is>
          <t>港股</t>
        </is>
      </c>
      <c r="B654" t="inlineStr">
        <is>
          <t>00059</t>
        </is>
      </c>
      <c r="C654" t="inlineStr">
        <is>
          <t>SKYFAME REALTY</t>
        </is>
      </c>
      <c r="D654" t="inlineStr">
        <is>
          <t>当年累计大宗交易金额</t>
        </is>
      </c>
      <c r="E654" t="inlineStr">
        <is>
          <t>optional_missing</t>
        </is>
      </c>
      <c r="F654" t="inlineStr">
        <is>
          <t>当年累计大宗交易金额：optional_missing</t>
        </is>
      </c>
      <c r="G654" t="b">
        <v>0</v>
      </c>
      <c r="H654" t="b">
        <v>1</v>
      </c>
      <c r="M654" t="b">
        <v>0</v>
      </c>
    </row>
    <row r="655">
      <c r="A655" t="inlineStr">
        <is>
          <t>港股</t>
        </is>
      </c>
      <c r="B655" t="inlineStr">
        <is>
          <t>00059</t>
        </is>
      </c>
      <c r="C655" t="inlineStr">
        <is>
          <t>SKYFAME REALTY</t>
        </is>
      </c>
      <c r="D655" t="inlineStr">
        <is>
          <t>近五个交易日资金净额</t>
        </is>
      </c>
      <c r="E655" t="inlineStr">
        <is>
          <t>optional_missing</t>
        </is>
      </c>
      <c r="F655" t="inlineStr">
        <is>
          <t>近五个交易日资金净额：optional_missing</t>
        </is>
      </c>
      <c r="G655" t="b">
        <v>0</v>
      </c>
      <c r="H655" t="b">
        <v>1</v>
      </c>
      <c r="M655" t="b">
        <v>0</v>
      </c>
    </row>
    <row r="656">
      <c r="A656" t="inlineStr">
        <is>
          <t>港股</t>
        </is>
      </c>
      <c r="B656" t="inlineStr">
        <is>
          <t>00059</t>
        </is>
      </c>
      <c r="C656" t="inlineStr">
        <is>
          <t>SKYFAME REALTY</t>
        </is>
      </c>
      <c r="D656" t="inlineStr">
        <is>
          <t>近一月资金净额（最近22个交易日）</t>
        </is>
      </c>
      <c r="E656" t="inlineStr">
        <is>
          <t>optional_missing</t>
        </is>
      </c>
      <c r="F656" t="inlineStr">
        <is>
          <t>近一月资金净额（最近22个交易日）：optional_missing</t>
        </is>
      </c>
      <c r="G656" t="b">
        <v>0</v>
      </c>
      <c r="H656" t="b">
        <v>1</v>
      </c>
      <c r="M656" t="b">
        <v>0</v>
      </c>
    </row>
    <row r="657">
      <c r="A657" t="inlineStr">
        <is>
          <t>A股</t>
        </is>
      </c>
      <c r="B657" t="inlineStr">
        <is>
          <t>000090</t>
        </is>
      </c>
      <c r="C657" t="inlineStr">
        <is>
          <t>天健集团</t>
        </is>
      </c>
      <c r="D657" t="inlineStr">
        <is>
          <t>资金流</t>
        </is>
      </c>
      <c r="E657" t="inlineStr">
        <is>
          <t>optional_missing</t>
        </is>
      </c>
      <c r="F657" t="inlineStr">
        <is>
          <t>用户选择不抓取资金流</t>
        </is>
      </c>
      <c r="G657" t="b">
        <v>0</v>
      </c>
      <c r="H657" t="b">
        <v>1</v>
      </c>
      <c r="I657" t="inlineStr">
        <is>
          <t>配置</t>
        </is>
      </c>
      <c r="J657" t="inlineStr">
        <is>
          <t>配置</t>
        </is>
      </c>
      <c r="K657" t="inlineStr">
        <is>
          <t>flow-mode-off</t>
        </is>
      </c>
      <c r="L657" s="32" t="n">
        <v>46263.25754607147</v>
      </c>
      <c r="M657" t="b">
        <v>0</v>
      </c>
    </row>
    <row r="658">
      <c r="A658" t="inlineStr">
        <is>
          <t>A股</t>
        </is>
      </c>
      <c r="B658" t="inlineStr">
        <is>
          <t>000090</t>
        </is>
      </c>
      <c r="C658" t="inlineStr">
        <is>
          <t>天健集团</t>
        </is>
      </c>
      <c r="D658" t="inlineStr">
        <is>
          <t>近五个交易日资金净额</t>
        </is>
      </c>
      <c r="E658" t="inlineStr">
        <is>
          <t>optional_missing</t>
        </is>
      </c>
      <c r="F658" t="inlineStr">
        <is>
          <t>近五个交易日资金净额：optional_missing</t>
        </is>
      </c>
      <c r="G658" t="b">
        <v>0</v>
      </c>
      <c r="H658" t="b">
        <v>1</v>
      </c>
      <c r="M658" t="b">
        <v>0</v>
      </c>
    </row>
    <row r="659">
      <c r="A659" t="inlineStr">
        <is>
          <t>A股</t>
        </is>
      </c>
      <c r="B659" t="inlineStr">
        <is>
          <t>000090</t>
        </is>
      </c>
      <c r="C659" t="inlineStr">
        <is>
          <t>天健集团</t>
        </is>
      </c>
      <c r="D659" t="inlineStr">
        <is>
          <t>近一月资金净额（最近22个交易日）</t>
        </is>
      </c>
      <c r="E659" t="inlineStr">
        <is>
          <t>optional_missing</t>
        </is>
      </c>
      <c r="F659" t="inlineStr">
        <is>
          <t>近一月资金净额（最近22个交易日）：optional_missing</t>
        </is>
      </c>
      <c r="G659" t="b">
        <v>0</v>
      </c>
      <c r="H659" t="b">
        <v>1</v>
      </c>
      <c r="M659" t="b">
        <v>0</v>
      </c>
    </row>
    <row r="660">
      <c r="A660" t="inlineStr">
        <is>
          <t>港股</t>
        </is>
      </c>
      <c r="B660" t="inlineStr">
        <is>
          <t>00060</t>
        </is>
      </c>
      <c r="C660" t="inlineStr">
        <is>
          <t>HK FOOD INV</t>
        </is>
      </c>
      <c r="D660" t="inlineStr">
        <is>
          <t>大宗交易</t>
        </is>
      </c>
      <c r="E660" t="inlineStr">
        <is>
          <t>optional_missing</t>
        </is>
      </c>
      <c r="F660" t="inlineStr">
        <is>
          <t>港股大宗交易按允许缺失规则留空</t>
        </is>
      </c>
      <c r="G660" t="b">
        <v>0</v>
      </c>
      <c r="H660" t="b">
        <v>1</v>
      </c>
      <c r="I660" t="inlineStr">
        <is>
          <t>东方财富</t>
        </is>
      </c>
      <c r="J660" t="inlineStr">
        <is>
          <t>东方财富</t>
        </is>
      </c>
      <c r="K660" t="inlineStr">
        <is>
          <t>not-applicable-hk</t>
        </is>
      </c>
      <c r="L660" s="32" t="n">
        <v>46263.25725433244</v>
      </c>
      <c r="M660" t="b">
        <v>1</v>
      </c>
    </row>
    <row r="661">
      <c r="A661" t="inlineStr">
        <is>
          <t>港股</t>
        </is>
      </c>
      <c r="B661" t="inlineStr">
        <is>
          <t>00060</t>
        </is>
      </c>
      <c r="C661" t="inlineStr">
        <is>
          <t>HK FOOD INV</t>
        </is>
      </c>
      <c r="D661" t="inlineStr">
        <is>
          <t>资金流</t>
        </is>
      </c>
      <c r="E661" t="inlineStr">
        <is>
          <t>optional_missing</t>
        </is>
      </c>
      <c r="F661" t="inlineStr">
        <is>
          <t>用户选择不抓取资金流</t>
        </is>
      </c>
      <c r="G661" t="b">
        <v>0</v>
      </c>
      <c r="H661" t="b">
        <v>1</v>
      </c>
      <c r="I661" t="inlineStr">
        <is>
          <t>配置</t>
        </is>
      </c>
      <c r="J661" t="inlineStr">
        <is>
          <t>配置</t>
        </is>
      </c>
      <c r="K661" t="inlineStr">
        <is>
          <t>flow-mode-off</t>
        </is>
      </c>
      <c r="L661" s="32" t="n">
        <v>46263.25754607147</v>
      </c>
      <c r="M661" t="b">
        <v>0</v>
      </c>
    </row>
    <row r="662">
      <c r="A662" t="inlineStr">
        <is>
          <t>港股</t>
        </is>
      </c>
      <c r="B662" t="inlineStr">
        <is>
          <t>00060</t>
        </is>
      </c>
      <c r="C662" t="inlineStr">
        <is>
          <t>HK FOOD INV</t>
        </is>
      </c>
      <c r="D662" t="inlineStr">
        <is>
          <t>当年累计大宗交易笔数</t>
        </is>
      </c>
      <c r="E662" t="inlineStr">
        <is>
          <t>optional_missing</t>
        </is>
      </c>
      <c r="F662" t="inlineStr">
        <is>
          <t>当年累计大宗交易笔数：optional_missing</t>
        </is>
      </c>
      <c r="G662" t="b">
        <v>0</v>
      </c>
      <c r="H662" t="b">
        <v>1</v>
      </c>
      <c r="M662" t="b">
        <v>0</v>
      </c>
    </row>
    <row r="663">
      <c r="A663" t="inlineStr">
        <is>
          <t>港股</t>
        </is>
      </c>
      <c r="B663" t="inlineStr">
        <is>
          <t>00060</t>
        </is>
      </c>
      <c r="C663" t="inlineStr">
        <is>
          <t>HK FOOD INV</t>
        </is>
      </c>
      <c r="D663" t="inlineStr">
        <is>
          <t>当年累计大宗交易金额</t>
        </is>
      </c>
      <c r="E663" t="inlineStr">
        <is>
          <t>optional_missing</t>
        </is>
      </c>
      <c r="F663" t="inlineStr">
        <is>
          <t>当年累计大宗交易金额：optional_missing</t>
        </is>
      </c>
      <c r="G663" t="b">
        <v>0</v>
      </c>
      <c r="H663" t="b">
        <v>1</v>
      </c>
      <c r="M663" t="b">
        <v>0</v>
      </c>
    </row>
    <row r="664">
      <c r="A664" t="inlineStr">
        <is>
          <t>港股</t>
        </is>
      </c>
      <c r="B664" t="inlineStr">
        <is>
          <t>00060</t>
        </is>
      </c>
      <c r="C664" t="inlineStr">
        <is>
          <t>HK FOOD INV</t>
        </is>
      </c>
      <c r="D664" t="inlineStr">
        <is>
          <t>近五个交易日资金净额</t>
        </is>
      </c>
      <c r="E664" t="inlineStr">
        <is>
          <t>optional_missing</t>
        </is>
      </c>
      <c r="F664" t="inlineStr">
        <is>
          <t>近五个交易日资金净额：optional_missing</t>
        </is>
      </c>
      <c r="G664" t="b">
        <v>0</v>
      </c>
      <c r="H664" t="b">
        <v>1</v>
      </c>
      <c r="M664" t="b">
        <v>0</v>
      </c>
    </row>
    <row r="665">
      <c r="A665" t="inlineStr">
        <is>
          <t>港股</t>
        </is>
      </c>
      <c r="B665" t="inlineStr">
        <is>
          <t>00060</t>
        </is>
      </c>
      <c r="C665" t="inlineStr">
        <is>
          <t>HK FOOD INV</t>
        </is>
      </c>
      <c r="D665" t="inlineStr">
        <is>
          <t>近一月资金净额（最近22个交易日）</t>
        </is>
      </c>
      <c r="E665" t="inlineStr">
        <is>
          <t>optional_missing</t>
        </is>
      </c>
      <c r="F665" t="inlineStr">
        <is>
          <t>近一月资金净额（最近22个交易日）：optional_missing</t>
        </is>
      </c>
      <c r="G665" t="b">
        <v>0</v>
      </c>
      <c r="H665" t="b">
        <v>1</v>
      </c>
      <c r="M66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style="3" min="1" max="1"/>
    <col width="100" customWidth="1" style="3" min="2" max="2"/>
  </cols>
  <sheetData>
    <row r="1" ht="34" customHeight="1" s="3">
      <c r="A1" s="30" t="inlineStr">
        <is>
          <t>项目</t>
        </is>
      </c>
      <c r="B1" s="30" t="inlineStr">
        <is>
          <t>值</t>
        </is>
      </c>
    </row>
    <row r="2">
      <c r="A2" t="inlineStr">
        <is>
          <t>程序英文名</t>
        </is>
      </c>
      <c r="B2" t="inlineStr">
        <is>
          <t>StockAnalysis</t>
        </is>
      </c>
    </row>
    <row r="3">
      <c r="A3" t="inlineStr">
        <is>
          <t>程序中文名</t>
        </is>
      </c>
      <c r="B3" t="inlineStr">
        <is>
          <t>股票分析表生成器</t>
        </is>
      </c>
    </row>
    <row r="4">
      <c r="A4" t="inlineStr">
        <is>
          <t>程序版本</t>
        </is>
      </c>
      <c r="B4" t="inlineStr">
        <is>
          <t>0.2.0</t>
        </is>
      </c>
    </row>
    <row r="5">
      <c r="A5" t="inlineStr">
        <is>
          <t>Python 版本</t>
        </is>
      </c>
      <c r="B5" t="inlineStr">
        <is>
          <t>3.12.13 (main, Aug  7 2026, 02:26:41) [MSC v.1944 64 bit (AMD64)]</t>
        </is>
      </c>
    </row>
    <row r="6">
      <c r="A6" t="inlineStr">
        <is>
          <t>操作系统</t>
        </is>
      </c>
      <c r="B6" t="inlineStr">
        <is>
          <t>Windows-11-10.0.26200-SP0</t>
        </is>
      </c>
    </row>
    <row r="7">
      <c r="A7" t="inlineStr">
        <is>
          <t>运行时间</t>
        </is>
      </c>
      <c r="B7" t="inlineStr">
        <is>
          <t>2026-08-29T06:10:52.317231+00:00</t>
        </is>
      </c>
    </row>
    <row r="8">
      <c r="A8" t="inlineStr">
        <is>
          <t>配置快照</t>
        </is>
      </c>
      <c r="B8" t="inlineStr">
        <is>
          <t>{"concurrency": 8, "financial_year": 2025, "fixture_mode": false, "flow_mode": "不抓取（最快）", "include_financial": true, "include_st": true, "markets": ["A股", "港股"], "max_a_share_companies": 100, "max_companies": 100, "max_hk_companies": 100, "network_mode": "国内数据源优先直连", "output_directory": "D:/python_software/StockAnalysis/artifacts/performance_output", "request_interval": 0.05, "test_mode": false, "trading_year": 2026, "update_mode": "优先缓存"}</t>
        </is>
      </c>
    </row>
    <row r="9">
      <c r="A9" t="inlineStr">
        <is>
          <t>成功数</t>
        </is>
      </c>
      <c r="B9" t="n">
        <v>92</v>
      </c>
    </row>
    <row r="10">
      <c r="A10" t="inlineStr">
        <is>
          <t>部分缺失数</t>
        </is>
      </c>
      <c r="B10" t="n">
        <v>4</v>
      </c>
    </row>
    <row r="11">
      <c r="A11" t="inlineStr">
        <is>
          <t>失败数</t>
        </is>
      </c>
      <c r="B11" t="n">
        <v>0</v>
      </c>
    </row>
    <row r="12">
      <c r="A12" t="inlineStr">
        <is>
          <t>排除数</t>
        </is>
      </c>
      <c r="B12" t="n">
        <v>4</v>
      </c>
    </row>
    <row r="13">
      <c r="A13" t="inlineStr">
        <is>
          <t>缓存命中数</t>
        </is>
      </c>
      <c r="B13" t="n">
        <v>398</v>
      </c>
    </row>
    <row r="14">
      <c r="A14" t="inlineStr">
        <is>
          <t>性能统计</t>
        </is>
      </c>
      <c r="B14" t="inlineStr">
        <is>
          <t>{"cache_hits": 398, "circuit_breaks": 0, "direct_requests": 0, "http_elapsed_seconds": 0.0, "http_failures": 0, "http_requests": 0, "http_successes": 0, "negative_cache_hits": 0, "proxy_requests": 0, "requests_by_domain": {}, "requests_by_endpoint": {}, "retries": 0, "stage_seconds": {"上市与发行信息": 0.014, "年度全市场大宗交易": 0.006, "年度财务": 0.019, "批量行情与市值": 0.006, "标准化、计算与校验": 0.007, "证券范围": 0.032, "资金流": 0.004}, "total_seconds": 0.089}</t>
        </is>
      </c>
    </row>
    <row r="15">
      <c r="A15" t="inlineStr">
        <is>
          <t>输出路径</t>
        </is>
      </c>
      <c r="B15" t="inlineStr">
        <is>
          <t>D:\python_software\StockAnalysis\artifacts\performance_output\warm_100_both_v2.xlsx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涂玉</dc:creator>
  <dcterms:created xsi:type="dcterms:W3CDTF">2026-08-28T05:37:27Z</dcterms:created>
  <dcterms:modified xsi:type="dcterms:W3CDTF">2026-08-29T06:10:52Z</dcterms:modified>
  <cp:lastModifiedBy>涂玉</cp:lastModifiedBy>
</cp:coreProperties>
</file>