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A股" sheetId="1" state="visible" r:id="rId1"/>
    <sheet name="港股" sheetId="2" state="visible" r:id="rId2"/>
    <sheet name="历史数据" sheetId="3" state="hidden" r:id="rId3"/>
    <sheet name="数据来源" sheetId="4" state="hidden" r:id="rId4"/>
    <sheet name="异常记录" sheetId="5" state="hidden" r:id="rId5"/>
    <sheet name="运行信息" sheetId="6" state="hidden" r:id="rId6"/>
  </sheets>
  <definedNames>
    <definedName name="_xlnm._FilterDatabase" localSheetId="0" hidden="1">'A股'!$A$4:$AD$4</definedName>
    <definedName name="_xlnm.Print_Titles" localSheetId="0">'A股'!$1:$4</definedName>
    <definedName name="_xlnm._FilterDatabase" localSheetId="1" hidden="1">'港股'!$A$4:$AD$9</definedName>
    <definedName name="_xlnm.Print_Titles" localSheetId="1">'港股'!$1:$4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#,##0.00;-#,##0.00;-"/>
    <numFmt numFmtId="166" formatCode="0.00%;-0.00%;-"/>
    <numFmt numFmtId="167" formatCode="0.00;-0.00;-"/>
    <numFmt numFmtId="168" formatCode="#,##0.000;-#,##0.000;-"/>
    <numFmt numFmtId="169" formatCode="yyyy-mm-dd h:mm:ss"/>
  </numFmts>
  <fonts count="8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b val="1"/>
      <color rgb="00FFFFFF"/>
      <sz val="11"/>
    </font>
    <font>
      <name val="等线"/>
      <b val="1"/>
      <color rgb="00FFFFFF"/>
      <sz val="13"/>
    </font>
    <font>
      <name val="等线"/>
      <color rgb="001F2937"/>
      <sz val="10"/>
    </font>
    <font>
      <name val="等线"/>
      <b val="1"/>
      <color rgb="001F2937"/>
      <sz val="10"/>
    </font>
    <font>
      <name val="等线"/>
      <color rgb="00000000"/>
      <sz val="10"/>
    </font>
    <font>
      <name val="等线"/>
      <color rgb="00008000"/>
      <sz val="10"/>
    </font>
  </fonts>
  <fills count="12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004A9BD8"/>
      </patternFill>
    </fill>
    <fill>
      <patternFill patternType="solid">
        <fgColor rgb="00EAF4FC"/>
      </patternFill>
    </fill>
    <fill>
      <patternFill patternType="solid">
        <fgColor rgb="00D9E2F3"/>
      </patternFill>
    </fill>
    <fill>
      <patternFill patternType="solid">
        <fgColor rgb="00A9D18E"/>
      </patternFill>
    </fill>
    <fill>
      <patternFill patternType="solid">
        <fgColor rgb="009DC3E6"/>
      </patternFill>
    </fill>
    <fill>
      <patternFill patternType="solid">
        <fgColor rgb="00EDF1F7"/>
      </patternFill>
    </fill>
    <fill>
      <patternFill patternType="solid">
        <fgColor rgb="00E2F0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AD5E2"/>
      </bottom>
    </border>
  </borders>
  <cellStyleXfs count="1">
    <xf numFmtId="0" fontId="0" fillId="0" borderId="0" applyAlignment="1">
      <alignment vertical="center"/>
    </xf>
  </cellStyleXfs>
  <cellXfs count="33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49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164" fontId="7" fillId="2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165" fontId="7" fillId="2" borderId="0" applyAlignment="1" pivotButton="0" quotePrefix="0" xfId="0">
      <alignment horizontal="right" vertical="center"/>
    </xf>
    <xf numFmtId="166" fontId="6" fillId="2" borderId="0" applyAlignment="1" pivotButton="0" quotePrefix="0" xfId="0">
      <alignment horizontal="right" vertical="center"/>
    </xf>
    <xf numFmtId="167" fontId="6" fillId="2" borderId="0" applyAlignment="1" pivotButton="0" quotePrefix="0" xfId="0">
      <alignment horizontal="right" vertical="center"/>
    </xf>
    <xf numFmtId="166" fontId="6" fillId="3" borderId="0" applyAlignment="1" pivotButton="0" quotePrefix="0" xfId="0">
      <alignment horizontal="right" vertical="center"/>
    </xf>
    <xf numFmtId="165" fontId="7" fillId="3" borderId="0" applyAlignment="1" pivotButton="0" quotePrefix="0" xfId="0">
      <alignment horizontal="right" vertical="center"/>
    </xf>
    <xf numFmtId="164" fontId="7" fillId="3" borderId="0" applyAlignment="1" pivotButton="0" quotePrefix="0" xfId="0">
      <alignment horizontal="right" vertical="center"/>
    </xf>
    <xf numFmtId="168" fontId="7" fillId="3" borderId="0" applyAlignment="1" pivotButton="0" quotePrefix="0" xfId="0">
      <alignment horizontal="right" vertical="center"/>
    </xf>
    <xf numFmtId="3" fontId="7" fillId="3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166" fontId="6" fillId="0" borderId="0" applyAlignment="1" pivotButton="0" quotePrefix="0" xfId="0">
      <alignment horizontal="right" vertical="center"/>
    </xf>
    <xf numFmtId="167" fontId="6" fillId="0" borderId="0" applyAlignment="1" pivotButton="0" quotePrefix="0" xfId="0">
      <alignment horizontal="right" vertical="center"/>
    </xf>
    <xf numFmtId="168" fontId="7" fillId="0" borderId="0" applyAlignment="1" pivotButton="0" quotePrefix="0" xfId="0">
      <alignment horizontal="right" vertical="center"/>
    </xf>
    <xf numFmtId="3" fontId="7" fillId="0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center" vertical="center" wrapText="1"/>
    </xf>
    <xf numFmtId="164" fontId="0" fillId="0" borderId="0" pivotButton="0" quotePrefix="0" xfId="0"/>
    <xf numFmtId="169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StockAnalysis</author>
  </authors>
  <commentList>
    <comment ref="F4" authorId="0" shapeId="0">
      <text>
        <t>上期营业收入大于 0 时：本期/上期-1。</t>
      </text>
    </comment>
    <comment ref="G4" authorId="0" shapeId="0">
      <text>
        <t>本期与三年前营业收入均大于 0 时：(本期/三年前)^(1/3)-1。</t>
      </text>
    </comment>
    <comment ref="I4" authorId="0" shapeId="0">
      <text>
        <t>本期毛利率减上期毛利率，结果以百分点显示。</t>
      </text>
    </comment>
    <comment ref="J4" authorId="0" shapeId="0">
      <text>
        <t>本期毛利率减三年前毛利率，不计算 CAGR。</t>
      </text>
    </comment>
    <comment ref="M4" authorId="0" shapeId="0">
      <text>
        <t>上期归母净利润不为 0 时：(本期-上期)/ABS(上期)。</t>
      </text>
    </comment>
    <comment ref="V4" authorId="0" shapeId="0">
      <text>
        <t>优先使用明确发行时总市值；仅有发行价×发行股数时标记为近似。</t>
      </text>
    </comment>
    <comment ref="X4" authorId="0" shapeId="0">
      <text>
        <t>发行时总市值大于 0 时：最新总市值/发行时总市值-1。</t>
      </text>
    </comment>
    <comment ref="AB4" authorId="0" shapeId="0">
      <text>
        <t>近一月按最近 22 个交易日口径聚合。</t>
      </text>
    </comment>
    <comment ref="AC4" authorId="0" shapeId="0">
      <text>
        <t>由 Python 内部字段状态生成，不依赖 Excel 公式缓存。</t>
      </text>
    </comment>
  </commentList>
</comments>
</file>

<file path=xl/comments/comment2.xml><?xml version="1.0" encoding="utf-8"?>
<comments xmlns="http://schemas.openxmlformats.org/spreadsheetml/2006/main">
  <authors>
    <author>StockAnalysis</author>
  </authors>
  <commentList>
    <comment ref="F4" authorId="0" shapeId="0">
      <text>
        <t>上期营业收入大于 0 时：本期/上期-1。</t>
      </text>
    </comment>
    <comment ref="G4" authorId="0" shapeId="0">
      <text>
        <t>本期与三年前营业收入均大于 0 时：(本期/三年前)^(1/3)-1。</t>
      </text>
    </comment>
    <comment ref="I4" authorId="0" shapeId="0">
      <text>
        <t>本期毛利率减上期毛利率，结果以百分点显示。</t>
      </text>
    </comment>
    <comment ref="J4" authorId="0" shapeId="0">
      <text>
        <t>本期毛利率减三年前毛利率，不计算 CAGR。</t>
      </text>
    </comment>
    <comment ref="M4" authorId="0" shapeId="0">
      <text>
        <t>上期归母净利润不为 0 时：(本期-上期)/ABS(上期)。</t>
      </text>
    </comment>
    <comment ref="V4" authorId="0" shapeId="0">
      <text>
        <t>优先使用明确发行时总市值；仅有发行价×发行股数时标记为近似。</t>
      </text>
    </comment>
    <comment ref="X4" authorId="0" shapeId="0">
      <text>
        <t>发行时总市值大于 0 时：最新总市值/发行时总市值-1。</t>
      </text>
    </comment>
    <comment ref="AB4" authorId="0" shapeId="0">
      <text>
        <t>近一月按最近 22 个交易日口径聚合。</t>
      </text>
    </comment>
    <comment ref="AC4" authorId="0" shapeId="0">
      <text>
        <t>由 Python 内部字段状态生成，不依赖 Excel 公式缓存。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AD5"/>
  <sheetViews>
    <sheetView showGridLines="0" tabSelected="1" workbookViewId="0">
      <pane xSplit="4" ySplit="4" topLeftCell="E5" activePane="bottomRight" state="frozen"/>
      <selection pane="topRight"/>
      <selection pane="bottomLeft"/>
      <selection pane="bottomRight" activeCell="E21" sqref="E21"/>
    </sheetView>
  </sheetViews>
  <sheetFormatPr baseColWidth="8" defaultRowHeight="13.9"/>
  <cols>
    <col width="12" customWidth="1" style="3" min="1" max="1"/>
    <col width="18" customWidth="1" style="3" min="2" max="2"/>
    <col width="13" customWidth="1" style="3" min="3" max="3"/>
    <col width="11" customWidth="1" style="3" min="4" max="4"/>
    <col width="16" customWidth="1" style="3" min="5" max="5"/>
    <col width="14" customWidth="1" style="3" min="6" max="7"/>
    <col width="18" customWidth="1" style="3" min="7" max="7"/>
    <col width="11" bestFit="1" customWidth="1" style="3" min="8" max="8"/>
    <col width="20" customWidth="1" style="3" min="9" max="10"/>
    <col width="20" customWidth="1" style="3" min="10" max="10"/>
    <col width="16" customWidth="1" style="3" min="11" max="11"/>
    <col width="13" customWidth="1" style="3" min="12" max="15"/>
    <col width="16" customWidth="1" style="3" min="13" max="13"/>
    <col width="19" customWidth="1" style="3" min="14" max="14"/>
    <col width="19" customWidth="1" style="3" min="15" max="15"/>
    <col width="19" customWidth="1" style="3" min="16" max="16"/>
    <col width="22" customWidth="1" style="3" min="17" max="17"/>
    <col width="15" customWidth="1" style="3" min="18" max="18"/>
    <col width="13" customWidth="1" style="3" min="19" max="19"/>
    <col width="11" customWidth="1" style="3" min="20" max="20"/>
    <col width="13" customWidth="1" style="3" min="21" max="21"/>
    <col width="16" customWidth="1" style="3" min="22" max="22"/>
    <col width="11" bestFit="1" customWidth="1" style="3" min="23" max="24"/>
    <col width="13" customWidth="1" style="3" min="24" max="24"/>
    <col width="19" customWidth="1" style="3" min="25" max="25"/>
    <col width="19" bestFit="1" customWidth="1" style="3" min="26" max="26"/>
    <col width="18" customWidth="1" style="3" min="27" max="27"/>
    <col width="22" customWidth="1" style="3" min="28" max="28"/>
    <col width="42" customWidth="1" style="3" min="29" max="29"/>
    <col width="13" customWidth="1" style="3" min="30" max="30"/>
  </cols>
  <sheetData>
    <row r="1" ht="24" customHeight="1" s="3">
      <c r="A1" s="4" t="inlineStr">
        <is>
          <t>股票分析表生成器｜财务年度 2025｜交易统计年度 2026｜运行日期 2026-08-29｜金额：亿元；股数：亿股</t>
        </is>
      </c>
    </row>
    <row r="2" ht="25" customHeight="1" s="3">
      <c r="A2" s="5" t="inlineStr">
        <is>
          <t>范围：上交所、深交所、北交所普通 A 股；不含 B 股、基金、债券等非普通股票。</t>
        </is>
      </c>
    </row>
    <row r="3" ht="24" customHeight="1" s="3">
      <c r="A3" s="6" t="inlineStr">
        <is>
          <t>公司信息</t>
        </is>
      </c>
      <c r="E3" s="7" t="inlineStr">
        <is>
          <t>营业收入</t>
        </is>
      </c>
      <c r="H3" s="7" t="inlineStr">
        <is>
          <t>毛利率</t>
        </is>
      </c>
      <c r="K3" s="7" t="inlineStr">
        <is>
          <t>归母净利润</t>
        </is>
      </c>
      <c r="O3" s="7" t="inlineStr">
        <is>
          <t>经营活动现金流</t>
        </is>
      </c>
      <c r="R3" s="8" t="inlineStr">
        <is>
          <t>上市发行与市场交易</t>
        </is>
      </c>
      <c r="AC3" s="6" t="inlineStr">
        <is>
          <t>数据状态</t>
        </is>
      </c>
    </row>
    <row r="4" ht="52" customHeight="1" s="3">
      <c r="A4" s="9" t="inlineStr">
        <is>
          <t>证券代码</t>
        </is>
      </c>
      <c r="B4" s="9" t="inlineStr">
        <is>
          <t>公司名称</t>
        </is>
      </c>
      <c r="C4" s="9" t="inlineStr">
        <is>
          <t>实际报告期</t>
        </is>
      </c>
      <c r="D4" s="9" t="inlineStr">
        <is>
          <t>报表币种</t>
        </is>
      </c>
      <c r="E4" s="10" t="inlineStr">
        <is>
          <t>2025年营业收入</t>
        </is>
      </c>
      <c r="F4" s="10" t="inlineStr">
        <is>
          <t>营业收入同比</t>
        </is>
      </c>
      <c r="G4" s="10" t="inlineStr">
        <is>
          <t>营业收入三年 CAGR</t>
        </is>
      </c>
      <c r="H4" s="10" t="inlineStr">
        <is>
          <t>毛利率</t>
        </is>
      </c>
      <c r="I4" s="10" t="inlineStr">
        <is>
          <t>毛利率同比变化（百分点）</t>
        </is>
      </c>
      <c r="J4" s="10" t="inlineStr">
        <is>
          <t>毛利率三年变化（百分点）</t>
        </is>
      </c>
      <c r="K4" s="10" t="inlineStr">
        <is>
          <t>归母净利润</t>
        </is>
      </c>
      <c r="L4" s="10" t="inlineStr">
        <is>
          <t>归母净利率</t>
        </is>
      </c>
      <c r="M4" s="10" t="inlineStr">
        <is>
          <t>归母净利润同比</t>
        </is>
      </c>
      <c r="N4" s="10" t="inlineStr">
        <is>
          <t>归母净利润三年 CAGR</t>
        </is>
      </c>
      <c r="O4" s="10" t="inlineStr">
        <is>
          <t>经营活动现金流净额</t>
        </is>
      </c>
      <c r="P4" s="10" t="inlineStr">
        <is>
          <t>经营活动现金流同比</t>
        </is>
      </c>
      <c r="Q4" s="10" t="inlineStr">
        <is>
          <t>经营活动现金流三年 CAGR</t>
        </is>
      </c>
      <c r="R4" s="11" t="inlineStr">
        <is>
          <t>最新总市值</t>
        </is>
      </c>
      <c r="S4" s="11" t="inlineStr">
        <is>
          <t>上市日期</t>
        </is>
      </c>
      <c r="T4" s="11" t="inlineStr">
        <is>
          <t>发行价</t>
        </is>
      </c>
      <c r="U4" s="11" t="inlineStr">
        <is>
          <t>发行股数</t>
        </is>
      </c>
      <c r="V4" s="11" t="inlineStr">
        <is>
          <t>发行时总市值</t>
        </is>
      </c>
      <c r="W4" s="11" t="inlineStr">
        <is>
          <t>现价</t>
        </is>
      </c>
      <c r="X4" s="11" t="inlineStr">
        <is>
          <t>市值增长率</t>
        </is>
      </c>
      <c r="Y4" s="11" t="inlineStr">
        <is>
          <t>当年累计大宗交易笔数</t>
        </is>
      </c>
      <c r="Z4" s="11" t="inlineStr">
        <is>
          <t>当年累计大宗交易金额</t>
        </is>
      </c>
      <c r="AA4" s="11" t="inlineStr">
        <is>
          <t>近五个交易日资金净额</t>
        </is>
      </c>
      <c r="AB4" s="11" t="inlineStr">
        <is>
          <t>近一月资金净额（最近22个交易日）</t>
        </is>
      </c>
      <c r="AC4" s="9" t="inlineStr">
        <is>
          <t>字段状态摘要</t>
        </is>
      </c>
      <c r="AD4" s="9" t="inlineStr">
        <is>
          <t>公司状态</t>
        </is>
      </c>
    </row>
    <row r="5"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</sheetData>
  <autoFilter ref="A4:AD4"/>
  <mergeCells count="9">
    <mergeCell ref="AC3:AD3"/>
    <mergeCell ref="K3:N3"/>
    <mergeCell ref="A3:D3"/>
    <mergeCell ref="A2:AD2"/>
    <mergeCell ref="E3:G3"/>
    <mergeCell ref="H3:J3"/>
    <mergeCell ref="R3:AB3"/>
    <mergeCell ref="O3:Q3"/>
    <mergeCell ref="A1:AD1"/>
  </mergeCell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AD9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3.9"/>
  <cols>
    <col width="12" customWidth="1" style="3" min="1" max="1"/>
    <col width="18" customWidth="1" style="3" min="2" max="2"/>
    <col width="13" customWidth="1" style="3" min="3" max="3"/>
    <col width="11" customWidth="1" style="3" min="4" max="4"/>
    <col width="16" customWidth="1" style="3" min="5" max="5"/>
    <col width="14" customWidth="1" style="3" min="6" max="7"/>
    <col width="18" customWidth="1" style="3" min="7" max="7"/>
    <col width="11" bestFit="1" customWidth="1" style="3" min="8" max="8"/>
    <col width="20" customWidth="1" style="3" min="9" max="10"/>
    <col width="20" customWidth="1" style="3" min="10" max="10"/>
    <col width="16" customWidth="1" style="3" min="11" max="11"/>
    <col width="13" customWidth="1" style="3" min="12" max="15"/>
    <col width="16" customWidth="1" style="3" min="13" max="13"/>
    <col width="19" customWidth="1" style="3" min="14" max="14"/>
    <col width="19" customWidth="1" style="3" min="15" max="15"/>
    <col width="19" customWidth="1" style="3" min="16" max="16"/>
    <col width="22" customWidth="1" style="3" min="17" max="17"/>
    <col width="15" customWidth="1" style="3" min="18" max="18"/>
    <col width="13" customWidth="1" style="3" min="19" max="19"/>
    <col width="11" customWidth="1" style="3" min="20" max="20"/>
    <col width="13" customWidth="1" style="3" min="21" max="21"/>
    <col width="16" customWidth="1" style="3" min="22" max="22"/>
    <col width="11" bestFit="1" customWidth="1" style="3" min="23" max="24"/>
    <col width="13" customWidth="1" style="3" min="24" max="24"/>
    <col width="19" customWidth="1" style="3" min="25" max="25"/>
    <col width="19" bestFit="1" customWidth="1" style="3" min="26" max="26"/>
    <col width="18" customWidth="1" style="3" min="27" max="27"/>
    <col width="22" customWidth="1" style="3" min="28" max="28"/>
    <col width="42" customWidth="1" style="3" min="29" max="29"/>
    <col width="13" customWidth="1" style="3" min="30" max="30"/>
  </cols>
  <sheetData>
    <row r="1" ht="24" customHeight="1" s="3">
      <c r="A1" s="4" t="inlineStr">
        <is>
          <t>股票分析表生成器｜财务年度 2025｜交易统计年度 2026｜运行日期 2026-08-29｜金额：亿元；股数：亿股</t>
        </is>
      </c>
    </row>
    <row r="2" ht="25" customHeight="1" s="3">
      <c r="A2" s="5" t="inlineStr">
        <is>
          <t>范围：港交所普通股；仅纳入可取得结构化关键财务数据的公司。港股大宗交易和资金流允许留空。</t>
        </is>
      </c>
    </row>
    <row r="3" ht="24" customHeight="1" s="3">
      <c r="A3" s="6" t="inlineStr">
        <is>
          <t>公司信息</t>
        </is>
      </c>
      <c r="E3" s="7" t="inlineStr">
        <is>
          <t>营业收入</t>
        </is>
      </c>
      <c r="H3" s="7" t="inlineStr">
        <is>
          <t>毛利率</t>
        </is>
      </c>
      <c r="K3" s="7" t="inlineStr">
        <is>
          <t>归母净利润</t>
        </is>
      </c>
      <c r="O3" s="7" t="inlineStr">
        <is>
          <t>经营活动现金流</t>
        </is>
      </c>
      <c r="R3" s="8" t="inlineStr">
        <is>
          <t>上市发行与市场交易</t>
        </is>
      </c>
      <c r="AC3" s="6" t="inlineStr">
        <is>
          <t>数据状态</t>
        </is>
      </c>
    </row>
    <row r="4" ht="52" customHeight="1" s="3">
      <c r="A4" s="9" t="inlineStr">
        <is>
          <t>证券代码</t>
        </is>
      </c>
      <c r="B4" s="9" t="inlineStr">
        <is>
          <t>公司名称</t>
        </is>
      </c>
      <c r="C4" s="9" t="inlineStr">
        <is>
          <t>实际报告期</t>
        </is>
      </c>
      <c r="D4" s="9" t="inlineStr">
        <is>
          <t>报表币种</t>
        </is>
      </c>
      <c r="E4" s="10" t="inlineStr">
        <is>
          <t>2025年营业收入</t>
        </is>
      </c>
      <c r="F4" s="10" t="inlineStr">
        <is>
          <t>营业收入同比</t>
        </is>
      </c>
      <c r="G4" s="10" t="inlineStr">
        <is>
          <t>营业收入三年 CAGR</t>
        </is>
      </c>
      <c r="H4" s="10" t="inlineStr">
        <is>
          <t>毛利率</t>
        </is>
      </c>
      <c r="I4" s="10" t="inlineStr">
        <is>
          <t>毛利率同比变化（百分点）</t>
        </is>
      </c>
      <c r="J4" s="10" t="inlineStr">
        <is>
          <t>毛利率三年变化（百分点）</t>
        </is>
      </c>
      <c r="K4" s="10" t="inlineStr">
        <is>
          <t>归母净利润</t>
        </is>
      </c>
      <c r="L4" s="10" t="inlineStr">
        <is>
          <t>归母净利率</t>
        </is>
      </c>
      <c r="M4" s="10" t="inlineStr">
        <is>
          <t>归母净利润同比</t>
        </is>
      </c>
      <c r="N4" s="10" t="inlineStr">
        <is>
          <t>归母净利润三年 CAGR</t>
        </is>
      </c>
      <c r="O4" s="10" t="inlineStr">
        <is>
          <t>经营活动现金流净额</t>
        </is>
      </c>
      <c r="P4" s="10" t="inlineStr">
        <is>
          <t>经营活动现金流同比</t>
        </is>
      </c>
      <c r="Q4" s="10" t="inlineStr">
        <is>
          <t>经营活动现金流三年 CAGR</t>
        </is>
      </c>
      <c r="R4" s="11" t="inlineStr">
        <is>
          <t>最新总市值</t>
        </is>
      </c>
      <c r="S4" s="11" t="inlineStr">
        <is>
          <t>上市日期</t>
        </is>
      </c>
      <c r="T4" s="11" t="inlineStr">
        <is>
          <t>发行价</t>
        </is>
      </c>
      <c r="U4" s="11" t="inlineStr">
        <is>
          <t>发行股数</t>
        </is>
      </c>
      <c r="V4" s="11" t="inlineStr">
        <is>
          <t>发行时总市值</t>
        </is>
      </c>
      <c r="W4" s="11" t="inlineStr">
        <is>
          <t>现价</t>
        </is>
      </c>
      <c r="X4" s="11" t="inlineStr">
        <is>
          <t>市值增长率</t>
        </is>
      </c>
      <c r="Y4" s="11" t="inlineStr">
        <is>
          <t>当年累计大宗交易笔数</t>
        </is>
      </c>
      <c r="Z4" s="11" t="inlineStr">
        <is>
          <t>当年累计大宗交易金额</t>
        </is>
      </c>
      <c r="AA4" s="11" t="inlineStr">
        <is>
          <t>近五个交易日资金净额</t>
        </is>
      </c>
      <c r="AB4" s="11" t="inlineStr">
        <is>
          <t>近一月资金净额（最近22个交易日）</t>
        </is>
      </c>
      <c r="AC4" s="9" t="inlineStr">
        <is>
          <t>字段状态摘要</t>
        </is>
      </c>
      <c r="AD4" s="9" t="inlineStr">
        <is>
          <t>公司状态</t>
        </is>
      </c>
    </row>
    <row r="5" ht="21" customHeight="1" s="3">
      <c r="A5" s="12" t="inlineStr">
        <is>
          <t>00005</t>
        </is>
      </c>
      <c r="B5" s="13" t="inlineStr">
        <is>
          <t>HSBC HOLDINGS</t>
        </is>
      </c>
      <c r="C5" s="14">
        <f>IF('历史数据'!D6="","",'历史数据'!D6)</f>
        <v/>
      </c>
      <c r="D5" s="15">
        <f>IF('历史数据'!E6="","",'历史数据'!E6)</f>
        <v/>
      </c>
      <c r="E5" s="16">
        <f>IF('历史数据'!G6="","",'历史数据'!G6/100000000)</f>
        <v/>
      </c>
      <c r="F5" s="17">
        <f>IF(OR('历史数据'!G6="",'历史数据'!H6&lt;=0),"",'历史数据'!G6/'历史数据'!H6-1)</f>
        <v/>
      </c>
      <c r="G5" s="17">
        <f>IF(OR('历史数据'!G6&lt;=0,'历史数据'!I6&lt;=0),"",POWER('历史数据'!G6/'历史数据'!I6,1/3)-1)</f>
        <v/>
      </c>
      <c r="H5" s="17">
        <f>IF(OR('历史数据'!G6&lt;=0,'历史数据'!J6=""),"",('历史数据'!G6-'历史数据'!J6)/'历史数据'!G6)</f>
        <v/>
      </c>
      <c r="I5" s="18">
        <f>IF(OR(H5="",'历史数据'!H6&lt;=0,'历史数据'!K6=""),"",(H5-('历史数据'!H6-'历史数据'!K6)/'历史数据'!H6)*100)</f>
        <v/>
      </c>
      <c r="J5" s="18">
        <f>IF(OR(H5="",'历史数据'!I6&lt;=0,'历史数据'!L6=""),"",(H5-('历史数据'!I6-'历史数据'!L6)/'历史数据'!I6)*100)</f>
        <v/>
      </c>
      <c r="K5" s="16">
        <f>IF('历史数据'!M6="","",'历史数据'!M6/100000000)</f>
        <v/>
      </c>
      <c r="L5" s="17">
        <f>IF(OR('历史数据'!G6=0,'历史数据'!M6=""),"",'历史数据'!M6/'历史数据'!G6)</f>
        <v/>
      </c>
      <c r="M5" s="17">
        <f>IF(OR('历史数据'!M6="",'历史数据'!N6=0),"",('历史数据'!M6-'历史数据'!N6)/ABS('历史数据'!N6))</f>
        <v/>
      </c>
      <c r="N5" s="17">
        <f>IF(OR('历史数据'!M6&lt;=0,'历史数据'!O6&lt;=0),"",POWER('历史数据'!M6/'历史数据'!O6,1/3)-1)</f>
        <v/>
      </c>
      <c r="O5" s="16">
        <f>IF('历史数据'!P6="","",'历史数据'!P6/100000000)</f>
        <v/>
      </c>
      <c r="P5" s="19">
        <f>IF(OR('历史数据'!P6="",'历史数据'!Q6=0),"",('历史数据'!P6-'历史数据'!Q6)/ABS('历史数据'!Q6))</f>
        <v/>
      </c>
      <c r="Q5" s="19">
        <f>IF(OR('历史数据'!P6&lt;=0,'历史数据'!R6&lt;=0),"",POWER('历史数据'!P6/'历史数据'!R6,1/3)-1)</f>
        <v/>
      </c>
      <c r="R5" s="20">
        <f>IF('历史数据'!S6="","",'历史数据'!S6/100000000)</f>
        <v/>
      </c>
      <c r="S5" s="21">
        <f>IF('历史数据'!T6="","",'历史数据'!T6)</f>
        <v/>
      </c>
      <c r="T5" s="22">
        <f>IF('历史数据'!U6="","",'历史数据'!U6)</f>
        <v/>
      </c>
      <c r="U5" s="22">
        <f>IF('历史数据'!V6="","",'历史数据'!V6/100000000)</f>
        <v/>
      </c>
      <c r="V5" s="20">
        <f>IF('历史数据'!W6="","",'历史数据'!W6/100000000)</f>
        <v/>
      </c>
      <c r="W5" s="22">
        <f>IF('历史数据'!X6="","",'历史数据'!X6)</f>
        <v/>
      </c>
      <c r="X5" s="19">
        <f>IF(OR(R5="",V5&lt;=0),"",R5/V5-1)</f>
        <v/>
      </c>
      <c r="Y5" s="23">
        <f>IF('历史数据'!Y6="","",'历史数据'!Y6)</f>
        <v/>
      </c>
      <c r="Z5" s="20">
        <f>IF('历史数据'!Z6="","",'历史数据'!Z6/100000000)</f>
        <v/>
      </c>
      <c r="AA5" s="24">
        <f>IF('历史数据'!AA6="","",'历史数据'!AA6/100000000)</f>
        <v/>
      </c>
      <c r="AB5" s="24">
        <f>IF('历史数据'!AB6="","",'历史数据'!AB6/100000000)</f>
        <v/>
      </c>
      <c r="AC5" s="13" t="inlineStr">
        <is>
          <t>毛利率:missing；毛利率同比变化（百分点）:missing；毛利率三年变化（百分点）:missing；市值增长率:missing；发行价:optional_missing；发行股数:optional_missing</t>
        </is>
      </c>
      <c r="AD5" s="13" t="inlineStr">
        <is>
          <t>PARTIAL</t>
        </is>
      </c>
    </row>
    <row r="6" ht="21" customHeight="1" s="3">
      <c r="A6" s="12" t="inlineStr">
        <is>
          <t>00001</t>
        </is>
      </c>
      <c r="B6" s="13" t="inlineStr">
        <is>
          <t>CKH HOLDINGS</t>
        </is>
      </c>
      <c r="C6" s="25">
        <f>IF('历史数据'!D2="","",'历史数据'!D2)</f>
        <v/>
      </c>
      <c r="D6" s="13">
        <f>IF('历史数据'!E2="","",'历史数据'!E2)</f>
        <v/>
      </c>
      <c r="E6" s="24">
        <f>IF('历史数据'!G2="","",'历史数据'!G2/100000000)</f>
        <v/>
      </c>
      <c r="F6" s="26">
        <f>IF(OR('历史数据'!G2="",'历史数据'!H2&lt;=0),"",'历史数据'!G2/'历史数据'!H2-1)</f>
        <v/>
      </c>
      <c r="G6" s="26">
        <f>IF(OR('历史数据'!G2&lt;=0,'历史数据'!I2&lt;=0),"",POWER('历史数据'!G2/'历史数据'!I2,1/3)-1)</f>
        <v/>
      </c>
      <c r="H6" s="26">
        <f>IF(OR('历史数据'!G2&lt;=0,'历史数据'!J2=""),"",('历史数据'!G2-'历史数据'!J2)/'历史数据'!G2)</f>
        <v/>
      </c>
      <c r="I6" s="27">
        <f>IF(OR(H6="",'历史数据'!H2&lt;=0,'历史数据'!K2=""),"",(H6-('历史数据'!H2-'历史数据'!K2)/'历史数据'!H2)*100)</f>
        <v/>
      </c>
      <c r="J6" s="27">
        <f>IF(OR(H6="",'历史数据'!I2&lt;=0,'历史数据'!L2=""),"",(H6-('历史数据'!I2-'历史数据'!L2)/'历史数据'!I2)*100)</f>
        <v/>
      </c>
      <c r="K6" s="24">
        <f>IF('历史数据'!M2="","",'历史数据'!M2/100000000)</f>
        <v/>
      </c>
      <c r="L6" s="26">
        <f>IF(OR('历史数据'!G2=0,'历史数据'!M2=""),"",'历史数据'!M2/'历史数据'!G2)</f>
        <v/>
      </c>
      <c r="M6" s="26">
        <f>IF(OR('历史数据'!M2="",'历史数据'!N2=0),"",('历史数据'!M2-'历史数据'!N2)/ABS('历史数据'!N2))</f>
        <v/>
      </c>
      <c r="N6" s="26">
        <f>IF(OR('历史数据'!M2&lt;=0,'历史数据'!O2&lt;=0),"",POWER('历史数据'!M2/'历史数据'!O2,1/3)-1)</f>
        <v/>
      </c>
      <c r="O6" s="24">
        <f>IF('历史数据'!P2="","",'历史数据'!P2/100000000)</f>
        <v/>
      </c>
      <c r="P6" s="26">
        <f>IF(OR('历史数据'!P2="",'历史数据'!Q2=0),"",('历史数据'!P2-'历史数据'!Q2)/ABS('历史数据'!Q2))</f>
        <v/>
      </c>
      <c r="Q6" s="26">
        <f>IF(OR('历史数据'!P2&lt;=0,'历史数据'!R2&lt;=0),"",POWER('历史数据'!P2/'历史数据'!R2,1/3)-1)</f>
        <v/>
      </c>
      <c r="R6" s="24">
        <f>IF('历史数据'!S2="","",'历史数据'!S2/100000000)</f>
        <v/>
      </c>
      <c r="S6" s="25">
        <f>IF('历史数据'!T2="","",'历史数据'!T2)</f>
        <v/>
      </c>
      <c r="T6" s="28">
        <f>IF('历史数据'!U2="","",'历史数据'!U2)</f>
        <v/>
      </c>
      <c r="U6" s="28">
        <f>IF('历史数据'!V2="","",'历史数据'!V2/100000000)</f>
        <v/>
      </c>
      <c r="V6" s="24">
        <f>IF('历史数据'!W2="","",'历史数据'!W2/100000000)</f>
        <v/>
      </c>
      <c r="W6" s="28">
        <f>IF('历史数据'!X2="","",'历史数据'!X2)</f>
        <v/>
      </c>
      <c r="X6" s="26">
        <f>IF(OR(R6="",V6&lt;=0),"",R6/V6-1)</f>
        <v/>
      </c>
      <c r="Y6" s="29">
        <f>IF('历史数据'!Y2="","",'历史数据'!Y2)</f>
        <v/>
      </c>
      <c r="Z6" s="24">
        <f>IF('历史数据'!Z2="","",'历史数据'!Z2/100000000)</f>
        <v/>
      </c>
      <c r="AA6" s="24">
        <f>IF('历史数据'!AA2="","",'历史数据'!AA2/100000000)</f>
        <v/>
      </c>
      <c r="AB6" s="24">
        <f>IF('历史数据'!AB2="","",'历史数据'!AB2/100000000)</f>
        <v/>
      </c>
      <c r="AC6" s="13" t="inlineStr">
        <is>
          <t>市值增长率:missing；发行价:optional_missing；发行股数:optional_missing；发行时总市值:optional_missing；当年累计大宗交易笔数:optional_missing；当年累计大宗交易金额:optional_missing</t>
        </is>
      </c>
      <c r="AD6" s="13" t="inlineStr">
        <is>
          <t>SUCCESS</t>
        </is>
      </c>
    </row>
    <row r="7" ht="21" customHeight="1" s="3">
      <c r="A7" s="12" t="inlineStr">
        <is>
          <t>00002</t>
        </is>
      </c>
      <c r="B7" s="13" t="inlineStr">
        <is>
          <t>CLP HOLDINGS</t>
        </is>
      </c>
      <c r="C7" s="25">
        <f>IF('历史数据'!D3="","",'历史数据'!D3)</f>
        <v/>
      </c>
      <c r="D7" s="13">
        <f>IF('历史数据'!E3="","",'历史数据'!E3)</f>
        <v/>
      </c>
      <c r="E7" s="24">
        <f>IF('历史数据'!G3="","",'历史数据'!G3/100000000)</f>
        <v/>
      </c>
      <c r="F7" s="26">
        <f>IF(OR('历史数据'!G3="",'历史数据'!H3&lt;=0),"",'历史数据'!G3/'历史数据'!H3-1)</f>
        <v/>
      </c>
      <c r="G7" s="26">
        <f>IF(OR('历史数据'!G3&lt;=0,'历史数据'!I3&lt;=0),"",POWER('历史数据'!G3/'历史数据'!I3,1/3)-1)</f>
        <v/>
      </c>
      <c r="H7" s="26">
        <f>IF(OR('历史数据'!G3&lt;=0,'历史数据'!J3=""),"",('历史数据'!G3-'历史数据'!J3)/'历史数据'!G3)</f>
        <v/>
      </c>
      <c r="I7" s="27">
        <f>IF(OR(H7="",'历史数据'!H3&lt;=0,'历史数据'!K3=""),"",(H7-('历史数据'!H3-'历史数据'!K3)/'历史数据'!H3)*100)</f>
        <v/>
      </c>
      <c r="J7" s="27">
        <f>IF(OR(H7="",'历史数据'!I3&lt;=0,'历史数据'!L3=""),"",(H7-('历史数据'!I3-'历史数据'!L3)/'历史数据'!I3)*100)</f>
        <v/>
      </c>
      <c r="K7" s="24">
        <f>IF('历史数据'!M3="","",'历史数据'!M3/100000000)</f>
        <v/>
      </c>
      <c r="L7" s="26">
        <f>IF(OR('历史数据'!G3=0,'历史数据'!M3=""),"",'历史数据'!M3/'历史数据'!G3)</f>
        <v/>
      </c>
      <c r="M7" s="26">
        <f>IF(OR('历史数据'!M3="",'历史数据'!N3=0),"",('历史数据'!M3-'历史数据'!N3)/ABS('历史数据'!N3))</f>
        <v/>
      </c>
      <c r="N7" s="26">
        <f>IF(OR('历史数据'!M3&lt;=0,'历史数据'!O3&lt;=0),"",POWER('历史数据'!M3/'历史数据'!O3,1/3)-1)</f>
        <v/>
      </c>
      <c r="O7" s="24">
        <f>IF('历史数据'!P3="","",'历史数据'!P3/100000000)</f>
        <v/>
      </c>
      <c r="P7" s="26">
        <f>IF(OR('历史数据'!P3="",'历史数据'!Q3=0),"",('历史数据'!P3-'历史数据'!Q3)/ABS('历史数据'!Q3))</f>
        <v/>
      </c>
      <c r="Q7" s="26">
        <f>IF(OR('历史数据'!P3&lt;=0,'历史数据'!R3&lt;=0),"",POWER('历史数据'!P3/'历史数据'!R3,1/3)-1)</f>
        <v/>
      </c>
      <c r="R7" s="24">
        <f>IF('历史数据'!S3="","",'历史数据'!S3/100000000)</f>
        <v/>
      </c>
      <c r="S7" s="25">
        <f>IF('历史数据'!T3="","",'历史数据'!T3)</f>
        <v/>
      </c>
      <c r="T7" s="28">
        <f>IF('历史数据'!U3="","",'历史数据'!U3)</f>
        <v/>
      </c>
      <c r="U7" s="28">
        <f>IF('历史数据'!V3="","",'历史数据'!V3/100000000)</f>
        <v/>
      </c>
      <c r="V7" s="24">
        <f>IF('历史数据'!W3="","",'历史数据'!W3/100000000)</f>
        <v/>
      </c>
      <c r="W7" s="28">
        <f>IF('历史数据'!X3="","",'历史数据'!X3)</f>
        <v/>
      </c>
      <c r="X7" s="26">
        <f>IF(OR(R7="",V7&lt;=0),"",R7/V7-1)</f>
        <v/>
      </c>
      <c r="Y7" s="29">
        <f>IF('历史数据'!Y3="","",'历史数据'!Y3)</f>
        <v/>
      </c>
      <c r="Z7" s="24">
        <f>IF('历史数据'!Z3="","",'历史数据'!Z3/100000000)</f>
        <v/>
      </c>
      <c r="AA7" s="24">
        <f>IF('历史数据'!AA3="","",'历史数据'!AA3/100000000)</f>
        <v/>
      </c>
      <c r="AB7" s="24">
        <f>IF('历史数据'!AB3="","",'历史数据'!AB3/100000000)</f>
        <v/>
      </c>
      <c r="AC7" s="13" t="inlineStr">
        <is>
          <t>市值增长率:missing；发行价:optional_missing；发行股数:optional_missing；发行时总市值:optional_missing；当年累计大宗交易笔数:optional_missing；当年累计大宗交易金额:optional_missing</t>
        </is>
      </c>
      <c r="AD7" s="13" t="inlineStr">
        <is>
          <t>SUCCESS</t>
        </is>
      </c>
    </row>
    <row r="8" ht="21" customHeight="1" s="3">
      <c r="A8" s="12" t="inlineStr">
        <is>
          <t>00003</t>
        </is>
      </c>
      <c r="B8" s="13" t="inlineStr">
        <is>
          <t>HK &amp; CHINA GAS</t>
        </is>
      </c>
      <c r="C8" s="25">
        <f>IF('历史数据'!D4="","",'历史数据'!D4)</f>
        <v/>
      </c>
      <c r="D8" s="13">
        <f>IF('历史数据'!E4="","",'历史数据'!E4)</f>
        <v/>
      </c>
      <c r="E8" s="24">
        <f>IF('历史数据'!G4="","",'历史数据'!G4/100000000)</f>
        <v/>
      </c>
      <c r="F8" s="26">
        <f>IF(OR('历史数据'!G4="",'历史数据'!H4&lt;=0),"",'历史数据'!G4/'历史数据'!H4-1)</f>
        <v/>
      </c>
      <c r="G8" s="26">
        <f>IF(OR('历史数据'!G4&lt;=0,'历史数据'!I4&lt;=0),"",POWER('历史数据'!G4/'历史数据'!I4,1/3)-1)</f>
        <v/>
      </c>
      <c r="H8" s="26">
        <f>IF(OR('历史数据'!G4&lt;=0,'历史数据'!J4=""),"",('历史数据'!G4-'历史数据'!J4)/'历史数据'!G4)</f>
        <v/>
      </c>
      <c r="I8" s="27">
        <f>IF(OR(H8="",'历史数据'!H4&lt;=0,'历史数据'!K4=""),"",(H8-('历史数据'!H4-'历史数据'!K4)/'历史数据'!H4)*100)</f>
        <v/>
      </c>
      <c r="J8" s="27">
        <f>IF(OR(H8="",'历史数据'!I4&lt;=0,'历史数据'!L4=""),"",(H8-('历史数据'!I4-'历史数据'!L4)/'历史数据'!I4)*100)</f>
        <v/>
      </c>
      <c r="K8" s="24">
        <f>IF('历史数据'!M4="","",'历史数据'!M4/100000000)</f>
        <v/>
      </c>
      <c r="L8" s="26">
        <f>IF(OR('历史数据'!G4=0,'历史数据'!M4=""),"",'历史数据'!M4/'历史数据'!G4)</f>
        <v/>
      </c>
      <c r="M8" s="26">
        <f>IF(OR('历史数据'!M4="",'历史数据'!N4=0),"",('历史数据'!M4-'历史数据'!N4)/ABS('历史数据'!N4))</f>
        <v/>
      </c>
      <c r="N8" s="26">
        <f>IF(OR('历史数据'!M4&lt;=0,'历史数据'!O4&lt;=0),"",POWER('历史数据'!M4/'历史数据'!O4,1/3)-1)</f>
        <v/>
      </c>
      <c r="O8" s="24">
        <f>IF('历史数据'!P4="","",'历史数据'!P4/100000000)</f>
        <v/>
      </c>
      <c r="P8" s="26">
        <f>IF(OR('历史数据'!P4="",'历史数据'!Q4=0),"",('历史数据'!P4-'历史数据'!Q4)/ABS('历史数据'!Q4))</f>
        <v/>
      </c>
      <c r="Q8" s="26">
        <f>IF(OR('历史数据'!P4&lt;=0,'历史数据'!R4&lt;=0),"",POWER('历史数据'!P4/'历史数据'!R4,1/3)-1)</f>
        <v/>
      </c>
      <c r="R8" s="24">
        <f>IF('历史数据'!S4="","",'历史数据'!S4/100000000)</f>
        <v/>
      </c>
      <c r="S8" s="25">
        <f>IF('历史数据'!T4="","",'历史数据'!T4)</f>
        <v/>
      </c>
      <c r="T8" s="28">
        <f>IF('历史数据'!U4="","",'历史数据'!U4)</f>
        <v/>
      </c>
      <c r="U8" s="28">
        <f>IF('历史数据'!V4="","",'历史数据'!V4/100000000)</f>
        <v/>
      </c>
      <c r="V8" s="24">
        <f>IF('历史数据'!W4="","",'历史数据'!W4/100000000)</f>
        <v/>
      </c>
      <c r="W8" s="28">
        <f>IF('历史数据'!X4="","",'历史数据'!X4)</f>
        <v/>
      </c>
      <c r="X8" s="26">
        <f>IF(OR(R8="",V8&lt;=0),"",R8/V8-1)</f>
        <v/>
      </c>
      <c r="Y8" s="29">
        <f>IF('历史数据'!Y4="","",'历史数据'!Y4)</f>
        <v/>
      </c>
      <c r="Z8" s="24">
        <f>IF('历史数据'!Z4="","",'历史数据'!Z4/100000000)</f>
        <v/>
      </c>
      <c r="AA8" s="24">
        <f>IF('历史数据'!AA4="","",'历史数据'!AA4/100000000)</f>
        <v/>
      </c>
      <c r="AB8" s="24">
        <f>IF('历史数据'!AB4="","",'历史数据'!AB4/100000000)</f>
        <v/>
      </c>
      <c r="AC8" s="13" t="inlineStr">
        <is>
          <t>市值增长率:missing；发行价:optional_missing；发行股数:optional_missing；发行时总市值:optional_missing；当年累计大宗交易笔数:optional_missing；当年累计大宗交易金额:optional_missing</t>
        </is>
      </c>
      <c r="AD8" s="13" t="inlineStr">
        <is>
          <t>SUCCESS</t>
        </is>
      </c>
    </row>
    <row r="9" ht="21" customHeight="1" s="3">
      <c r="A9" s="12" t="inlineStr">
        <is>
          <t>00004</t>
        </is>
      </c>
      <c r="B9" s="13" t="inlineStr">
        <is>
          <t>WHARF HOLDINGS</t>
        </is>
      </c>
      <c r="C9" s="25">
        <f>IF('历史数据'!D5="","",'历史数据'!D5)</f>
        <v/>
      </c>
      <c r="D9" s="13">
        <f>IF('历史数据'!E5="","",'历史数据'!E5)</f>
        <v/>
      </c>
      <c r="E9" s="24">
        <f>IF('历史数据'!G5="","",'历史数据'!G5/100000000)</f>
        <v/>
      </c>
      <c r="F9" s="26">
        <f>IF(OR('历史数据'!G5="",'历史数据'!H5&lt;=0),"",'历史数据'!G5/'历史数据'!H5-1)</f>
        <v/>
      </c>
      <c r="G9" s="26">
        <f>IF(OR('历史数据'!G5&lt;=0,'历史数据'!I5&lt;=0),"",POWER('历史数据'!G5/'历史数据'!I5,1/3)-1)</f>
        <v/>
      </c>
      <c r="H9" s="26">
        <f>IF(OR('历史数据'!G5&lt;=0,'历史数据'!J5=""),"",('历史数据'!G5-'历史数据'!J5)/'历史数据'!G5)</f>
        <v/>
      </c>
      <c r="I9" s="27">
        <f>IF(OR(H9="",'历史数据'!H5&lt;=0,'历史数据'!K5=""),"",(H9-('历史数据'!H5-'历史数据'!K5)/'历史数据'!H5)*100)</f>
        <v/>
      </c>
      <c r="J9" s="27">
        <f>IF(OR(H9="",'历史数据'!I5&lt;=0,'历史数据'!L5=""),"",(H9-('历史数据'!I5-'历史数据'!L5)/'历史数据'!I5)*100)</f>
        <v/>
      </c>
      <c r="K9" s="24">
        <f>IF('历史数据'!M5="","",'历史数据'!M5/100000000)</f>
        <v/>
      </c>
      <c r="L9" s="26">
        <f>IF(OR('历史数据'!G5=0,'历史数据'!M5=""),"",'历史数据'!M5/'历史数据'!G5)</f>
        <v/>
      </c>
      <c r="M9" s="26">
        <f>IF(OR('历史数据'!M5="",'历史数据'!N5=0),"",('历史数据'!M5-'历史数据'!N5)/ABS('历史数据'!N5))</f>
        <v/>
      </c>
      <c r="N9" s="26">
        <f>IF(OR('历史数据'!M5&lt;=0,'历史数据'!O5&lt;=0),"",POWER('历史数据'!M5/'历史数据'!O5,1/3)-1)</f>
        <v/>
      </c>
      <c r="O9" s="24">
        <f>IF('历史数据'!P5="","",'历史数据'!P5/100000000)</f>
        <v/>
      </c>
      <c r="P9" s="26">
        <f>IF(OR('历史数据'!P5="",'历史数据'!Q5=0),"",('历史数据'!P5-'历史数据'!Q5)/ABS('历史数据'!Q5))</f>
        <v/>
      </c>
      <c r="Q9" s="26">
        <f>IF(OR('历史数据'!P5&lt;=0,'历史数据'!R5&lt;=0),"",POWER('历史数据'!P5/'历史数据'!R5,1/3)-1)</f>
        <v/>
      </c>
      <c r="R9" s="24">
        <f>IF('历史数据'!S5="","",'历史数据'!S5/100000000)</f>
        <v/>
      </c>
      <c r="S9" s="25">
        <f>IF('历史数据'!T5="","",'历史数据'!T5)</f>
        <v/>
      </c>
      <c r="T9" s="28">
        <f>IF('历史数据'!U5="","",'历史数据'!U5)</f>
        <v/>
      </c>
      <c r="U9" s="28">
        <f>IF('历史数据'!V5="","",'历史数据'!V5/100000000)</f>
        <v/>
      </c>
      <c r="V9" s="24">
        <f>IF('历史数据'!W5="","",'历史数据'!W5/100000000)</f>
        <v/>
      </c>
      <c r="W9" s="28">
        <f>IF('历史数据'!X5="","",'历史数据'!X5)</f>
        <v/>
      </c>
      <c r="X9" s="26">
        <f>IF(OR(R9="",V9&lt;=0),"",R9/V9-1)</f>
        <v/>
      </c>
      <c r="Y9" s="29">
        <f>IF('历史数据'!Y5="","",'历史数据'!Y5)</f>
        <v/>
      </c>
      <c r="Z9" s="24">
        <f>IF('历史数据'!Z5="","",'历史数据'!Z5/100000000)</f>
        <v/>
      </c>
      <c r="AA9" s="24">
        <f>IF('历史数据'!AA5="","",'历史数据'!AA5/100000000)</f>
        <v/>
      </c>
      <c r="AB9" s="24">
        <f>IF('历史数据'!AB5="","",'历史数据'!AB5/100000000)</f>
        <v/>
      </c>
      <c r="AC9" s="13" t="inlineStr">
        <is>
          <t>市值增长率:missing；发行价:optional_missing；发行股数:optional_missing；发行时总市值:optional_missing；当年累计大宗交易笔数:optional_missing；当年累计大宗交易金额:optional_missing</t>
        </is>
      </c>
      <c r="AD9" s="13" t="inlineStr">
        <is>
          <t>SUCCESS</t>
        </is>
      </c>
    </row>
  </sheetData>
  <autoFilter ref="A4:AD9"/>
  <mergeCells count="9">
    <mergeCell ref="AC3:AD3"/>
    <mergeCell ref="K3:N3"/>
    <mergeCell ref="A3:D3"/>
    <mergeCell ref="A2:AD2"/>
    <mergeCell ref="E3:G3"/>
    <mergeCell ref="H3:J3"/>
    <mergeCell ref="R3:AB3"/>
    <mergeCell ref="O3:Q3"/>
    <mergeCell ref="A1:AD1"/>
  </mergeCell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18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18" customWidth="1" style="3" min="11" max="11"/>
    <col width="18" customWidth="1" style="3" min="12" max="12"/>
    <col width="18" customWidth="1" style="3" min="13" max="13"/>
    <col width="18" customWidth="1" style="3" min="14" max="14"/>
    <col width="18" customWidth="1" style="3" min="15" max="15"/>
    <col width="18" customWidth="1" style="3" min="16" max="16"/>
    <col width="18" customWidth="1" style="3" min="17" max="17"/>
    <col width="18" customWidth="1" style="3" min="18" max="18"/>
    <col width="18" customWidth="1" style="3" min="19" max="19"/>
    <col width="18" customWidth="1" style="3" min="20" max="20"/>
    <col width="18" customWidth="1" style="3" min="21" max="21"/>
    <col width="18" customWidth="1" style="3" min="22" max="22"/>
    <col width="18" customWidth="1" style="3" min="23" max="23"/>
    <col width="18" customWidth="1" style="3" min="24" max="24"/>
    <col width="18" customWidth="1" style="3" min="25" max="25"/>
    <col width="18" customWidth="1" style="3" min="26" max="26"/>
    <col width="18" customWidth="1" style="3" min="27" max="27"/>
    <col width="18" customWidth="1" style="3" min="28" max="28"/>
    <col width="18" customWidth="1" style="3" min="29" max="29"/>
    <col width="18" customWidth="1" style="3" min="30" max="30"/>
    <col width="18" customWidth="1" style="3" min="31" max="31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</t>
        </is>
      </c>
      <c r="D1" s="30" t="inlineStr">
        <is>
          <t>本期报告日</t>
        </is>
      </c>
      <c r="E1" s="30" t="inlineStr">
        <is>
          <t>标准币种</t>
        </is>
      </c>
      <c r="F1" s="30" t="inlineStr">
        <is>
          <t>原币种</t>
        </is>
      </c>
      <c r="G1" s="30" t="inlineStr">
        <is>
          <t>本期营业收入</t>
        </is>
      </c>
      <c r="H1" s="30" t="inlineStr">
        <is>
          <t>上期营业收入</t>
        </is>
      </c>
      <c r="I1" s="30" t="inlineStr">
        <is>
          <t>三年前营业收入</t>
        </is>
      </c>
      <c r="J1" s="30" t="inlineStr">
        <is>
          <t>本期营业成本</t>
        </is>
      </c>
      <c r="K1" s="30" t="inlineStr">
        <is>
          <t>上期营业成本</t>
        </is>
      </c>
      <c r="L1" s="30" t="inlineStr">
        <is>
          <t>三年前营业成本</t>
        </is>
      </c>
      <c r="M1" s="30" t="inlineStr">
        <is>
          <t>本期归母净利润</t>
        </is>
      </c>
      <c r="N1" s="30" t="inlineStr">
        <is>
          <t>上期归母净利润</t>
        </is>
      </c>
      <c r="O1" s="30" t="inlineStr">
        <is>
          <t>三年前归母净利润</t>
        </is>
      </c>
      <c r="P1" s="30" t="inlineStr">
        <is>
          <t>本期经营现金流</t>
        </is>
      </c>
      <c r="Q1" s="30" t="inlineStr">
        <is>
          <t>上期经营现金流</t>
        </is>
      </c>
      <c r="R1" s="30" t="inlineStr">
        <is>
          <t>三年前经营现金流</t>
        </is>
      </c>
      <c r="S1" s="30" t="inlineStr">
        <is>
          <t>最新市值</t>
        </is>
      </c>
      <c r="T1" s="30" t="inlineStr">
        <is>
          <t>上市日期</t>
        </is>
      </c>
      <c r="U1" s="30" t="inlineStr">
        <is>
          <t>发行价</t>
        </is>
      </c>
      <c r="V1" s="30" t="inlineStr">
        <is>
          <t>发行股数</t>
        </is>
      </c>
      <c r="W1" s="30" t="inlineStr">
        <is>
          <t>发行时市值</t>
        </is>
      </c>
      <c r="X1" s="30" t="inlineStr">
        <is>
          <t>现价</t>
        </is>
      </c>
      <c r="Y1" s="30" t="inlineStr">
        <is>
          <t>大宗交易数量</t>
        </is>
      </c>
      <c r="Z1" s="30" t="inlineStr">
        <is>
          <t>大宗交易金额</t>
        </is>
      </c>
      <c r="AA1" s="30" t="inlineStr">
        <is>
          <t>近五日资金净额</t>
        </is>
      </c>
      <c r="AB1" s="30" t="inlineStr">
        <is>
          <t>近一月资金净额</t>
        </is>
      </c>
      <c r="AC1" s="30" t="inlineStr">
        <is>
          <t>是否合并口径</t>
        </is>
      </c>
      <c r="AD1" s="30" t="inlineStr">
        <is>
          <t>是否追溯调整</t>
        </is>
      </c>
      <c r="AE1" s="30" t="inlineStr">
        <is>
          <t>财务质量说明</t>
        </is>
      </c>
    </row>
    <row r="2">
      <c r="A2" t="inlineStr">
        <is>
          <t>港股</t>
        </is>
      </c>
      <c r="B2" t="inlineStr">
        <is>
          <t>00001</t>
        </is>
      </c>
      <c r="C2" t="inlineStr">
        <is>
          <t>CKH HOLDINGS</t>
        </is>
      </c>
      <c r="D2" s="31" t="n">
        <v>46022</v>
      </c>
      <c r="E2" t="inlineStr">
        <is>
          <t>HKD</t>
        </is>
      </c>
      <c r="F2" t="inlineStr">
        <is>
          <t>HKD</t>
        </is>
      </c>
      <c r="G2" t="n">
        <v>252934115920</v>
      </c>
      <c r="H2" t="n">
        <v>260542280040</v>
      </c>
      <c r="I2" t="n">
        <v>234480695190</v>
      </c>
      <c r="J2" t="n">
        <v>111262252480</v>
      </c>
      <c r="K2" t="n">
        <v>112631467080</v>
      </c>
      <c r="L2" t="n">
        <v>103843530770</v>
      </c>
      <c r="M2" t="n">
        <v>10695028020</v>
      </c>
      <c r="N2" t="n">
        <v>15824171520</v>
      </c>
      <c r="O2" t="n">
        <v>32765143600</v>
      </c>
      <c r="P2" t="n">
        <v>56511765740</v>
      </c>
      <c r="Q2" t="n">
        <v>50217297120</v>
      </c>
      <c r="R2" t="n">
        <v>50660914780</v>
      </c>
      <c r="S2" t="n">
        <v>268677621675</v>
      </c>
      <c r="T2" s="31" t="n">
        <v>26604</v>
      </c>
      <c r="X2" t="n">
        <v>70.15000000000001</v>
      </c>
    </row>
    <row r="3">
      <c r="A3" t="inlineStr">
        <is>
          <t>港股</t>
        </is>
      </c>
      <c r="B3" t="inlineStr">
        <is>
          <t>00002</t>
        </is>
      </c>
      <c r="C3" t="inlineStr">
        <is>
          <t>CLP HOLDINGS</t>
        </is>
      </c>
      <c r="D3" s="31" t="n">
        <v>46022</v>
      </c>
      <c r="E3" t="inlineStr">
        <is>
          <t>HKD</t>
        </is>
      </c>
      <c r="F3" t="inlineStr">
        <is>
          <t>HKD</t>
        </is>
      </c>
      <c r="G3" t="n">
        <v>79499617960</v>
      </c>
      <c r="H3" t="n">
        <v>84236302560</v>
      </c>
      <c r="I3" t="n">
        <v>89918344740</v>
      </c>
      <c r="J3" t="n">
        <v>52839273220</v>
      </c>
      <c r="K3" t="n">
        <v>57076475400</v>
      </c>
      <c r="L3" t="n">
        <v>73074845620</v>
      </c>
      <c r="M3" t="n">
        <v>9454906960</v>
      </c>
      <c r="N3" t="n">
        <v>10873561680</v>
      </c>
      <c r="O3" t="n">
        <v>825381480</v>
      </c>
      <c r="P3" t="n">
        <v>22018697160</v>
      </c>
      <c r="Q3" t="n">
        <v>21428565600</v>
      </c>
      <c r="R3" t="n">
        <v>11374900180</v>
      </c>
      <c r="S3" t="n">
        <v>198831659859</v>
      </c>
      <c r="T3" s="31" t="n">
        <v>29222</v>
      </c>
      <c r="X3" t="n">
        <v>78.7</v>
      </c>
    </row>
    <row r="4">
      <c r="A4" t="inlineStr">
        <is>
          <t>港股</t>
        </is>
      </c>
      <c r="B4" t="inlineStr">
        <is>
          <t>00003</t>
        </is>
      </c>
      <c r="C4" t="inlineStr">
        <is>
          <t>HK &amp; CHINA GAS</t>
        </is>
      </c>
      <c r="D4" s="31" t="n">
        <v>46022</v>
      </c>
      <c r="E4" t="inlineStr">
        <is>
          <t>HKD</t>
        </is>
      </c>
      <c r="F4" t="inlineStr">
        <is>
          <t>HKD</t>
        </is>
      </c>
      <c r="G4" t="n">
        <v>49068600686</v>
      </c>
      <c r="H4" t="n">
        <v>51370031712</v>
      </c>
      <c r="I4" t="n">
        <v>54447843618</v>
      </c>
      <c r="J4" t="n">
        <v>41723525324</v>
      </c>
      <c r="K4" t="n">
        <v>43796969196</v>
      </c>
      <c r="L4" t="n">
        <v>46978587859</v>
      </c>
      <c r="M4" t="n">
        <v>5137696004</v>
      </c>
      <c r="N4" t="n">
        <v>5289077460</v>
      </c>
      <c r="O4" t="n">
        <v>4687791633</v>
      </c>
      <c r="P4" t="n">
        <v>9513616260</v>
      </c>
      <c r="Q4" t="n">
        <v>8334637812</v>
      </c>
      <c r="R4" t="n">
        <v>8615321169</v>
      </c>
      <c r="S4" t="n">
        <v>137523242622</v>
      </c>
      <c r="T4" s="31" t="n">
        <v>22017</v>
      </c>
      <c r="X4" t="n">
        <v>7.37</v>
      </c>
    </row>
    <row r="5">
      <c r="A5" t="inlineStr">
        <is>
          <t>港股</t>
        </is>
      </c>
      <c r="B5" t="inlineStr">
        <is>
          <t>00004</t>
        </is>
      </c>
      <c r="C5" t="inlineStr">
        <is>
          <t>WHARF HOLDINGS</t>
        </is>
      </c>
      <c r="D5" s="31" t="n">
        <v>46022</v>
      </c>
      <c r="E5" t="inlineStr">
        <is>
          <t>HKD</t>
        </is>
      </c>
      <c r="F5" t="inlineStr">
        <is>
          <t>HKD</t>
        </is>
      </c>
      <c r="G5" t="n">
        <v>9932710340</v>
      </c>
      <c r="H5" t="n">
        <v>11218974600</v>
      </c>
      <c r="I5" t="n">
        <v>16136029280</v>
      </c>
      <c r="J5" t="n">
        <v>3436752100</v>
      </c>
      <c r="K5" t="n">
        <v>4021791720</v>
      </c>
      <c r="L5" t="n">
        <v>8236842670</v>
      </c>
      <c r="M5" t="n">
        <v>45161000</v>
      </c>
      <c r="N5" t="n">
        <v>-2985552960</v>
      </c>
      <c r="O5" t="n">
        <v>-1523025350</v>
      </c>
      <c r="P5" t="n">
        <v>3629137960</v>
      </c>
      <c r="Q5" t="n">
        <v>3546733200</v>
      </c>
      <c r="R5" t="n">
        <v>5523088410</v>
      </c>
      <c r="S5" t="n">
        <v>59775894516</v>
      </c>
      <c r="T5" s="31" t="n">
        <v>7672</v>
      </c>
      <c r="X5" t="n">
        <v>19.56</v>
      </c>
    </row>
    <row r="6">
      <c r="A6" t="inlineStr">
        <is>
          <t>港股</t>
        </is>
      </c>
      <c r="B6" t="inlineStr">
        <is>
          <t>00005</t>
        </is>
      </c>
      <c r="C6" t="inlineStr">
        <is>
          <t>HSBC HOLDINGS</t>
        </is>
      </c>
      <c r="D6" s="31" t="n">
        <v>46022</v>
      </c>
      <c r="E6" t="inlineStr">
        <is>
          <t>HKD</t>
        </is>
      </c>
      <c r="F6" t="inlineStr">
        <is>
          <t>HKD</t>
        </is>
      </c>
      <c r="G6" t="n">
        <v>452823411200</v>
      </c>
      <c r="H6" t="n">
        <v>448843696000</v>
      </c>
      <c r="I6" t="n">
        <v>327586925600</v>
      </c>
      <c r="M6" t="n">
        <v>148321737600</v>
      </c>
      <c r="N6" t="n">
        <v>164736562800</v>
      </c>
      <c r="O6" t="n">
        <v>99914151600</v>
      </c>
      <c r="P6" t="n">
        <v>209219260800</v>
      </c>
      <c r="Q6" t="n">
        <v>469438462000</v>
      </c>
      <c r="R6" t="n">
        <v>134799833000</v>
      </c>
      <c r="S6" t="n">
        <v>2771195355376</v>
      </c>
      <c r="T6" s="31" t="n">
        <v>29222</v>
      </c>
      <c r="X6" t="n">
        <v>161.4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42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42" customWidth="1" style="3" min="11" max="11"/>
    <col width="18" customWidth="1" style="3" min="12" max="12"/>
    <col width="18" customWidth="1" style="3" min="13" max="13"/>
    <col width="18" customWidth="1" style="3" min="14" max="14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</t>
        </is>
      </c>
      <c r="D1" s="30" t="inlineStr">
        <is>
          <t>字段组</t>
        </is>
      </c>
      <c r="E1" s="30" t="inlineStr">
        <is>
          <t>来源名</t>
        </is>
      </c>
      <c r="F1" s="30" t="inlineStr">
        <is>
          <t>来源地址或请求标识</t>
        </is>
      </c>
      <c r="G1" s="30" t="inlineStr">
        <is>
          <t>抓取时间</t>
        </is>
      </c>
      <c r="H1" s="30" t="inlineStr">
        <is>
          <t>原币种</t>
        </is>
      </c>
      <c r="I1" s="30" t="inlineStr">
        <is>
          <t>标准币种</t>
        </is>
      </c>
      <c r="J1" s="30" t="inlineStr">
        <is>
          <t>状态</t>
        </is>
      </c>
      <c r="K1" s="30" t="inlineStr">
        <is>
          <t>缺失原因</t>
        </is>
      </c>
      <c r="L1" s="30" t="inlineStr">
        <is>
          <t>是否近似</t>
        </is>
      </c>
      <c r="M1" s="30" t="inlineStr">
        <is>
          <t>主数据源</t>
        </is>
      </c>
      <c r="N1" s="30" t="inlineStr">
        <is>
          <t>缓存命中</t>
        </is>
      </c>
    </row>
    <row r="2">
      <c r="A2" t="inlineStr">
        <is>
          <t>港股</t>
        </is>
      </c>
      <c r="B2" t="inlineStr">
        <is>
          <t>00001</t>
        </is>
      </c>
      <c r="C2" t="inlineStr">
        <is>
          <t>CKH HOLDINGS</t>
        </is>
      </c>
      <c r="D2" t="inlineStr">
        <is>
          <t>最新行情</t>
        </is>
      </c>
      <c r="E2" t="inlineStr">
        <is>
          <t>东方财富</t>
        </is>
      </c>
      <c r="F2" t="inlineStr">
        <is>
          <t>push2 ulist.np/get f2,f20（按指定证券分批）</t>
        </is>
      </c>
      <c r="G2" s="32" t="n">
        <v>46263.26219315969</v>
      </c>
      <c r="H2" t="inlineStr">
        <is>
          <t>HKD</t>
        </is>
      </c>
      <c r="I2" t="inlineStr">
        <is>
          <t>HKD</t>
        </is>
      </c>
      <c r="J2" t="inlineStr">
        <is>
          <t>ok</t>
        </is>
      </c>
      <c r="L2" t="b">
        <v>0</v>
      </c>
      <c r="M2" t="inlineStr">
        <is>
          <t>东方财富</t>
        </is>
      </c>
      <c r="N2" t="b">
        <v>0</v>
      </c>
    </row>
    <row r="3">
      <c r="A3" t="inlineStr">
        <is>
          <t>港股</t>
        </is>
      </c>
      <c r="B3" t="inlineStr">
        <is>
          <t>00001</t>
        </is>
      </c>
      <c r="C3" t="inlineStr">
        <is>
          <t>CKH HOLDINGS</t>
        </is>
      </c>
      <c r="D3" t="inlineStr">
        <is>
          <t>大宗交易</t>
        </is>
      </c>
      <c r="E3" t="inlineStr">
        <is>
          <t>东方财富</t>
        </is>
      </c>
      <c r="F3" t="inlineStr">
        <is>
          <t>not-applicable-hk</t>
        </is>
      </c>
      <c r="G3" s="32" t="n">
        <v>46263.26219327581</v>
      </c>
      <c r="I3" t="inlineStr">
        <is>
          <t>HKD</t>
        </is>
      </c>
      <c r="J3" t="inlineStr">
        <is>
          <t>optional_missing</t>
        </is>
      </c>
      <c r="K3" t="inlineStr">
        <is>
          <t>港股大宗交易按允许缺失规则留空</t>
        </is>
      </c>
      <c r="L3" t="b">
        <v>0</v>
      </c>
      <c r="M3" t="inlineStr">
        <is>
          <t>东方财富</t>
        </is>
      </c>
      <c r="N3" t="b">
        <v>0</v>
      </c>
    </row>
    <row r="4">
      <c r="A4" t="inlineStr">
        <is>
          <t>港股</t>
        </is>
      </c>
      <c r="B4" t="inlineStr">
        <is>
          <t>00001</t>
        </is>
      </c>
      <c r="C4" t="inlineStr">
        <is>
          <t>CKH HOLDINGS</t>
        </is>
      </c>
      <c r="D4" t="inlineStr">
        <is>
          <t>年度财务</t>
        </is>
      </c>
      <c r="E4" t="inlineStr">
        <is>
          <t>东方财富</t>
        </is>
      </c>
      <c r="F4" t="inlineStr">
        <is>
          <t>RPT_HKF10_FN_MAININDICATOR</t>
        </is>
      </c>
      <c r="G4" s="32" t="n">
        <v>46263.26219804472</v>
      </c>
      <c r="H4" t="inlineStr">
        <is>
          <t>HKD</t>
        </is>
      </c>
      <c r="I4" t="inlineStr">
        <is>
          <t>HKD</t>
        </is>
      </c>
      <c r="J4" t="inlineStr">
        <is>
          <t>ok</t>
        </is>
      </c>
      <c r="L4" t="b">
        <v>0</v>
      </c>
      <c r="M4" t="inlineStr">
        <is>
          <t>东方财富</t>
        </is>
      </c>
      <c r="N4" t="b">
        <v>0</v>
      </c>
    </row>
    <row r="5">
      <c r="A5" t="inlineStr">
        <is>
          <t>港股</t>
        </is>
      </c>
      <c r="B5" t="inlineStr">
        <is>
          <t>00001</t>
        </is>
      </c>
      <c r="C5" t="inlineStr">
        <is>
          <t>CKH HOLDINGS</t>
        </is>
      </c>
      <c r="D5" t="inlineStr">
        <is>
          <t>上市与发行信息</t>
        </is>
      </c>
      <c r="E5" t="inlineStr">
        <is>
          <t>东方财富</t>
        </is>
      </c>
      <c r="F5" t="inlineStr">
        <is>
          <t>RPT_HKF10_INFO_SECURITYINFO</t>
        </is>
      </c>
      <c r="G5" s="32" t="n">
        <v>46263.26220245143</v>
      </c>
      <c r="H5" t="inlineStr">
        <is>
          <t>HKD</t>
        </is>
      </c>
      <c r="I5" t="inlineStr">
        <is>
          <t>HKD</t>
        </is>
      </c>
      <c r="J5" t="inlineStr">
        <is>
          <t>ok</t>
        </is>
      </c>
      <c r="L5" t="b">
        <v>0</v>
      </c>
      <c r="M5" t="inlineStr">
        <is>
          <t>东方财富</t>
        </is>
      </c>
      <c r="N5" t="b">
        <v>0</v>
      </c>
    </row>
    <row r="6">
      <c r="A6" t="inlineStr">
        <is>
          <t>港股</t>
        </is>
      </c>
      <c r="B6" t="inlineStr">
        <is>
          <t>00001</t>
        </is>
      </c>
      <c r="C6" t="inlineStr">
        <is>
          <t>CKH HOLDINGS</t>
        </is>
      </c>
      <c r="D6" t="inlineStr">
        <is>
          <t>资金流</t>
        </is>
      </c>
      <c r="E6" t="inlineStr">
        <is>
          <t>东方财富</t>
        </is>
      </c>
      <c r="F6" t="inlineStr">
        <is>
          <t>fast-mode-no-reliable-batch-endpoint</t>
        </is>
      </c>
      <c r="G6" s="32" t="n">
        <v>46263.26220507397</v>
      </c>
      <c r="I6" t="inlineStr">
        <is>
          <t>HKD</t>
        </is>
      </c>
      <c r="J6" t="inlineStr">
        <is>
          <t>optional_missing</t>
        </is>
      </c>
      <c r="K6" t="inlineStr">
        <is>
          <t>快速模式未发现可靠的批量近五个交易日同口径字段，为避免逐股慢请求，本次留空</t>
        </is>
      </c>
      <c r="L6" t="b">
        <v>0</v>
      </c>
      <c r="M6" t="inlineStr">
        <is>
          <t>东方财富</t>
        </is>
      </c>
      <c r="N6" t="b">
        <v>0</v>
      </c>
    </row>
    <row r="7">
      <c r="A7" t="inlineStr">
        <is>
          <t>港股</t>
        </is>
      </c>
      <c r="B7" t="inlineStr">
        <is>
          <t>00002</t>
        </is>
      </c>
      <c r="C7" t="inlineStr">
        <is>
          <t>CLP HOLDINGS</t>
        </is>
      </c>
      <c r="D7" t="inlineStr">
        <is>
          <t>最新行情</t>
        </is>
      </c>
      <c r="E7" t="inlineStr">
        <is>
          <t>东方财富</t>
        </is>
      </c>
      <c r="F7" t="inlineStr">
        <is>
          <t>push2 ulist.np/get f2,f20（按指定证券分批）</t>
        </is>
      </c>
      <c r="G7" s="32" t="n">
        <v>46263.26219315969</v>
      </c>
      <c r="H7" t="inlineStr">
        <is>
          <t>HKD</t>
        </is>
      </c>
      <c r="I7" t="inlineStr">
        <is>
          <t>HKD</t>
        </is>
      </c>
      <c r="J7" t="inlineStr">
        <is>
          <t>ok</t>
        </is>
      </c>
      <c r="L7" t="b">
        <v>0</v>
      </c>
      <c r="M7" t="inlineStr">
        <is>
          <t>东方财富</t>
        </is>
      </c>
      <c r="N7" t="b">
        <v>0</v>
      </c>
    </row>
    <row r="8">
      <c r="A8" t="inlineStr">
        <is>
          <t>港股</t>
        </is>
      </c>
      <c r="B8" t="inlineStr">
        <is>
          <t>00002</t>
        </is>
      </c>
      <c r="C8" t="inlineStr">
        <is>
          <t>CLP HOLDINGS</t>
        </is>
      </c>
      <c r="D8" t="inlineStr">
        <is>
          <t>大宗交易</t>
        </is>
      </c>
      <c r="E8" t="inlineStr">
        <is>
          <t>东方财富</t>
        </is>
      </c>
      <c r="F8" t="inlineStr">
        <is>
          <t>not-applicable-hk</t>
        </is>
      </c>
      <c r="G8" s="32" t="n">
        <v>46263.26219327581</v>
      </c>
      <c r="I8" t="inlineStr">
        <is>
          <t>HKD</t>
        </is>
      </c>
      <c r="J8" t="inlineStr">
        <is>
          <t>optional_missing</t>
        </is>
      </c>
      <c r="K8" t="inlineStr">
        <is>
          <t>港股大宗交易按允许缺失规则留空</t>
        </is>
      </c>
      <c r="L8" t="b">
        <v>0</v>
      </c>
      <c r="M8" t="inlineStr">
        <is>
          <t>东方财富</t>
        </is>
      </c>
      <c r="N8" t="b">
        <v>0</v>
      </c>
    </row>
    <row r="9">
      <c r="A9" t="inlineStr">
        <is>
          <t>港股</t>
        </is>
      </c>
      <c r="B9" t="inlineStr">
        <is>
          <t>00002</t>
        </is>
      </c>
      <c r="C9" t="inlineStr">
        <is>
          <t>CLP HOLDINGS</t>
        </is>
      </c>
      <c r="D9" t="inlineStr">
        <is>
          <t>年度财务</t>
        </is>
      </c>
      <c r="E9" t="inlineStr">
        <is>
          <t>东方财富</t>
        </is>
      </c>
      <c r="F9" t="inlineStr">
        <is>
          <t>RPT_HKF10_FN_MAININDICATOR</t>
        </is>
      </c>
      <c r="G9" s="32" t="n">
        <v>46263.26219900396</v>
      </c>
      <c r="H9" t="inlineStr">
        <is>
          <t>HKD</t>
        </is>
      </c>
      <c r="I9" t="inlineStr">
        <is>
          <t>HKD</t>
        </is>
      </c>
      <c r="J9" t="inlineStr">
        <is>
          <t>ok</t>
        </is>
      </c>
      <c r="L9" t="b">
        <v>0</v>
      </c>
      <c r="M9" t="inlineStr">
        <is>
          <t>东方财富</t>
        </is>
      </c>
      <c r="N9" t="b">
        <v>0</v>
      </c>
    </row>
    <row r="10">
      <c r="A10" t="inlineStr">
        <is>
          <t>港股</t>
        </is>
      </c>
      <c r="B10" t="inlineStr">
        <is>
          <t>00002</t>
        </is>
      </c>
      <c r="C10" t="inlineStr">
        <is>
          <t>CLP HOLDINGS</t>
        </is>
      </c>
      <c r="D10" t="inlineStr">
        <is>
          <t>上市与发行信息</t>
        </is>
      </c>
      <c r="E10" t="inlineStr">
        <is>
          <t>东方财富</t>
        </is>
      </c>
      <c r="F10" t="inlineStr">
        <is>
          <t>RPT_HKF10_INFO_SECURITYINFO</t>
        </is>
      </c>
      <c r="G10" s="32" t="n">
        <v>46263.26220238733</v>
      </c>
      <c r="H10" t="inlineStr">
        <is>
          <t>HKD</t>
        </is>
      </c>
      <c r="I10" t="inlineStr">
        <is>
          <t>HKD</t>
        </is>
      </c>
      <c r="J10" t="inlineStr">
        <is>
          <t>ok</t>
        </is>
      </c>
      <c r="L10" t="b">
        <v>0</v>
      </c>
      <c r="M10" t="inlineStr">
        <is>
          <t>东方财富</t>
        </is>
      </c>
      <c r="N10" t="b">
        <v>0</v>
      </c>
    </row>
    <row r="11">
      <c r="A11" t="inlineStr">
        <is>
          <t>港股</t>
        </is>
      </c>
      <c r="B11" t="inlineStr">
        <is>
          <t>00002</t>
        </is>
      </c>
      <c r="C11" t="inlineStr">
        <is>
          <t>CLP HOLDINGS</t>
        </is>
      </c>
      <c r="D11" t="inlineStr">
        <is>
          <t>资金流</t>
        </is>
      </c>
      <c r="E11" t="inlineStr">
        <is>
          <t>东方财富</t>
        </is>
      </c>
      <c r="F11" t="inlineStr">
        <is>
          <t>fast-mode-no-reliable-batch-endpoint</t>
        </is>
      </c>
      <c r="G11" s="32" t="n">
        <v>46263.26220507397</v>
      </c>
      <c r="I11" t="inlineStr">
        <is>
          <t>HKD</t>
        </is>
      </c>
      <c r="J11" t="inlineStr">
        <is>
          <t>optional_missing</t>
        </is>
      </c>
      <c r="K11" t="inlineStr">
        <is>
          <t>快速模式未发现可靠的批量近五个交易日同口径字段，为避免逐股慢请求，本次留空</t>
        </is>
      </c>
      <c r="L11" t="b">
        <v>0</v>
      </c>
      <c r="M11" t="inlineStr">
        <is>
          <t>东方财富</t>
        </is>
      </c>
      <c r="N11" t="b">
        <v>0</v>
      </c>
    </row>
    <row r="12">
      <c r="A12" t="inlineStr">
        <is>
          <t>港股</t>
        </is>
      </c>
      <c r="B12" t="inlineStr">
        <is>
          <t>00003</t>
        </is>
      </c>
      <c r="C12" t="inlineStr">
        <is>
          <t>HK &amp; CHINA GAS</t>
        </is>
      </c>
      <c r="D12" t="inlineStr">
        <is>
          <t>最新行情</t>
        </is>
      </c>
      <c r="E12" t="inlineStr">
        <is>
          <t>东方财富</t>
        </is>
      </c>
      <c r="F12" t="inlineStr">
        <is>
          <t>push2 ulist.np/get f2,f20（按指定证券分批）</t>
        </is>
      </c>
      <c r="G12" s="32" t="n">
        <v>46263.26219315969</v>
      </c>
      <c r="H12" t="inlineStr">
        <is>
          <t>HKD</t>
        </is>
      </c>
      <c r="I12" t="inlineStr">
        <is>
          <t>HKD</t>
        </is>
      </c>
      <c r="J12" t="inlineStr">
        <is>
          <t>ok</t>
        </is>
      </c>
      <c r="L12" t="b">
        <v>0</v>
      </c>
      <c r="M12" t="inlineStr">
        <is>
          <t>东方财富</t>
        </is>
      </c>
      <c r="N12" t="b">
        <v>0</v>
      </c>
    </row>
    <row r="13">
      <c r="A13" t="inlineStr">
        <is>
          <t>港股</t>
        </is>
      </c>
      <c r="B13" t="inlineStr">
        <is>
          <t>00003</t>
        </is>
      </c>
      <c r="C13" t="inlineStr">
        <is>
          <t>HK &amp; CHINA GAS</t>
        </is>
      </c>
      <c r="D13" t="inlineStr">
        <is>
          <t>大宗交易</t>
        </is>
      </c>
      <c r="E13" t="inlineStr">
        <is>
          <t>东方财富</t>
        </is>
      </c>
      <c r="F13" t="inlineStr">
        <is>
          <t>not-applicable-hk</t>
        </is>
      </c>
      <c r="G13" s="32" t="n">
        <v>46263.26219327581</v>
      </c>
      <c r="I13" t="inlineStr">
        <is>
          <t>HKD</t>
        </is>
      </c>
      <c r="J13" t="inlineStr">
        <is>
          <t>optional_missing</t>
        </is>
      </c>
      <c r="K13" t="inlineStr">
        <is>
          <t>港股大宗交易按允许缺失规则留空</t>
        </is>
      </c>
      <c r="L13" t="b">
        <v>0</v>
      </c>
      <c r="M13" t="inlineStr">
        <is>
          <t>东方财富</t>
        </is>
      </c>
      <c r="N13" t="b">
        <v>0</v>
      </c>
    </row>
    <row r="14">
      <c r="A14" t="inlineStr">
        <is>
          <t>港股</t>
        </is>
      </c>
      <c r="B14" t="inlineStr">
        <is>
          <t>00003</t>
        </is>
      </c>
      <c r="C14" t="inlineStr">
        <is>
          <t>HK &amp; CHINA GAS</t>
        </is>
      </c>
      <c r="D14" t="inlineStr">
        <is>
          <t>年度财务</t>
        </is>
      </c>
      <c r="E14" t="inlineStr">
        <is>
          <t>东方财富</t>
        </is>
      </c>
      <c r="F14" t="inlineStr">
        <is>
          <t>RPT_HKF10_FN_MAININDICATOR</t>
        </is>
      </c>
      <c r="G14" s="32" t="n">
        <v>46263.26219817527</v>
      </c>
      <c r="H14" t="inlineStr">
        <is>
          <t>HKD</t>
        </is>
      </c>
      <c r="I14" t="inlineStr">
        <is>
          <t>HKD</t>
        </is>
      </c>
      <c r="J14" t="inlineStr">
        <is>
          <t>ok</t>
        </is>
      </c>
      <c r="L14" t="b">
        <v>0</v>
      </c>
      <c r="M14" t="inlineStr">
        <is>
          <t>东方财富</t>
        </is>
      </c>
      <c r="N14" t="b">
        <v>0</v>
      </c>
    </row>
    <row r="15">
      <c r="A15" t="inlineStr">
        <is>
          <t>港股</t>
        </is>
      </c>
      <c r="B15" t="inlineStr">
        <is>
          <t>00003</t>
        </is>
      </c>
      <c r="C15" t="inlineStr">
        <is>
          <t>HK &amp; CHINA GAS</t>
        </is>
      </c>
      <c r="D15" t="inlineStr">
        <is>
          <t>上市与发行信息</t>
        </is>
      </c>
      <c r="E15" t="inlineStr">
        <is>
          <t>东方财富</t>
        </is>
      </c>
      <c r="F15" t="inlineStr">
        <is>
          <t>RPT_HKF10_INFO_SECURITYINFO</t>
        </is>
      </c>
      <c r="G15" s="32" t="n">
        <v>46263.26220496046</v>
      </c>
      <c r="H15" t="inlineStr">
        <is>
          <t>HKD</t>
        </is>
      </c>
      <c r="I15" t="inlineStr">
        <is>
          <t>HKD</t>
        </is>
      </c>
      <c r="J15" t="inlineStr">
        <is>
          <t>ok</t>
        </is>
      </c>
      <c r="L15" t="b">
        <v>0</v>
      </c>
      <c r="M15" t="inlineStr">
        <is>
          <t>东方财富</t>
        </is>
      </c>
      <c r="N15" t="b">
        <v>0</v>
      </c>
    </row>
    <row r="16">
      <c r="A16" t="inlineStr">
        <is>
          <t>港股</t>
        </is>
      </c>
      <c r="B16" t="inlineStr">
        <is>
          <t>00003</t>
        </is>
      </c>
      <c r="C16" t="inlineStr">
        <is>
          <t>HK &amp; CHINA GAS</t>
        </is>
      </c>
      <c r="D16" t="inlineStr">
        <is>
          <t>资金流</t>
        </is>
      </c>
      <c r="E16" t="inlineStr">
        <is>
          <t>东方财富</t>
        </is>
      </c>
      <c r="F16" t="inlineStr">
        <is>
          <t>fast-mode-no-reliable-batch-endpoint</t>
        </is>
      </c>
      <c r="G16" s="32" t="n">
        <v>46263.26220507397</v>
      </c>
      <c r="I16" t="inlineStr">
        <is>
          <t>HKD</t>
        </is>
      </c>
      <c r="J16" t="inlineStr">
        <is>
          <t>optional_missing</t>
        </is>
      </c>
      <c r="K16" t="inlineStr">
        <is>
          <t>快速模式未发现可靠的批量近五个交易日同口径字段，为避免逐股慢请求，本次留空</t>
        </is>
      </c>
      <c r="L16" t="b">
        <v>0</v>
      </c>
      <c r="M16" t="inlineStr">
        <is>
          <t>东方财富</t>
        </is>
      </c>
      <c r="N16" t="b">
        <v>0</v>
      </c>
    </row>
    <row r="17">
      <c r="A17" t="inlineStr">
        <is>
          <t>港股</t>
        </is>
      </c>
      <c r="B17" t="inlineStr">
        <is>
          <t>00004</t>
        </is>
      </c>
      <c r="C17" t="inlineStr">
        <is>
          <t>WHARF HOLDINGS</t>
        </is>
      </c>
      <c r="D17" t="inlineStr">
        <is>
          <t>最新行情</t>
        </is>
      </c>
      <c r="E17" t="inlineStr">
        <is>
          <t>东方财富</t>
        </is>
      </c>
      <c r="F17" t="inlineStr">
        <is>
          <t>push2 ulist.np/get f2,f20（按指定证券分批）</t>
        </is>
      </c>
      <c r="G17" s="32" t="n">
        <v>46263.26219315969</v>
      </c>
      <c r="H17" t="inlineStr">
        <is>
          <t>HKD</t>
        </is>
      </c>
      <c r="I17" t="inlineStr">
        <is>
          <t>HKD</t>
        </is>
      </c>
      <c r="J17" t="inlineStr">
        <is>
          <t>ok</t>
        </is>
      </c>
      <c r="L17" t="b">
        <v>0</v>
      </c>
      <c r="M17" t="inlineStr">
        <is>
          <t>东方财富</t>
        </is>
      </c>
      <c r="N17" t="b">
        <v>0</v>
      </c>
    </row>
    <row r="18">
      <c r="A18" t="inlineStr">
        <is>
          <t>港股</t>
        </is>
      </c>
      <c r="B18" t="inlineStr">
        <is>
          <t>00004</t>
        </is>
      </c>
      <c r="C18" t="inlineStr">
        <is>
          <t>WHARF HOLDINGS</t>
        </is>
      </c>
      <c r="D18" t="inlineStr">
        <is>
          <t>大宗交易</t>
        </is>
      </c>
      <c r="E18" t="inlineStr">
        <is>
          <t>东方财富</t>
        </is>
      </c>
      <c r="F18" t="inlineStr">
        <is>
          <t>not-applicable-hk</t>
        </is>
      </c>
      <c r="G18" s="32" t="n">
        <v>46263.26219327581</v>
      </c>
      <c r="I18" t="inlineStr">
        <is>
          <t>HKD</t>
        </is>
      </c>
      <c r="J18" t="inlineStr">
        <is>
          <t>optional_missing</t>
        </is>
      </c>
      <c r="K18" t="inlineStr">
        <is>
          <t>港股大宗交易按允许缺失规则留空</t>
        </is>
      </c>
      <c r="L18" t="b">
        <v>0</v>
      </c>
      <c r="M18" t="inlineStr">
        <is>
          <t>东方财富</t>
        </is>
      </c>
      <c r="N18" t="b">
        <v>0</v>
      </c>
    </row>
    <row r="19">
      <c r="A19" t="inlineStr">
        <is>
          <t>港股</t>
        </is>
      </c>
      <c r="B19" t="inlineStr">
        <is>
          <t>00004</t>
        </is>
      </c>
      <c r="C19" t="inlineStr">
        <is>
          <t>WHARF HOLDINGS</t>
        </is>
      </c>
      <c r="D19" t="inlineStr">
        <is>
          <t>年度财务</t>
        </is>
      </c>
      <c r="E19" t="inlineStr">
        <is>
          <t>东方财富</t>
        </is>
      </c>
      <c r="F19" t="inlineStr">
        <is>
          <t>RPT_HKF10_FN_MAININDICATOR</t>
        </is>
      </c>
      <c r="G19" s="32" t="n">
        <v>46263.26219808244</v>
      </c>
      <c r="H19" t="inlineStr">
        <is>
          <t>HKD</t>
        </is>
      </c>
      <c r="I19" t="inlineStr">
        <is>
          <t>HKD</t>
        </is>
      </c>
      <c r="J19" t="inlineStr">
        <is>
          <t>ok</t>
        </is>
      </c>
      <c r="L19" t="b">
        <v>0</v>
      </c>
      <c r="M19" t="inlineStr">
        <is>
          <t>东方财富</t>
        </is>
      </c>
      <c r="N19" t="b">
        <v>0</v>
      </c>
    </row>
    <row r="20">
      <c r="A20" t="inlineStr">
        <is>
          <t>港股</t>
        </is>
      </c>
      <c r="B20" t="inlineStr">
        <is>
          <t>00004</t>
        </is>
      </c>
      <c r="C20" t="inlineStr">
        <is>
          <t>WHARF HOLDINGS</t>
        </is>
      </c>
      <c r="D20" t="inlineStr">
        <is>
          <t>上市与发行信息</t>
        </is>
      </c>
      <c r="E20" t="inlineStr">
        <is>
          <t>东方财富</t>
        </is>
      </c>
      <c r="F20" t="inlineStr">
        <is>
          <t>RPT_HKF10_INFO_SECURITYINFO</t>
        </is>
      </c>
      <c r="G20" s="32" t="n">
        <v>46263.26220434608</v>
      </c>
      <c r="H20" t="inlineStr">
        <is>
          <t>HKD</t>
        </is>
      </c>
      <c r="I20" t="inlineStr">
        <is>
          <t>HKD</t>
        </is>
      </c>
      <c r="J20" t="inlineStr">
        <is>
          <t>ok</t>
        </is>
      </c>
      <c r="L20" t="b">
        <v>0</v>
      </c>
      <c r="M20" t="inlineStr">
        <is>
          <t>东方财富</t>
        </is>
      </c>
      <c r="N20" t="b">
        <v>0</v>
      </c>
    </row>
    <row r="21">
      <c r="A21" t="inlineStr">
        <is>
          <t>港股</t>
        </is>
      </c>
      <c r="B21" t="inlineStr">
        <is>
          <t>00004</t>
        </is>
      </c>
      <c r="C21" t="inlineStr">
        <is>
          <t>WHARF HOLDINGS</t>
        </is>
      </c>
      <c r="D21" t="inlineStr">
        <is>
          <t>资金流</t>
        </is>
      </c>
      <c r="E21" t="inlineStr">
        <is>
          <t>东方财富</t>
        </is>
      </c>
      <c r="F21" t="inlineStr">
        <is>
          <t>fast-mode-no-reliable-batch-endpoint</t>
        </is>
      </c>
      <c r="G21" s="32" t="n">
        <v>46263.26220507397</v>
      </c>
      <c r="I21" t="inlineStr">
        <is>
          <t>HKD</t>
        </is>
      </c>
      <c r="J21" t="inlineStr">
        <is>
          <t>optional_missing</t>
        </is>
      </c>
      <c r="K21" t="inlineStr">
        <is>
          <t>快速模式未发现可靠的批量近五个交易日同口径字段，为避免逐股慢请求，本次留空</t>
        </is>
      </c>
      <c r="L21" t="b">
        <v>0</v>
      </c>
      <c r="M21" t="inlineStr">
        <is>
          <t>东方财富</t>
        </is>
      </c>
      <c r="N21" t="b">
        <v>0</v>
      </c>
    </row>
    <row r="22">
      <c r="A22" t="inlineStr">
        <is>
          <t>港股</t>
        </is>
      </c>
      <c r="B22" t="inlineStr">
        <is>
          <t>00005</t>
        </is>
      </c>
      <c r="C22" t="inlineStr">
        <is>
          <t>HSBC HOLDINGS</t>
        </is>
      </c>
      <c r="D22" t="inlineStr">
        <is>
          <t>最新行情</t>
        </is>
      </c>
      <c r="E22" t="inlineStr">
        <is>
          <t>东方财富</t>
        </is>
      </c>
      <c r="F22" t="inlineStr">
        <is>
          <t>push2 ulist.np/get f2,f20（按指定证券分批）</t>
        </is>
      </c>
      <c r="G22" s="32" t="n">
        <v>46263.26219315969</v>
      </c>
      <c r="H22" t="inlineStr">
        <is>
          <t>HKD</t>
        </is>
      </c>
      <c r="I22" t="inlineStr">
        <is>
          <t>HKD</t>
        </is>
      </c>
      <c r="J22" t="inlineStr">
        <is>
          <t>ok</t>
        </is>
      </c>
      <c r="L22" t="b">
        <v>0</v>
      </c>
      <c r="M22" t="inlineStr">
        <is>
          <t>东方财富</t>
        </is>
      </c>
      <c r="N22" t="b">
        <v>0</v>
      </c>
    </row>
    <row r="23">
      <c r="A23" t="inlineStr">
        <is>
          <t>港股</t>
        </is>
      </c>
      <c r="B23" t="inlineStr">
        <is>
          <t>00005</t>
        </is>
      </c>
      <c r="C23" t="inlineStr">
        <is>
          <t>HSBC HOLDINGS</t>
        </is>
      </c>
      <c r="D23" t="inlineStr">
        <is>
          <t>大宗交易</t>
        </is>
      </c>
      <c r="E23" t="inlineStr">
        <is>
          <t>东方财富</t>
        </is>
      </c>
      <c r="F23" t="inlineStr">
        <is>
          <t>not-applicable-hk</t>
        </is>
      </c>
      <c r="G23" s="32" t="n">
        <v>46263.26219327581</v>
      </c>
      <c r="I23" t="inlineStr">
        <is>
          <t>HKD</t>
        </is>
      </c>
      <c r="J23" t="inlineStr">
        <is>
          <t>optional_missing</t>
        </is>
      </c>
      <c r="K23" t="inlineStr">
        <is>
          <t>港股大宗交易按允许缺失规则留空</t>
        </is>
      </c>
      <c r="L23" t="b">
        <v>0</v>
      </c>
      <c r="M23" t="inlineStr">
        <is>
          <t>东方财富</t>
        </is>
      </c>
      <c r="N23" t="b">
        <v>0</v>
      </c>
    </row>
    <row r="24">
      <c r="A24" t="inlineStr">
        <is>
          <t>港股</t>
        </is>
      </c>
      <c r="B24" t="inlineStr">
        <is>
          <t>00005</t>
        </is>
      </c>
      <c r="C24" t="inlineStr">
        <is>
          <t>HSBC HOLDINGS</t>
        </is>
      </c>
      <c r="D24" t="inlineStr">
        <is>
          <t>年度财务</t>
        </is>
      </c>
      <c r="E24" t="inlineStr">
        <is>
          <t>东方财富</t>
        </is>
      </c>
      <c r="F24" t="inlineStr">
        <is>
          <t>RPT_HKF10_FN_MAININDICATOR</t>
        </is>
      </c>
      <c r="G24" s="32" t="n">
        <v>46263.2622006905</v>
      </c>
      <c r="H24" t="inlineStr">
        <is>
          <t>HKD</t>
        </is>
      </c>
      <c r="I24" t="inlineStr">
        <is>
          <t>HKD</t>
        </is>
      </c>
      <c r="J24" t="inlineStr">
        <is>
          <t>ok</t>
        </is>
      </c>
      <c r="L24" t="b">
        <v>0</v>
      </c>
      <c r="M24" t="inlineStr">
        <is>
          <t>东方财富</t>
        </is>
      </c>
      <c r="N24" t="b">
        <v>0</v>
      </c>
    </row>
    <row r="25">
      <c r="A25" t="inlineStr">
        <is>
          <t>港股</t>
        </is>
      </c>
      <c r="B25" t="inlineStr">
        <is>
          <t>00005</t>
        </is>
      </c>
      <c r="C25" t="inlineStr">
        <is>
          <t>HSBC HOLDINGS</t>
        </is>
      </c>
      <c r="D25" t="inlineStr">
        <is>
          <t>上市与发行信息</t>
        </is>
      </c>
      <c r="E25" t="inlineStr">
        <is>
          <t>东方财富</t>
        </is>
      </c>
      <c r="F25" t="inlineStr">
        <is>
          <t>RPT_HKF10_INFO_SECURITYINFO</t>
        </is>
      </c>
      <c r="G25" s="32" t="n">
        <v>46263.26220502747</v>
      </c>
      <c r="H25" t="inlineStr">
        <is>
          <t>HKD</t>
        </is>
      </c>
      <c r="I25" t="inlineStr">
        <is>
          <t>HKD</t>
        </is>
      </c>
      <c r="J25" t="inlineStr">
        <is>
          <t>ok</t>
        </is>
      </c>
      <c r="L25" t="b">
        <v>0</v>
      </c>
      <c r="M25" t="inlineStr">
        <is>
          <t>东方财富</t>
        </is>
      </c>
      <c r="N25" t="b">
        <v>0</v>
      </c>
    </row>
    <row r="26">
      <c r="A26" t="inlineStr">
        <is>
          <t>港股</t>
        </is>
      </c>
      <c r="B26" t="inlineStr">
        <is>
          <t>00005</t>
        </is>
      </c>
      <c r="C26" t="inlineStr">
        <is>
          <t>HSBC HOLDINGS</t>
        </is>
      </c>
      <c r="D26" t="inlineStr">
        <is>
          <t>资金流</t>
        </is>
      </c>
      <c r="E26" t="inlineStr">
        <is>
          <t>东方财富</t>
        </is>
      </c>
      <c r="F26" t="inlineStr">
        <is>
          <t>fast-mode-no-reliable-batch-endpoint</t>
        </is>
      </c>
      <c r="G26" s="32" t="n">
        <v>46263.26220507397</v>
      </c>
      <c r="I26" t="inlineStr">
        <is>
          <t>HKD</t>
        </is>
      </c>
      <c r="J26" t="inlineStr">
        <is>
          <t>optional_missing</t>
        </is>
      </c>
      <c r="K26" t="inlineStr">
        <is>
          <t>快速模式未发现可靠的批量近五个交易日同口径字段，为避免逐股慢请求，本次留空</t>
        </is>
      </c>
      <c r="L26" t="b">
        <v>0</v>
      </c>
      <c r="M26" t="inlineStr">
        <is>
          <t>东方财富</t>
        </is>
      </c>
      <c r="N2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60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42" customWidth="1" style="3" min="11" max="11"/>
    <col width="18" customWidth="1" style="3" min="12" max="12"/>
    <col width="18" customWidth="1" style="3" min="13" max="13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公司名称</t>
        </is>
      </c>
      <c r="D1" s="30" t="inlineStr">
        <is>
          <t>字段名</t>
        </is>
      </c>
      <c r="E1" s="30" t="inlineStr">
        <is>
          <t>字段状态</t>
        </is>
      </c>
      <c r="F1" s="30" t="inlineStr">
        <is>
          <t>原因</t>
        </is>
      </c>
      <c r="G1" s="30" t="inlineStr">
        <is>
          <t>是否核心字段</t>
        </is>
      </c>
      <c r="H1" s="30" t="inlineStr">
        <is>
          <t>是否允许为空</t>
        </is>
      </c>
      <c r="I1" s="30" t="inlineStr">
        <is>
          <t>主数据源</t>
        </is>
      </c>
      <c r="J1" s="30" t="inlineStr">
        <is>
          <t>实际数据源</t>
        </is>
      </c>
      <c r="K1" s="30" t="inlineStr">
        <is>
          <t>请求端点</t>
        </is>
      </c>
      <c r="L1" s="30" t="inlineStr">
        <is>
          <t>抓取时间</t>
        </is>
      </c>
      <c r="M1" s="30" t="inlineStr">
        <is>
          <t>缓存命中情况</t>
        </is>
      </c>
    </row>
    <row r="2">
      <c r="A2" t="inlineStr">
        <is>
          <t>港股</t>
        </is>
      </c>
      <c r="B2" t="inlineStr">
        <is>
          <t>00001</t>
        </is>
      </c>
      <c r="C2" t="inlineStr">
        <is>
          <t>CKH HOLDINGS</t>
        </is>
      </c>
      <c r="D2" t="inlineStr">
        <is>
          <t>大宗交易</t>
        </is>
      </c>
      <c r="E2" t="inlineStr">
        <is>
          <t>optional_missing</t>
        </is>
      </c>
      <c r="F2" t="inlineStr">
        <is>
          <t>港股大宗交易按允许缺失规则留空</t>
        </is>
      </c>
      <c r="G2" t="b">
        <v>0</v>
      </c>
      <c r="H2" t="b">
        <v>1</v>
      </c>
      <c r="I2" t="inlineStr">
        <is>
          <t>东方财富</t>
        </is>
      </c>
      <c r="J2" t="inlineStr">
        <is>
          <t>东方财富</t>
        </is>
      </c>
      <c r="K2" t="inlineStr">
        <is>
          <t>not-applicable-hk</t>
        </is>
      </c>
      <c r="L2" s="32" t="n">
        <v>46263.26219327581</v>
      </c>
      <c r="M2" t="b">
        <v>0</v>
      </c>
    </row>
    <row r="3">
      <c r="A3" t="inlineStr">
        <is>
          <t>港股</t>
        </is>
      </c>
      <c r="B3" t="inlineStr">
        <is>
          <t>00001</t>
        </is>
      </c>
      <c r="C3" t="inlineStr">
        <is>
          <t>CKH HOLDINGS</t>
        </is>
      </c>
      <c r="D3" t="inlineStr">
        <is>
          <t>资金流</t>
        </is>
      </c>
      <c r="E3" t="inlineStr">
        <is>
          <t>optional_missing</t>
        </is>
      </c>
      <c r="F3" t="inlineStr">
        <is>
          <t>快速模式未发现可靠的批量近五个交易日同口径字段，为避免逐股慢请求，本次留空</t>
        </is>
      </c>
      <c r="G3" t="b">
        <v>0</v>
      </c>
      <c r="H3" t="b">
        <v>1</v>
      </c>
      <c r="I3" t="inlineStr">
        <is>
          <t>东方财富</t>
        </is>
      </c>
      <c r="J3" t="inlineStr">
        <is>
          <t>东方财富</t>
        </is>
      </c>
      <c r="K3" t="inlineStr">
        <is>
          <t>fast-mode-no-reliable-batch-endpoint</t>
        </is>
      </c>
      <c r="L3" s="32" t="n">
        <v>46263.26220507397</v>
      </c>
      <c r="M3" t="b">
        <v>0</v>
      </c>
    </row>
    <row r="4">
      <c r="A4" t="inlineStr">
        <is>
          <t>港股</t>
        </is>
      </c>
      <c r="B4" t="inlineStr">
        <is>
          <t>00001</t>
        </is>
      </c>
      <c r="C4" t="inlineStr">
        <is>
          <t>CKH HOLDINGS</t>
        </is>
      </c>
      <c r="D4" t="inlineStr">
        <is>
          <t>市值增长率</t>
        </is>
      </c>
      <c r="E4" t="inlineStr">
        <is>
          <t>missing</t>
        </is>
      </c>
      <c r="F4" t="inlineStr">
        <is>
          <t>市值增长率：missing</t>
        </is>
      </c>
      <c r="G4" t="b">
        <v>0</v>
      </c>
      <c r="H4" t="b">
        <v>1</v>
      </c>
      <c r="M4" t="b">
        <v>0</v>
      </c>
    </row>
    <row r="5">
      <c r="A5" t="inlineStr">
        <is>
          <t>港股</t>
        </is>
      </c>
      <c r="B5" t="inlineStr">
        <is>
          <t>00001</t>
        </is>
      </c>
      <c r="C5" t="inlineStr">
        <is>
          <t>CKH HOLDINGS</t>
        </is>
      </c>
      <c r="D5" t="inlineStr">
        <is>
          <t>发行价</t>
        </is>
      </c>
      <c r="E5" t="inlineStr">
        <is>
          <t>optional_missing</t>
        </is>
      </c>
      <c r="F5" t="inlineStr">
        <is>
          <t>发行价：optional_missing</t>
        </is>
      </c>
      <c r="G5" t="b">
        <v>0</v>
      </c>
      <c r="H5" t="b">
        <v>1</v>
      </c>
      <c r="M5" t="b">
        <v>0</v>
      </c>
    </row>
    <row r="6">
      <c r="A6" t="inlineStr">
        <is>
          <t>港股</t>
        </is>
      </c>
      <c r="B6" t="inlineStr">
        <is>
          <t>00001</t>
        </is>
      </c>
      <c r="C6" t="inlineStr">
        <is>
          <t>CKH HOLDINGS</t>
        </is>
      </c>
      <c r="D6" t="inlineStr">
        <is>
          <t>发行股数</t>
        </is>
      </c>
      <c r="E6" t="inlineStr">
        <is>
          <t>optional_missing</t>
        </is>
      </c>
      <c r="F6" t="inlineStr">
        <is>
          <t>发行股数：optional_missing</t>
        </is>
      </c>
      <c r="G6" t="b">
        <v>0</v>
      </c>
      <c r="H6" t="b">
        <v>1</v>
      </c>
      <c r="M6" t="b">
        <v>0</v>
      </c>
    </row>
    <row r="7">
      <c r="A7" t="inlineStr">
        <is>
          <t>港股</t>
        </is>
      </c>
      <c r="B7" t="inlineStr">
        <is>
          <t>00001</t>
        </is>
      </c>
      <c r="C7" t="inlineStr">
        <is>
          <t>CKH HOLDINGS</t>
        </is>
      </c>
      <c r="D7" t="inlineStr">
        <is>
          <t>发行时总市值</t>
        </is>
      </c>
      <c r="E7" t="inlineStr">
        <is>
          <t>optional_missing</t>
        </is>
      </c>
      <c r="F7" t="inlineStr">
        <is>
          <t>发行时总市值：optional_missing</t>
        </is>
      </c>
      <c r="G7" t="b">
        <v>0</v>
      </c>
      <c r="H7" t="b">
        <v>1</v>
      </c>
      <c r="M7" t="b">
        <v>0</v>
      </c>
    </row>
    <row r="8">
      <c r="A8" t="inlineStr">
        <is>
          <t>港股</t>
        </is>
      </c>
      <c r="B8" t="inlineStr">
        <is>
          <t>00001</t>
        </is>
      </c>
      <c r="C8" t="inlineStr">
        <is>
          <t>CKH HOLDINGS</t>
        </is>
      </c>
      <c r="D8" t="inlineStr">
        <is>
          <t>当年累计大宗交易笔数</t>
        </is>
      </c>
      <c r="E8" t="inlineStr">
        <is>
          <t>optional_missing</t>
        </is>
      </c>
      <c r="F8" t="inlineStr">
        <is>
          <t>当年累计大宗交易笔数：optional_missing</t>
        </is>
      </c>
      <c r="G8" t="b">
        <v>0</v>
      </c>
      <c r="H8" t="b">
        <v>1</v>
      </c>
      <c r="M8" t="b">
        <v>0</v>
      </c>
    </row>
    <row r="9">
      <c r="A9" t="inlineStr">
        <is>
          <t>港股</t>
        </is>
      </c>
      <c r="B9" t="inlineStr">
        <is>
          <t>00001</t>
        </is>
      </c>
      <c r="C9" t="inlineStr">
        <is>
          <t>CKH HOLDINGS</t>
        </is>
      </c>
      <c r="D9" t="inlineStr">
        <is>
          <t>当年累计大宗交易金额</t>
        </is>
      </c>
      <c r="E9" t="inlineStr">
        <is>
          <t>optional_missing</t>
        </is>
      </c>
      <c r="F9" t="inlineStr">
        <is>
          <t>当年累计大宗交易金额：optional_missing</t>
        </is>
      </c>
      <c r="G9" t="b">
        <v>0</v>
      </c>
      <c r="H9" t="b">
        <v>1</v>
      </c>
      <c r="M9" t="b">
        <v>0</v>
      </c>
    </row>
    <row r="10">
      <c r="A10" t="inlineStr">
        <is>
          <t>港股</t>
        </is>
      </c>
      <c r="B10" t="inlineStr">
        <is>
          <t>00001</t>
        </is>
      </c>
      <c r="C10" t="inlineStr">
        <is>
          <t>CKH HOLDINGS</t>
        </is>
      </c>
      <c r="D10" t="inlineStr">
        <is>
          <t>近五个交易日资金净额</t>
        </is>
      </c>
      <c r="E10" t="inlineStr">
        <is>
          <t>optional_missing</t>
        </is>
      </c>
      <c r="F10" t="inlineStr">
        <is>
          <t>近五个交易日资金净额：optional_missing</t>
        </is>
      </c>
      <c r="G10" t="b">
        <v>0</v>
      </c>
      <c r="H10" t="b">
        <v>1</v>
      </c>
      <c r="M10" t="b">
        <v>0</v>
      </c>
    </row>
    <row r="11">
      <c r="A11" t="inlineStr">
        <is>
          <t>港股</t>
        </is>
      </c>
      <c r="B11" t="inlineStr">
        <is>
          <t>00001</t>
        </is>
      </c>
      <c r="C11" t="inlineStr">
        <is>
          <t>CKH HOLDINGS</t>
        </is>
      </c>
      <c r="D11" t="inlineStr">
        <is>
          <t>近一月资金净额（最近22个交易日）</t>
        </is>
      </c>
      <c r="E11" t="inlineStr">
        <is>
          <t>optional_missing</t>
        </is>
      </c>
      <c r="F11" t="inlineStr">
        <is>
          <t>近一月资金净额（最近22个交易日）：optional_missing</t>
        </is>
      </c>
      <c r="G11" t="b">
        <v>0</v>
      </c>
      <c r="H11" t="b">
        <v>1</v>
      </c>
      <c r="M11" t="b">
        <v>0</v>
      </c>
    </row>
    <row r="12">
      <c r="A12" t="inlineStr">
        <is>
          <t>港股</t>
        </is>
      </c>
      <c r="B12" t="inlineStr">
        <is>
          <t>00002</t>
        </is>
      </c>
      <c r="C12" t="inlineStr">
        <is>
          <t>CLP HOLDINGS</t>
        </is>
      </c>
      <c r="D12" t="inlineStr">
        <is>
          <t>大宗交易</t>
        </is>
      </c>
      <c r="E12" t="inlineStr">
        <is>
          <t>optional_missing</t>
        </is>
      </c>
      <c r="F12" t="inlineStr">
        <is>
          <t>港股大宗交易按允许缺失规则留空</t>
        </is>
      </c>
      <c r="G12" t="b">
        <v>0</v>
      </c>
      <c r="H12" t="b">
        <v>1</v>
      </c>
      <c r="I12" t="inlineStr">
        <is>
          <t>东方财富</t>
        </is>
      </c>
      <c r="J12" t="inlineStr">
        <is>
          <t>东方财富</t>
        </is>
      </c>
      <c r="K12" t="inlineStr">
        <is>
          <t>not-applicable-hk</t>
        </is>
      </c>
      <c r="L12" s="32" t="n">
        <v>46263.26219327581</v>
      </c>
      <c r="M12" t="b">
        <v>0</v>
      </c>
    </row>
    <row r="13">
      <c r="A13" t="inlineStr">
        <is>
          <t>港股</t>
        </is>
      </c>
      <c r="B13" t="inlineStr">
        <is>
          <t>00002</t>
        </is>
      </c>
      <c r="C13" t="inlineStr">
        <is>
          <t>CLP HOLDINGS</t>
        </is>
      </c>
      <c r="D13" t="inlineStr">
        <is>
          <t>资金流</t>
        </is>
      </c>
      <c r="E13" t="inlineStr">
        <is>
          <t>optional_missing</t>
        </is>
      </c>
      <c r="F13" t="inlineStr">
        <is>
          <t>快速模式未发现可靠的批量近五个交易日同口径字段，为避免逐股慢请求，本次留空</t>
        </is>
      </c>
      <c r="G13" t="b">
        <v>0</v>
      </c>
      <c r="H13" t="b">
        <v>1</v>
      </c>
      <c r="I13" t="inlineStr">
        <is>
          <t>东方财富</t>
        </is>
      </c>
      <c r="J13" t="inlineStr">
        <is>
          <t>东方财富</t>
        </is>
      </c>
      <c r="K13" t="inlineStr">
        <is>
          <t>fast-mode-no-reliable-batch-endpoint</t>
        </is>
      </c>
      <c r="L13" s="32" t="n">
        <v>46263.26220507397</v>
      </c>
      <c r="M13" t="b">
        <v>0</v>
      </c>
    </row>
    <row r="14">
      <c r="A14" t="inlineStr">
        <is>
          <t>港股</t>
        </is>
      </c>
      <c r="B14" t="inlineStr">
        <is>
          <t>00002</t>
        </is>
      </c>
      <c r="C14" t="inlineStr">
        <is>
          <t>CLP HOLDINGS</t>
        </is>
      </c>
      <c r="D14" t="inlineStr">
        <is>
          <t>市值增长率</t>
        </is>
      </c>
      <c r="E14" t="inlineStr">
        <is>
          <t>missing</t>
        </is>
      </c>
      <c r="F14" t="inlineStr">
        <is>
          <t>市值增长率：missing</t>
        </is>
      </c>
      <c r="G14" t="b">
        <v>0</v>
      </c>
      <c r="H14" t="b">
        <v>1</v>
      </c>
      <c r="M14" t="b">
        <v>0</v>
      </c>
    </row>
    <row r="15">
      <c r="A15" t="inlineStr">
        <is>
          <t>港股</t>
        </is>
      </c>
      <c r="B15" t="inlineStr">
        <is>
          <t>00002</t>
        </is>
      </c>
      <c r="C15" t="inlineStr">
        <is>
          <t>CLP HOLDINGS</t>
        </is>
      </c>
      <c r="D15" t="inlineStr">
        <is>
          <t>发行价</t>
        </is>
      </c>
      <c r="E15" t="inlineStr">
        <is>
          <t>optional_missing</t>
        </is>
      </c>
      <c r="F15" t="inlineStr">
        <is>
          <t>发行价：optional_missing</t>
        </is>
      </c>
      <c r="G15" t="b">
        <v>0</v>
      </c>
      <c r="H15" t="b">
        <v>1</v>
      </c>
      <c r="M15" t="b">
        <v>0</v>
      </c>
    </row>
    <row r="16">
      <c r="A16" t="inlineStr">
        <is>
          <t>港股</t>
        </is>
      </c>
      <c r="B16" t="inlineStr">
        <is>
          <t>00002</t>
        </is>
      </c>
      <c r="C16" t="inlineStr">
        <is>
          <t>CLP HOLDINGS</t>
        </is>
      </c>
      <c r="D16" t="inlineStr">
        <is>
          <t>发行股数</t>
        </is>
      </c>
      <c r="E16" t="inlineStr">
        <is>
          <t>optional_missing</t>
        </is>
      </c>
      <c r="F16" t="inlineStr">
        <is>
          <t>发行股数：optional_missing</t>
        </is>
      </c>
      <c r="G16" t="b">
        <v>0</v>
      </c>
      <c r="H16" t="b">
        <v>1</v>
      </c>
      <c r="M16" t="b">
        <v>0</v>
      </c>
    </row>
    <row r="17">
      <c r="A17" t="inlineStr">
        <is>
          <t>港股</t>
        </is>
      </c>
      <c r="B17" t="inlineStr">
        <is>
          <t>00002</t>
        </is>
      </c>
      <c r="C17" t="inlineStr">
        <is>
          <t>CLP HOLDINGS</t>
        </is>
      </c>
      <c r="D17" t="inlineStr">
        <is>
          <t>发行时总市值</t>
        </is>
      </c>
      <c r="E17" t="inlineStr">
        <is>
          <t>optional_missing</t>
        </is>
      </c>
      <c r="F17" t="inlineStr">
        <is>
          <t>发行时总市值：optional_missing</t>
        </is>
      </c>
      <c r="G17" t="b">
        <v>0</v>
      </c>
      <c r="H17" t="b">
        <v>1</v>
      </c>
      <c r="M17" t="b">
        <v>0</v>
      </c>
    </row>
    <row r="18">
      <c r="A18" t="inlineStr">
        <is>
          <t>港股</t>
        </is>
      </c>
      <c r="B18" t="inlineStr">
        <is>
          <t>00002</t>
        </is>
      </c>
      <c r="C18" t="inlineStr">
        <is>
          <t>CLP HOLDINGS</t>
        </is>
      </c>
      <c r="D18" t="inlineStr">
        <is>
          <t>当年累计大宗交易笔数</t>
        </is>
      </c>
      <c r="E18" t="inlineStr">
        <is>
          <t>optional_missing</t>
        </is>
      </c>
      <c r="F18" t="inlineStr">
        <is>
          <t>当年累计大宗交易笔数：optional_missing</t>
        </is>
      </c>
      <c r="G18" t="b">
        <v>0</v>
      </c>
      <c r="H18" t="b">
        <v>1</v>
      </c>
      <c r="M18" t="b">
        <v>0</v>
      </c>
    </row>
    <row r="19">
      <c r="A19" t="inlineStr">
        <is>
          <t>港股</t>
        </is>
      </c>
      <c r="B19" t="inlineStr">
        <is>
          <t>00002</t>
        </is>
      </c>
      <c r="C19" t="inlineStr">
        <is>
          <t>CLP HOLDINGS</t>
        </is>
      </c>
      <c r="D19" t="inlineStr">
        <is>
          <t>当年累计大宗交易金额</t>
        </is>
      </c>
      <c r="E19" t="inlineStr">
        <is>
          <t>optional_missing</t>
        </is>
      </c>
      <c r="F19" t="inlineStr">
        <is>
          <t>当年累计大宗交易金额：optional_missing</t>
        </is>
      </c>
      <c r="G19" t="b">
        <v>0</v>
      </c>
      <c r="H19" t="b">
        <v>1</v>
      </c>
      <c r="M19" t="b">
        <v>0</v>
      </c>
    </row>
    <row r="20">
      <c r="A20" t="inlineStr">
        <is>
          <t>港股</t>
        </is>
      </c>
      <c r="B20" t="inlineStr">
        <is>
          <t>00002</t>
        </is>
      </c>
      <c r="C20" t="inlineStr">
        <is>
          <t>CLP HOLDINGS</t>
        </is>
      </c>
      <c r="D20" t="inlineStr">
        <is>
          <t>近五个交易日资金净额</t>
        </is>
      </c>
      <c r="E20" t="inlineStr">
        <is>
          <t>optional_missing</t>
        </is>
      </c>
      <c r="F20" t="inlineStr">
        <is>
          <t>近五个交易日资金净额：optional_missing</t>
        </is>
      </c>
      <c r="G20" t="b">
        <v>0</v>
      </c>
      <c r="H20" t="b">
        <v>1</v>
      </c>
      <c r="M20" t="b">
        <v>0</v>
      </c>
    </row>
    <row r="21">
      <c r="A21" t="inlineStr">
        <is>
          <t>港股</t>
        </is>
      </c>
      <c r="B21" t="inlineStr">
        <is>
          <t>00002</t>
        </is>
      </c>
      <c r="C21" t="inlineStr">
        <is>
          <t>CLP HOLDINGS</t>
        </is>
      </c>
      <c r="D21" t="inlineStr">
        <is>
          <t>近一月资金净额（最近22个交易日）</t>
        </is>
      </c>
      <c r="E21" t="inlineStr">
        <is>
          <t>optional_missing</t>
        </is>
      </c>
      <c r="F21" t="inlineStr">
        <is>
          <t>近一月资金净额（最近22个交易日）：optional_missing</t>
        </is>
      </c>
      <c r="G21" t="b">
        <v>0</v>
      </c>
      <c r="H21" t="b">
        <v>1</v>
      </c>
      <c r="M21" t="b">
        <v>0</v>
      </c>
    </row>
    <row r="22">
      <c r="A22" t="inlineStr">
        <is>
          <t>港股</t>
        </is>
      </c>
      <c r="B22" t="inlineStr">
        <is>
          <t>00003</t>
        </is>
      </c>
      <c r="C22" t="inlineStr">
        <is>
          <t>HK &amp; CHINA GAS</t>
        </is>
      </c>
      <c r="D22" t="inlineStr">
        <is>
          <t>大宗交易</t>
        </is>
      </c>
      <c r="E22" t="inlineStr">
        <is>
          <t>optional_missing</t>
        </is>
      </c>
      <c r="F22" t="inlineStr">
        <is>
          <t>港股大宗交易按允许缺失规则留空</t>
        </is>
      </c>
      <c r="G22" t="b">
        <v>0</v>
      </c>
      <c r="H22" t="b">
        <v>1</v>
      </c>
      <c r="I22" t="inlineStr">
        <is>
          <t>东方财富</t>
        </is>
      </c>
      <c r="J22" t="inlineStr">
        <is>
          <t>东方财富</t>
        </is>
      </c>
      <c r="K22" t="inlineStr">
        <is>
          <t>not-applicable-hk</t>
        </is>
      </c>
      <c r="L22" s="32" t="n">
        <v>46263.26219327581</v>
      </c>
      <c r="M22" t="b">
        <v>0</v>
      </c>
    </row>
    <row r="23">
      <c r="A23" t="inlineStr">
        <is>
          <t>港股</t>
        </is>
      </c>
      <c r="B23" t="inlineStr">
        <is>
          <t>00003</t>
        </is>
      </c>
      <c r="C23" t="inlineStr">
        <is>
          <t>HK &amp; CHINA GAS</t>
        </is>
      </c>
      <c r="D23" t="inlineStr">
        <is>
          <t>资金流</t>
        </is>
      </c>
      <c r="E23" t="inlineStr">
        <is>
          <t>optional_missing</t>
        </is>
      </c>
      <c r="F23" t="inlineStr">
        <is>
          <t>快速模式未发现可靠的批量近五个交易日同口径字段，为避免逐股慢请求，本次留空</t>
        </is>
      </c>
      <c r="G23" t="b">
        <v>0</v>
      </c>
      <c r="H23" t="b">
        <v>1</v>
      </c>
      <c r="I23" t="inlineStr">
        <is>
          <t>东方财富</t>
        </is>
      </c>
      <c r="J23" t="inlineStr">
        <is>
          <t>东方财富</t>
        </is>
      </c>
      <c r="K23" t="inlineStr">
        <is>
          <t>fast-mode-no-reliable-batch-endpoint</t>
        </is>
      </c>
      <c r="L23" s="32" t="n">
        <v>46263.26220507397</v>
      </c>
      <c r="M23" t="b">
        <v>0</v>
      </c>
    </row>
    <row r="24">
      <c r="A24" t="inlineStr">
        <is>
          <t>港股</t>
        </is>
      </c>
      <c r="B24" t="inlineStr">
        <is>
          <t>00003</t>
        </is>
      </c>
      <c r="C24" t="inlineStr">
        <is>
          <t>HK &amp; CHINA GAS</t>
        </is>
      </c>
      <c r="D24" t="inlineStr">
        <is>
          <t>市值增长率</t>
        </is>
      </c>
      <c r="E24" t="inlineStr">
        <is>
          <t>missing</t>
        </is>
      </c>
      <c r="F24" t="inlineStr">
        <is>
          <t>市值增长率：missing</t>
        </is>
      </c>
      <c r="G24" t="b">
        <v>0</v>
      </c>
      <c r="H24" t="b">
        <v>1</v>
      </c>
      <c r="M24" t="b">
        <v>0</v>
      </c>
    </row>
    <row r="25">
      <c r="A25" t="inlineStr">
        <is>
          <t>港股</t>
        </is>
      </c>
      <c r="B25" t="inlineStr">
        <is>
          <t>00003</t>
        </is>
      </c>
      <c r="C25" t="inlineStr">
        <is>
          <t>HK &amp; CHINA GAS</t>
        </is>
      </c>
      <c r="D25" t="inlineStr">
        <is>
          <t>发行价</t>
        </is>
      </c>
      <c r="E25" t="inlineStr">
        <is>
          <t>optional_missing</t>
        </is>
      </c>
      <c r="F25" t="inlineStr">
        <is>
          <t>发行价：optional_missing</t>
        </is>
      </c>
      <c r="G25" t="b">
        <v>0</v>
      </c>
      <c r="H25" t="b">
        <v>1</v>
      </c>
      <c r="M25" t="b">
        <v>0</v>
      </c>
    </row>
    <row r="26">
      <c r="A26" t="inlineStr">
        <is>
          <t>港股</t>
        </is>
      </c>
      <c r="B26" t="inlineStr">
        <is>
          <t>00003</t>
        </is>
      </c>
      <c r="C26" t="inlineStr">
        <is>
          <t>HK &amp; CHINA GAS</t>
        </is>
      </c>
      <c r="D26" t="inlineStr">
        <is>
          <t>发行股数</t>
        </is>
      </c>
      <c r="E26" t="inlineStr">
        <is>
          <t>optional_missing</t>
        </is>
      </c>
      <c r="F26" t="inlineStr">
        <is>
          <t>发行股数：optional_missing</t>
        </is>
      </c>
      <c r="G26" t="b">
        <v>0</v>
      </c>
      <c r="H26" t="b">
        <v>1</v>
      </c>
      <c r="M26" t="b">
        <v>0</v>
      </c>
    </row>
    <row r="27">
      <c r="A27" t="inlineStr">
        <is>
          <t>港股</t>
        </is>
      </c>
      <c r="B27" t="inlineStr">
        <is>
          <t>00003</t>
        </is>
      </c>
      <c r="C27" t="inlineStr">
        <is>
          <t>HK &amp; CHINA GAS</t>
        </is>
      </c>
      <c r="D27" t="inlineStr">
        <is>
          <t>发行时总市值</t>
        </is>
      </c>
      <c r="E27" t="inlineStr">
        <is>
          <t>optional_missing</t>
        </is>
      </c>
      <c r="F27" t="inlineStr">
        <is>
          <t>发行时总市值：optional_missing</t>
        </is>
      </c>
      <c r="G27" t="b">
        <v>0</v>
      </c>
      <c r="H27" t="b">
        <v>1</v>
      </c>
      <c r="M27" t="b">
        <v>0</v>
      </c>
    </row>
    <row r="28">
      <c r="A28" t="inlineStr">
        <is>
          <t>港股</t>
        </is>
      </c>
      <c r="B28" t="inlineStr">
        <is>
          <t>00003</t>
        </is>
      </c>
      <c r="C28" t="inlineStr">
        <is>
          <t>HK &amp; CHINA GAS</t>
        </is>
      </c>
      <c r="D28" t="inlineStr">
        <is>
          <t>当年累计大宗交易笔数</t>
        </is>
      </c>
      <c r="E28" t="inlineStr">
        <is>
          <t>optional_missing</t>
        </is>
      </c>
      <c r="F28" t="inlineStr">
        <is>
          <t>当年累计大宗交易笔数：optional_missing</t>
        </is>
      </c>
      <c r="G28" t="b">
        <v>0</v>
      </c>
      <c r="H28" t="b">
        <v>1</v>
      </c>
      <c r="M28" t="b">
        <v>0</v>
      </c>
    </row>
    <row r="29">
      <c r="A29" t="inlineStr">
        <is>
          <t>港股</t>
        </is>
      </c>
      <c r="B29" t="inlineStr">
        <is>
          <t>00003</t>
        </is>
      </c>
      <c r="C29" t="inlineStr">
        <is>
          <t>HK &amp; CHINA GAS</t>
        </is>
      </c>
      <c r="D29" t="inlineStr">
        <is>
          <t>当年累计大宗交易金额</t>
        </is>
      </c>
      <c r="E29" t="inlineStr">
        <is>
          <t>optional_missing</t>
        </is>
      </c>
      <c r="F29" t="inlineStr">
        <is>
          <t>当年累计大宗交易金额：optional_missing</t>
        </is>
      </c>
      <c r="G29" t="b">
        <v>0</v>
      </c>
      <c r="H29" t="b">
        <v>1</v>
      </c>
      <c r="M29" t="b">
        <v>0</v>
      </c>
    </row>
    <row r="30">
      <c r="A30" t="inlineStr">
        <is>
          <t>港股</t>
        </is>
      </c>
      <c r="B30" t="inlineStr">
        <is>
          <t>00003</t>
        </is>
      </c>
      <c r="C30" t="inlineStr">
        <is>
          <t>HK &amp; CHINA GAS</t>
        </is>
      </c>
      <c r="D30" t="inlineStr">
        <is>
          <t>近五个交易日资金净额</t>
        </is>
      </c>
      <c r="E30" t="inlineStr">
        <is>
          <t>optional_missing</t>
        </is>
      </c>
      <c r="F30" t="inlineStr">
        <is>
          <t>近五个交易日资金净额：optional_missing</t>
        </is>
      </c>
      <c r="G30" t="b">
        <v>0</v>
      </c>
      <c r="H30" t="b">
        <v>1</v>
      </c>
      <c r="M30" t="b">
        <v>0</v>
      </c>
    </row>
    <row r="31">
      <c r="A31" t="inlineStr">
        <is>
          <t>港股</t>
        </is>
      </c>
      <c r="B31" t="inlineStr">
        <is>
          <t>00003</t>
        </is>
      </c>
      <c r="C31" t="inlineStr">
        <is>
          <t>HK &amp; CHINA GAS</t>
        </is>
      </c>
      <c r="D31" t="inlineStr">
        <is>
          <t>近一月资金净额（最近22个交易日）</t>
        </is>
      </c>
      <c r="E31" t="inlineStr">
        <is>
          <t>optional_missing</t>
        </is>
      </c>
      <c r="F31" t="inlineStr">
        <is>
          <t>近一月资金净额（最近22个交易日）：optional_missing</t>
        </is>
      </c>
      <c r="G31" t="b">
        <v>0</v>
      </c>
      <c r="H31" t="b">
        <v>1</v>
      </c>
      <c r="M31" t="b">
        <v>0</v>
      </c>
    </row>
    <row r="32">
      <c r="A32" t="inlineStr">
        <is>
          <t>港股</t>
        </is>
      </c>
      <c r="B32" t="inlineStr">
        <is>
          <t>00004</t>
        </is>
      </c>
      <c r="C32" t="inlineStr">
        <is>
          <t>WHARF HOLDINGS</t>
        </is>
      </c>
      <c r="D32" t="inlineStr">
        <is>
          <t>大宗交易</t>
        </is>
      </c>
      <c r="E32" t="inlineStr">
        <is>
          <t>optional_missing</t>
        </is>
      </c>
      <c r="F32" t="inlineStr">
        <is>
          <t>港股大宗交易按允许缺失规则留空</t>
        </is>
      </c>
      <c r="G32" t="b">
        <v>0</v>
      </c>
      <c r="H32" t="b">
        <v>1</v>
      </c>
      <c r="I32" t="inlineStr">
        <is>
          <t>东方财富</t>
        </is>
      </c>
      <c r="J32" t="inlineStr">
        <is>
          <t>东方财富</t>
        </is>
      </c>
      <c r="K32" t="inlineStr">
        <is>
          <t>not-applicable-hk</t>
        </is>
      </c>
      <c r="L32" s="32" t="n">
        <v>46263.26219327581</v>
      </c>
      <c r="M32" t="b">
        <v>0</v>
      </c>
    </row>
    <row r="33">
      <c r="A33" t="inlineStr">
        <is>
          <t>港股</t>
        </is>
      </c>
      <c r="B33" t="inlineStr">
        <is>
          <t>00004</t>
        </is>
      </c>
      <c r="C33" t="inlineStr">
        <is>
          <t>WHARF HOLDINGS</t>
        </is>
      </c>
      <c r="D33" t="inlineStr">
        <is>
          <t>资金流</t>
        </is>
      </c>
      <c r="E33" t="inlineStr">
        <is>
          <t>optional_missing</t>
        </is>
      </c>
      <c r="F33" t="inlineStr">
        <is>
          <t>快速模式未发现可靠的批量近五个交易日同口径字段，为避免逐股慢请求，本次留空</t>
        </is>
      </c>
      <c r="G33" t="b">
        <v>0</v>
      </c>
      <c r="H33" t="b">
        <v>1</v>
      </c>
      <c r="I33" t="inlineStr">
        <is>
          <t>东方财富</t>
        </is>
      </c>
      <c r="J33" t="inlineStr">
        <is>
          <t>东方财富</t>
        </is>
      </c>
      <c r="K33" t="inlineStr">
        <is>
          <t>fast-mode-no-reliable-batch-endpoint</t>
        </is>
      </c>
      <c r="L33" s="32" t="n">
        <v>46263.26220507397</v>
      </c>
      <c r="M33" t="b">
        <v>0</v>
      </c>
    </row>
    <row r="34">
      <c r="A34" t="inlineStr">
        <is>
          <t>港股</t>
        </is>
      </c>
      <c r="B34" t="inlineStr">
        <is>
          <t>00004</t>
        </is>
      </c>
      <c r="C34" t="inlineStr">
        <is>
          <t>WHARF HOLDINGS</t>
        </is>
      </c>
      <c r="D34" t="inlineStr">
        <is>
          <t>市值增长率</t>
        </is>
      </c>
      <c r="E34" t="inlineStr">
        <is>
          <t>missing</t>
        </is>
      </c>
      <c r="F34" t="inlineStr">
        <is>
          <t>市值增长率：missing</t>
        </is>
      </c>
      <c r="G34" t="b">
        <v>0</v>
      </c>
      <c r="H34" t="b">
        <v>1</v>
      </c>
      <c r="M34" t="b">
        <v>0</v>
      </c>
    </row>
    <row r="35">
      <c r="A35" t="inlineStr">
        <is>
          <t>港股</t>
        </is>
      </c>
      <c r="B35" t="inlineStr">
        <is>
          <t>00004</t>
        </is>
      </c>
      <c r="C35" t="inlineStr">
        <is>
          <t>WHARF HOLDINGS</t>
        </is>
      </c>
      <c r="D35" t="inlineStr">
        <is>
          <t>发行价</t>
        </is>
      </c>
      <c r="E35" t="inlineStr">
        <is>
          <t>optional_missing</t>
        </is>
      </c>
      <c r="F35" t="inlineStr">
        <is>
          <t>发行价：optional_missing</t>
        </is>
      </c>
      <c r="G35" t="b">
        <v>0</v>
      </c>
      <c r="H35" t="b">
        <v>1</v>
      </c>
      <c r="M35" t="b">
        <v>0</v>
      </c>
    </row>
    <row r="36">
      <c r="A36" t="inlineStr">
        <is>
          <t>港股</t>
        </is>
      </c>
      <c r="B36" t="inlineStr">
        <is>
          <t>00004</t>
        </is>
      </c>
      <c r="C36" t="inlineStr">
        <is>
          <t>WHARF HOLDINGS</t>
        </is>
      </c>
      <c r="D36" t="inlineStr">
        <is>
          <t>发行股数</t>
        </is>
      </c>
      <c r="E36" t="inlineStr">
        <is>
          <t>optional_missing</t>
        </is>
      </c>
      <c r="F36" t="inlineStr">
        <is>
          <t>发行股数：optional_missing</t>
        </is>
      </c>
      <c r="G36" t="b">
        <v>0</v>
      </c>
      <c r="H36" t="b">
        <v>1</v>
      </c>
      <c r="M36" t="b">
        <v>0</v>
      </c>
    </row>
    <row r="37">
      <c r="A37" t="inlineStr">
        <is>
          <t>港股</t>
        </is>
      </c>
      <c r="B37" t="inlineStr">
        <is>
          <t>00004</t>
        </is>
      </c>
      <c r="C37" t="inlineStr">
        <is>
          <t>WHARF HOLDINGS</t>
        </is>
      </c>
      <c r="D37" t="inlineStr">
        <is>
          <t>发行时总市值</t>
        </is>
      </c>
      <c r="E37" t="inlineStr">
        <is>
          <t>optional_missing</t>
        </is>
      </c>
      <c r="F37" t="inlineStr">
        <is>
          <t>发行时总市值：optional_missing</t>
        </is>
      </c>
      <c r="G37" t="b">
        <v>0</v>
      </c>
      <c r="H37" t="b">
        <v>1</v>
      </c>
      <c r="M37" t="b">
        <v>0</v>
      </c>
    </row>
    <row r="38">
      <c r="A38" t="inlineStr">
        <is>
          <t>港股</t>
        </is>
      </c>
      <c r="B38" t="inlineStr">
        <is>
          <t>00004</t>
        </is>
      </c>
      <c r="C38" t="inlineStr">
        <is>
          <t>WHARF HOLDINGS</t>
        </is>
      </c>
      <c r="D38" t="inlineStr">
        <is>
          <t>当年累计大宗交易笔数</t>
        </is>
      </c>
      <c r="E38" t="inlineStr">
        <is>
          <t>optional_missing</t>
        </is>
      </c>
      <c r="F38" t="inlineStr">
        <is>
          <t>当年累计大宗交易笔数：optional_missing</t>
        </is>
      </c>
      <c r="G38" t="b">
        <v>0</v>
      </c>
      <c r="H38" t="b">
        <v>1</v>
      </c>
      <c r="M38" t="b">
        <v>0</v>
      </c>
    </row>
    <row r="39">
      <c r="A39" t="inlineStr">
        <is>
          <t>港股</t>
        </is>
      </c>
      <c r="B39" t="inlineStr">
        <is>
          <t>00004</t>
        </is>
      </c>
      <c r="C39" t="inlineStr">
        <is>
          <t>WHARF HOLDINGS</t>
        </is>
      </c>
      <c r="D39" t="inlineStr">
        <is>
          <t>当年累计大宗交易金额</t>
        </is>
      </c>
      <c r="E39" t="inlineStr">
        <is>
          <t>optional_missing</t>
        </is>
      </c>
      <c r="F39" t="inlineStr">
        <is>
          <t>当年累计大宗交易金额：optional_missing</t>
        </is>
      </c>
      <c r="G39" t="b">
        <v>0</v>
      </c>
      <c r="H39" t="b">
        <v>1</v>
      </c>
      <c r="M39" t="b">
        <v>0</v>
      </c>
    </row>
    <row r="40">
      <c r="A40" t="inlineStr">
        <is>
          <t>港股</t>
        </is>
      </c>
      <c r="B40" t="inlineStr">
        <is>
          <t>00004</t>
        </is>
      </c>
      <c r="C40" t="inlineStr">
        <is>
          <t>WHARF HOLDINGS</t>
        </is>
      </c>
      <c r="D40" t="inlineStr">
        <is>
          <t>近五个交易日资金净额</t>
        </is>
      </c>
      <c r="E40" t="inlineStr">
        <is>
          <t>optional_missing</t>
        </is>
      </c>
      <c r="F40" t="inlineStr">
        <is>
          <t>近五个交易日资金净额：optional_missing</t>
        </is>
      </c>
      <c r="G40" t="b">
        <v>0</v>
      </c>
      <c r="H40" t="b">
        <v>1</v>
      </c>
      <c r="M40" t="b">
        <v>0</v>
      </c>
    </row>
    <row r="41">
      <c r="A41" t="inlineStr">
        <is>
          <t>港股</t>
        </is>
      </c>
      <c r="B41" t="inlineStr">
        <is>
          <t>00004</t>
        </is>
      </c>
      <c r="C41" t="inlineStr">
        <is>
          <t>WHARF HOLDINGS</t>
        </is>
      </c>
      <c r="D41" t="inlineStr">
        <is>
          <t>近一月资金净额（最近22个交易日）</t>
        </is>
      </c>
      <c r="E41" t="inlineStr">
        <is>
          <t>optional_missing</t>
        </is>
      </c>
      <c r="F41" t="inlineStr">
        <is>
          <t>近一月资金净额（最近22个交易日）：optional_missing</t>
        </is>
      </c>
      <c r="G41" t="b">
        <v>0</v>
      </c>
      <c r="H41" t="b">
        <v>1</v>
      </c>
      <c r="M41" t="b">
        <v>0</v>
      </c>
    </row>
    <row r="42">
      <c r="A42" t="inlineStr">
        <is>
          <t>港股</t>
        </is>
      </c>
      <c r="B42" t="inlineStr">
        <is>
          <t>00005</t>
        </is>
      </c>
      <c r="C42" t="inlineStr">
        <is>
          <t>HSBC HOLDINGS</t>
        </is>
      </c>
      <c r="D42" t="inlineStr">
        <is>
          <t>大宗交易</t>
        </is>
      </c>
      <c r="E42" t="inlineStr">
        <is>
          <t>optional_missing</t>
        </is>
      </c>
      <c r="F42" t="inlineStr">
        <is>
          <t>港股大宗交易按允许缺失规则留空</t>
        </is>
      </c>
      <c r="G42" t="b">
        <v>0</v>
      </c>
      <c r="H42" t="b">
        <v>1</v>
      </c>
      <c r="I42" t="inlineStr">
        <is>
          <t>东方财富</t>
        </is>
      </c>
      <c r="J42" t="inlineStr">
        <is>
          <t>东方财富</t>
        </is>
      </c>
      <c r="K42" t="inlineStr">
        <is>
          <t>not-applicable-hk</t>
        </is>
      </c>
      <c r="L42" s="32" t="n">
        <v>46263.26219327581</v>
      </c>
      <c r="M42" t="b">
        <v>0</v>
      </c>
    </row>
    <row r="43">
      <c r="A43" t="inlineStr">
        <is>
          <t>港股</t>
        </is>
      </c>
      <c r="B43" t="inlineStr">
        <is>
          <t>00005</t>
        </is>
      </c>
      <c r="C43" t="inlineStr">
        <is>
          <t>HSBC HOLDINGS</t>
        </is>
      </c>
      <c r="D43" t="inlineStr">
        <is>
          <t>资金流</t>
        </is>
      </c>
      <c r="E43" t="inlineStr">
        <is>
          <t>optional_missing</t>
        </is>
      </c>
      <c r="F43" t="inlineStr">
        <is>
          <t>快速模式未发现可靠的批量近五个交易日同口径字段，为避免逐股慢请求，本次留空</t>
        </is>
      </c>
      <c r="G43" t="b">
        <v>0</v>
      </c>
      <c r="H43" t="b">
        <v>1</v>
      </c>
      <c r="I43" t="inlineStr">
        <is>
          <t>东方财富</t>
        </is>
      </c>
      <c r="J43" t="inlineStr">
        <is>
          <t>东方财富</t>
        </is>
      </c>
      <c r="K43" t="inlineStr">
        <is>
          <t>fast-mode-no-reliable-batch-endpoint</t>
        </is>
      </c>
      <c r="L43" s="32" t="n">
        <v>46263.26220507397</v>
      </c>
      <c r="M43" t="b">
        <v>0</v>
      </c>
    </row>
    <row r="44">
      <c r="A44" t="inlineStr">
        <is>
          <t>港股</t>
        </is>
      </c>
      <c r="B44" t="inlineStr">
        <is>
          <t>00005</t>
        </is>
      </c>
      <c r="C44" t="inlineStr">
        <is>
          <t>HSBC HOLDINGS</t>
        </is>
      </c>
      <c r="D44" t="inlineStr">
        <is>
          <t>毛利率</t>
        </is>
      </c>
      <c r="E44" t="inlineStr">
        <is>
          <t>missing</t>
        </is>
      </c>
      <c r="F44" t="inlineStr">
        <is>
          <t>毛利率：missing</t>
        </is>
      </c>
      <c r="G44" t="b">
        <v>0</v>
      </c>
      <c r="H44" t="b">
        <v>0</v>
      </c>
      <c r="M44" t="b">
        <v>0</v>
      </c>
    </row>
    <row r="45">
      <c r="A45" t="inlineStr">
        <is>
          <t>港股</t>
        </is>
      </c>
      <c r="B45" t="inlineStr">
        <is>
          <t>00005</t>
        </is>
      </c>
      <c r="C45" t="inlineStr">
        <is>
          <t>HSBC HOLDINGS</t>
        </is>
      </c>
      <c r="D45" t="inlineStr">
        <is>
          <t>毛利率同比变化（百分点）</t>
        </is>
      </c>
      <c r="E45" t="inlineStr">
        <is>
          <t>missing</t>
        </is>
      </c>
      <c r="F45" t="inlineStr">
        <is>
          <t>毛利率同比变化（百分点）：missing</t>
        </is>
      </c>
      <c r="G45" t="b">
        <v>0</v>
      </c>
      <c r="H45" t="b">
        <v>0</v>
      </c>
      <c r="M45" t="b">
        <v>0</v>
      </c>
    </row>
    <row r="46">
      <c r="A46" t="inlineStr">
        <is>
          <t>港股</t>
        </is>
      </c>
      <c r="B46" t="inlineStr">
        <is>
          <t>00005</t>
        </is>
      </c>
      <c r="C46" t="inlineStr">
        <is>
          <t>HSBC HOLDINGS</t>
        </is>
      </c>
      <c r="D46" t="inlineStr">
        <is>
          <t>毛利率三年变化（百分点）</t>
        </is>
      </c>
      <c r="E46" t="inlineStr">
        <is>
          <t>missing</t>
        </is>
      </c>
      <c r="F46" t="inlineStr">
        <is>
          <t>毛利率三年变化（百分点）：missing</t>
        </is>
      </c>
      <c r="G46" t="b">
        <v>0</v>
      </c>
      <c r="H46" t="b">
        <v>0</v>
      </c>
      <c r="M46" t="b">
        <v>0</v>
      </c>
    </row>
    <row r="47">
      <c r="A47" t="inlineStr">
        <is>
          <t>港股</t>
        </is>
      </c>
      <c r="B47" t="inlineStr">
        <is>
          <t>00005</t>
        </is>
      </c>
      <c r="C47" t="inlineStr">
        <is>
          <t>HSBC HOLDINGS</t>
        </is>
      </c>
      <c r="D47" t="inlineStr">
        <is>
          <t>市值增长率</t>
        </is>
      </c>
      <c r="E47" t="inlineStr">
        <is>
          <t>missing</t>
        </is>
      </c>
      <c r="F47" t="inlineStr">
        <is>
          <t>市值增长率：missing</t>
        </is>
      </c>
      <c r="G47" t="b">
        <v>0</v>
      </c>
      <c r="H47" t="b">
        <v>1</v>
      </c>
      <c r="M47" t="b">
        <v>0</v>
      </c>
    </row>
    <row r="48">
      <c r="A48" t="inlineStr">
        <is>
          <t>港股</t>
        </is>
      </c>
      <c r="B48" t="inlineStr">
        <is>
          <t>00005</t>
        </is>
      </c>
      <c r="C48" t="inlineStr">
        <is>
          <t>HSBC HOLDINGS</t>
        </is>
      </c>
      <c r="D48" t="inlineStr">
        <is>
          <t>发行价</t>
        </is>
      </c>
      <c r="E48" t="inlineStr">
        <is>
          <t>optional_missing</t>
        </is>
      </c>
      <c r="F48" t="inlineStr">
        <is>
          <t>发行价：optional_missing</t>
        </is>
      </c>
      <c r="G48" t="b">
        <v>0</v>
      </c>
      <c r="H48" t="b">
        <v>1</v>
      </c>
      <c r="M48" t="b">
        <v>0</v>
      </c>
    </row>
    <row r="49">
      <c r="A49" t="inlineStr">
        <is>
          <t>港股</t>
        </is>
      </c>
      <c r="B49" t="inlineStr">
        <is>
          <t>00005</t>
        </is>
      </c>
      <c r="C49" t="inlineStr">
        <is>
          <t>HSBC HOLDINGS</t>
        </is>
      </c>
      <c r="D49" t="inlineStr">
        <is>
          <t>发行股数</t>
        </is>
      </c>
      <c r="E49" t="inlineStr">
        <is>
          <t>optional_missing</t>
        </is>
      </c>
      <c r="F49" t="inlineStr">
        <is>
          <t>发行股数：optional_missing</t>
        </is>
      </c>
      <c r="G49" t="b">
        <v>0</v>
      </c>
      <c r="H49" t="b">
        <v>1</v>
      </c>
      <c r="M49" t="b">
        <v>0</v>
      </c>
    </row>
    <row r="50">
      <c r="A50" t="inlineStr">
        <is>
          <t>港股</t>
        </is>
      </c>
      <c r="B50" t="inlineStr">
        <is>
          <t>00005</t>
        </is>
      </c>
      <c r="C50" t="inlineStr">
        <is>
          <t>HSBC HOLDINGS</t>
        </is>
      </c>
      <c r="D50" t="inlineStr">
        <is>
          <t>发行时总市值</t>
        </is>
      </c>
      <c r="E50" t="inlineStr">
        <is>
          <t>optional_missing</t>
        </is>
      </c>
      <c r="F50" t="inlineStr">
        <is>
          <t>发行时总市值：optional_missing</t>
        </is>
      </c>
      <c r="G50" t="b">
        <v>0</v>
      </c>
      <c r="H50" t="b">
        <v>1</v>
      </c>
      <c r="M50" t="b">
        <v>0</v>
      </c>
    </row>
    <row r="51">
      <c r="A51" t="inlineStr">
        <is>
          <t>港股</t>
        </is>
      </c>
      <c r="B51" t="inlineStr">
        <is>
          <t>00005</t>
        </is>
      </c>
      <c r="C51" t="inlineStr">
        <is>
          <t>HSBC HOLDINGS</t>
        </is>
      </c>
      <c r="D51" t="inlineStr">
        <is>
          <t>当年累计大宗交易笔数</t>
        </is>
      </c>
      <c r="E51" t="inlineStr">
        <is>
          <t>optional_missing</t>
        </is>
      </c>
      <c r="F51" t="inlineStr">
        <is>
          <t>当年累计大宗交易笔数：optional_missing</t>
        </is>
      </c>
      <c r="G51" t="b">
        <v>0</v>
      </c>
      <c r="H51" t="b">
        <v>1</v>
      </c>
      <c r="M51" t="b">
        <v>0</v>
      </c>
    </row>
    <row r="52">
      <c r="A52" t="inlineStr">
        <is>
          <t>港股</t>
        </is>
      </c>
      <c r="B52" t="inlineStr">
        <is>
          <t>00005</t>
        </is>
      </c>
      <c r="C52" t="inlineStr">
        <is>
          <t>HSBC HOLDINGS</t>
        </is>
      </c>
      <c r="D52" t="inlineStr">
        <is>
          <t>当年累计大宗交易金额</t>
        </is>
      </c>
      <c r="E52" t="inlineStr">
        <is>
          <t>optional_missing</t>
        </is>
      </c>
      <c r="F52" t="inlineStr">
        <is>
          <t>当年累计大宗交易金额：optional_missing</t>
        </is>
      </c>
      <c r="G52" t="b">
        <v>0</v>
      </c>
      <c r="H52" t="b">
        <v>1</v>
      </c>
      <c r="M52" t="b">
        <v>0</v>
      </c>
    </row>
    <row r="53">
      <c r="A53" t="inlineStr">
        <is>
          <t>港股</t>
        </is>
      </c>
      <c r="B53" t="inlineStr">
        <is>
          <t>00005</t>
        </is>
      </c>
      <c r="C53" t="inlineStr">
        <is>
          <t>HSBC HOLDINGS</t>
        </is>
      </c>
      <c r="D53" t="inlineStr">
        <is>
          <t>近五个交易日资金净额</t>
        </is>
      </c>
      <c r="E53" t="inlineStr">
        <is>
          <t>optional_missing</t>
        </is>
      </c>
      <c r="F53" t="inlineStr">
        <is>
          <t>近五个交易日资金净额：optional_missing</t>
        </is>
      </c>
      <c r="G53" t="b">
        <v>0</v>
      </c>
      <c r="H53" t="b">
        <v>1</v>
      </c>
      <c r="M53" t="b">
        <v>0</v>
      </c>
    </row>
    <row r="54">
      <c r="A54" t="inlineStr">
        <is>
          <t>港股</t>
        </is>
      </c>
      <c r="B54" t="inlineStr">
        <is>
          <t>00005</t>
        </is>
      </c>
      <c r="C54" t="inlineStr">
        <is>
          <t>HSBC HOLDINGS</t>
        </is>
      </c>
      <c r="D54" t="inlineStr">
        <is>
          <t>近一月资金净额（最近22个交易日）</t>
        </is>
      </c>
      <c r="E54" t="inlineStr">
        <is>
          <t>optional_missing</t>
        </is>
      </c>
      <c r="F54" t="inlineStr">
        <is>
          <t>近一月资金净额（最近22个交易日）：optional_missing</t>
        </is>
      </c>
      <c r="G54" t="b">
        <v>0</v>
      </c>
      <c r="H54" t="b">
        <v>1</v>
      </c>
      <c r="M5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3" min="1" max="1"/>
    <col width="100" customWidth="1" style="3" min="2" max="2"/>
  </cols>
  <sheetData>
    <row r="1" ht="34" customHeight="1" s="3">
      <c r="A1" s="30" t="inlineStr">
        <is>
          <t>项目</t>
        </is>
      </c>
      <c r="B1" s="30" t="inlineStr">
        <is>
          <t>值</t>
        </is>
      </c>
    </row>
    <row r="2">
      <c r="A2" t="inlineStr">
        <is>
          <t>程序英文名</t>
        </is>
      </c>
      <c r="B2" t="inlineStr">
        <is>
          <t>StockAnalysis</t>
        </is>
      </c>
    </row>
    <row r="3">
      <c r="A3" t="inlineStr">
        <is>
          <t>程序中文名</t>
        </is>
      </c>
      <c r="B3" t="inlineStr">
        <is>
          <t>股票分析表生成器</t>
        </is>
      </c>
    </row>
    <row r="4">
      <c r="A4" t="inlineStr">
        <is>
          <t>程序版本</t>
        </is>
      </c>
      <c r="B4" t="inlineStr">
        <is>
          <t>0.2.0</t>
        </is>
      </c>
    </row>
    <row r="5">
      <c r="A5" t="inlineStr">
        <is>
          <t>Python 版本</t>
        </is>
      </c>
      <c r="B5" t="inlineStr">
        <is>
          <t>3.12.13 (main, Aug  7 2026, 02:26:41) [MSC v.1944 64 bit (AMD64)]</t>
        </is>
      </c>
    </row>
    <row r="6">
      <c r="A6" t="inlineStr">
        <is>
          <t>操作系统</t>
        </is>
      </c>
      <c r="B6" t="inlineStr">
        <is>
          <t>Windows-11-10.0.26200-SP0</t>
        </is>
      </c>
    </row>
    <row r="7">
      <c r="A7" t="inlineStr">
        <is>
          <t>运行时间</t>
        </is>
      </c>
      <c r="B7" t="inlineStr">
        <is>
          <t>2026-08-29T06:17:34.653525+00:00</t>
        </is>
      </c>
    </row>
    <row r="8">
      <c r="A8" t="inlineStr">
        <is>
          <t>配置快照</t>
        </is>
      </c>
      <c r="B8" t="inlineStr">
        <is>
          <t>{"concurrency": 4, "financial_year": 2025, "fixture_mode": false, "flow_mode": "快速模式（默认）", "include_financial": true, "include_st": true, "markets": ["港股"], "max_a_share_companies": 0, "max_companies": 5, "max_hk_companies": 5, "network_mode": "国内数据源优先直连", "output_directory": "D:/python_software/StockAnalysis/artifacts/performance_output", "request_interval": 0.05, "test_mode": false, "trading_year": 2026, "update_mode": "强制刷新"}</t>
        </is>
      </c>
    </row>
    <row r="9">
      <c r="A9" t="inlineStr">
        <is>
          <t>成功数</t>
        </is>
      </c>
      <c r="B9" t="n">
        <v>4</v>
      </c>
    </row>
    <row r="10">
      <c r="A10" t="inlineStr">
        <is>
          <t>部分缺失数</t>
        </is>
      </c>
      <c r="B10" t="n">
        <v>1</v>
      </c>
    </row>
    <row r="11">
      <c r="A11" t="inlineStr">
        <is>
          <t>失败数</t>
        </is>
      </c>
      <c r="B11" t="n">
        <v>0</v>
      </c>
    </row>
    <row r="12">
      <c r="A12" t="inlineStr">
        <is>
          <t>排除数</t>
        </is>
      </c>
      <c r="B12" t="n">
        <v>0</v>
      </c>
    </row>
    <row r="13">
      <c r="A13" t="inlineStr">
        <is>
          <t>缓存命中数</t>
        </is>
      </c>
      <c r="B13" t="n">
        <v>0</v>
      </c>
    </row>
    <row r="14">
      <c r="A14" t="inlineStr">
        <is>
          <t>性能统计</t>
        </is>
      </c>
      <c r="B14" t="inlineStr">
        <is>
          <t>{"cache_hits": 0, "circuit_breaks": 0, "direct_requests": 12, "http_elapsed_seconds": 7.266, "http_failures": 0, "http_requests": 12, "http_successes": 12, "negative_cache_hits": 0, "proxy_requests": 0, "requests_by_domain": {"datacenter.eastmoney.com": 10, "push2delay.eastmoney.com": 1, "www.hkex.com.hk": 1}, "requests_by_endpoint": {"batch-quotes-selected": 1, "financial-hk": 5, "ipo-港股": 5, "security-list-hkex": 1}, "retries": 0, "stage_seconds": {"上市与发行信息": 0.376, "年度全市场大宗交易": 0.009, "年度财务": 0.633, "批量行情与市值": 0.326, "标准化、计算与校验": 0.0, "证券范围": 5.669, "资金流": 0.009}, "total_seconds": 7.023}</t>
        </is>
      </c>
    </row>
    <row r="15">
      <c r="A15" t="inlineStr">
        <is>
          <t>输出路径</t>
        </is>
      </c>
      <c r="B15" t="inlineStr">
        <is>
          <t>D:\python_software\StockAnalysis\artifacts\performance_output\cold_5_hk.xlsx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涂玉</dc:creator>
  <dcterms:created xsi:type="dcterms:W3CDTF">2026-08-28T05:37:27Z</dcterms:created>
  <dcterms:modified xsi:type="dcterms:W3CDTF">2026-08-29T06:17:34Z</dcterms:modified>
  <cp:lastModifiedBy>涂玉</cp:lastModifiedBy>
</cp:coreProperties>
</file>