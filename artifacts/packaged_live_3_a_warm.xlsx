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'A股'!$A$4:$AD$7</definedName>
    <definedName name="_xlnm.Print_Titles" localSheetId="0">'A股'!$1:$4</definedName>
    <definedName name="_xlnm._FilterDatabase" localSheetId="1" hidden="1">'港股'!$A$4:$AD$4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-"/>
    <numFmt numFmtId="166" formatCode="0.00%;-0.00%;-"/>
    <numFmt numFmtId="167" formatCode="0.00;-0.00;-"/>
    <numFmt numFmtId="168" formatCode="#,##0.000;-#,##0.000;-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D7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920985</t>
        </is>
      </c>
      <c r="B5" s="13" t="inlineStr">
        <is>
          <t>海泰新能</t>
        </is>
      </c>
      <c r="C5" s="14">
        <f>IF('历史数据'!D3="","",'历史数据'!D3)</f>
        <v/>
      </c>
      <c r="D5" s="15">
        <f>IF('历史数据'!E3="","",'历史数据'!E3)</f>
        <v/>
      </c>
      <c r="E5" s="16">
        <f>IF('历史数据'!G3="","",'历史数据'!G3/100000000)</f>
        <v/>
      </c>
      <c r="F5" s="17">
        <f>IF(OR('历史数据'!G3="",'历史数据'!H3&lt;=0),"",'历史数据'!G3/'历史数据'!H3-1)</f>
        <v/>
      </c>
      <c r="G5" s="17">
        <f>IF(OR('历史数据'!G3&lt;=0,'历史数据'!I3&lt;=0),"",POWER('历史数据'!G3/'历史数据'!I3,1/3)-1)</f>
        <v/>
      </c>
      <c r="H5" s="17">
        <f>IF(OR('历史数据'!G3&lt;=0,'历史数据'!J3=""),"",('历史数据'!G3-'历史数据'!J3)/'历史数据'!G3)</f>
        <v/>
      </c>
      <c r="I5" s="18">
        <f>IF(OR(H5="",'历史数据'!H3&lt;=0,'历史数据'!K3=""),"",(H5-('历史数据'!H3-'历史数据'!K3)/'历史数据'!H3)*100)</f>
        <v/>
      </c>
      <c r="J5" s="18">
        <f>IF(OR(H5="",'历史数据'!I3&lt;=0,'历史数据'!L3=""),"",(H5-('历史数据'!I3-'历史数据'!L3)/'历史数据'!I3)*100)</f>
        <v/>
      </c>
      <c r="K5" s="16">
        <f>IF('历史数据'!M3="","",'历史数据'!M3/100000000)</f>
        <v/>
      </c>
      <c r="L5" s="17">
        <f>IF(OR('历史数据'!G3=0,'历史数据'!M3=""),"",'历史数据'!M3/'历史数据'!G3)</f>
        <v/>
      </c>
      <c r="M5" s="17">
        <f>IF(OR('历史数据'!M3="",'历史数据'!N3=0),"",('历史数据'!M3-'历史数据'!N3)/ABS('历史数据'!N3))</f>
        <v/>
      </c>
      <c r="N5" s="17">
        <f>IF(OR('历史数据'!M3&lt;=0,'历史数据'!O3&lt;=0),"",POWER('历史数据'!M3/'历史数据'!O3,1/3)-1)</f>
        <v/>
      </c>
      <c r="O5" s="16">
        <f>IF('历史数据'!P3="","",'历史数据'!P3/100000000)</f>
        <v/>
      </c>
      <c r="P5" s="19">
        <f>IF(OR('历史数据'!P3="",'历史数据'!Q3=0),"",('历史数据'!P3-'历史数据'!Q3)/ABS('历史数据'!Q3))</f>
        <v/>
      </c>
      <c r="Q5" s="19">
        <f>IF(OR('历史数据'!P3&lt;=0,'历史数据'!R3&lt;=0),"",POWER('历史数据'!P3/'历史数据'!R3,1/3)-1)</f>
        <v/>
      </c>
      <c r="R5" s="20">
        <f>IF('历史数据'!S3="","",'历史数据'!S3/100000000)</f>
        <v/>
      </c>
      <c r="S5" s="21">
        <f>IF('历史数据'!T3="","",'历史数据'!T3)</f>
        <v/>
      </c>
      <c r="T5" s="22">
        <f>IF('历史数据'!U3="","",'历史数据'!U3)</f>
        <v/>
      </c>
      <c r="U5" s="22">
        <f>IF('历史数据'!V3="","",'历史数据'!V3/100000000)</f>
        <v/>
      </c>
      <c r="V5" s="20">
        <f>IF('历史数据'!W3="","",'历史数据'!W3/100000000)</f>
        <v/>
      </c>
      <c r="W5" s="22">
        <f>IF('历史数据'!X3="","",'历史数据'!X3)</f>
        <v/>
      </c>
      <c r="X5" s="19">
        <f>IF(OR(R5="",V5&lt;=0),"",R5/V5-1)</f>
        <v/>
      </c>
      <c r="Y5" s="23">
        <f>IF('历史数据'!Y3="","",'历史数据'!Y3)</f>
        <v/>
      </c>
      <c r="Z5" s="20">
        <f>IF('历史数据'!Z3="","",'历史数据'!Z3/100000000)</f>
        <v/>
      </c>
      <c r="AA5" s="24">
        <f>IF('历史数据'!AA3="","",'历史数据'!AA3/100000000)</f>
        <v/>
      </c>
      <c r="AB5" s="24">
        <f>IF('历史数据'!AB3="","",'历史数据'!AB3/100000000)</f>
        <v/>
      </c>
      <c r="AC5" s="13" t="inlineStr">
        <is>
          <t>近五个交易日资金净额:optional_missing；近一月资金净额（最近22个交易日）:optional_missing</t>
        </is>
      </c>
      <c r="AD5" s="13" t="inlineStr">
        <is>
          <t>SUCCESS</t>
        </is>
      </c>
    </row>
    <row r="6" ht="21" customHeight="1" s="3">
      <c r="A6" s="12" t="inlineStr">
        <is>
          <t>920982</t>
        </is>
      </c>
      <c r="B6" s="13" t="inlineStr">
        <is>
          <t>锦波生物</t>
        </is>
      </c>
      <c r="C6" s="25">
        <f>IF('历史数据'!D4="","",'历史数据'!D4)</f>
        <v/>
      </c>
      <c r="D6" s="13">
        <f>IF('历史数据'!E4="","",'历史数据'!E4)</f>
        <v/>
      </c>
      <c r="E6" s="24">
        <f>IF('历史数据'!G4="","",'历史数据'!G4/100000000)</f>
        <v/>
      </c>
      <c r="F6" s="26">
        <f>IF(OR('历史数据'!G4="",'历史数据'!H4&lt;=0),"",'历史数据'!G4/'历史数据'!H4-1)</f>
        <v/>
      </c>
      <c r="G6" s="26">
        <f>IF(OR('历史数据'!G4&lt;=0,'历史数据'!I4&lt;=0),"",POWER('历史数据'!G4/'历史数据'!I4,1/3)-1)</f>
        <v/>
      </c>
      <c r="H6" s="26">
        <f>IF(OR('历史数据'!G4&lt;=0,'历史数据'!J4=""),"",('历史数据'!G4-'历史数据'!J4)/'历史数据'!G4)</f>
        <v/>
      </c>
      <c r="I6" s="27">
        <f>IF(OR(H6="",'历史数据'!H4&lt;=0,'历史数据'!K4=""),"",(H6-('历史数据'!H4-'历史数据'!K4)/'历史数据'!H4)*100)</f>
        <v/>
      </c>
      <c r="J6" s="27">
        <f>IF(OR(H6="",'历史数据'!I4&lt;=0,'历史数据'!L4=""),"",(H6-('历史数据'!I4-'历史数据'!L4)/'历史数据'!I4)*100)</f>
        <v/>
      </c>
      <c r="K6" s="24">
        <f>IF('历史数据'!M4="","",'历史数据'!M4/100000000)</f>
        <v/>
      </c>
      <c r="L6" s="26">
        <f>IF(OR('历史数据'!G4=0,'历史数据'!M4=""),"",'历史数据'!M4/'历史数据'!G4)</f>
        <v/>
      </c>
      <c r="M6" s="26">
        <f>IF(OR('历史数据'!M4="",'历史数据'!N4=0),"",('历史数据'!M4-'历史数据'!N4)/ABS('历史数据'!N4))</f>
        <v/>
      </c>
      <c r="N6" s="26">
        <f>IF(OR('历史数据'!M4&lt;=0,'历史数据'!O4&lt;=0),"",POWER('历史数据'!M4/'历史数据'!O4,1/3)-1)</f>
        <v/>
      </c>
      <c r="O6" s="24">
        <f>IF('历史数据'!P4="","",'历史数据'!P4/100000000)</f>
        <v/>
      </c>
      <c r="P6" s="26">
        <f>IF(OR('历史数据'!P4="",'历史数据'!Q4=0),"",('历史数据'!P4-'历史数据'!Q4)/ABS('历史数据'!Q4))</f>
        <v/>
      </c>
      <c r="Q6" s="26">
        <f>IF(OR('历史数据'!P4&lt;=0,'历史数据'!R4&lt;=0),"",POWER('历史数据'!P4/'历史数据'!R4,1/3)-1)</f>
        <v/>
      </c>
      <c r="R6" s="24">
        <f>IF('历史数据'!S4="","",'历史数据'!S4/100000000)</f>
        <v/>
      </c>
      <c r="S6" s="25">
        <f>IF('历史数据'!T4="","",'历史数据'!T4)</f>
        <v/>
      </c>
      <c r="T6" s="28">
        <f>IF('历史数据'!U4="","",'历史数据'!U4)</f>
        <v/>
      </c>
      <c r="U6" s="28">
        <f>IF('历史数据'!V4="","",'历史数据'!V4/100000000)</f>
        <v/>
      </c>
      <c r="V6" s="24">
        <f>IF('历史数据'!W4="","",'历史数据'!W4/100000000)</f>
        <v/>
      </c>
      <c r="W6" s="28">
        <f>IF('历史数据'!X4="","",'历史数据'!X4)</f>
        <v/>
      </c>
      <c r="X6" s="26">
        <f>IF(OR(R6="",V6&lt;=0),"",R6/V6-1)</f>
        <v/>
      </c>
      <c r="Y6" s="29">
        <f>IF('历史数据'!Y4="","",'历史数据'!Y4)</f>
        <v/>
      </c>
      <c r="Z6" s="24">
        <f>IF('历史数据'!Z4="","",'历史数据'!Z4/100000000)</f>
        <v/>
      </c>
      <c r="AA6" s="24">
        <f>IF('历史数据'!AA4="","",'历史数据'!AA4/100000000)</f>
        <v/>
      </c>
      <c r="AB6" s="24">
        <f>IF('历史数据'!AB4="","",'历史数据'!AB4/100000000)</f>
        <v/>
      </c>
      <c r="AC6" s="13" t="inlineStr">
        <is>
          <t>近五个交易日资金净额:optional_missing；近一月资金净额（最近22个交易日）:optional_missing</t>
        </is>
      </c>
      <c r="AD6" s="13" t="inlineStr">
        <is>
          <t>SUCCESS</t>
        </is>
      </c>
    </row>
    <row r="7" ht="21" customHeight="1" s="3">
      <c r="A7" s="12" t="inlineStr">
        <is>
          <t>920992</t>
        </is>
      </c>
      <c r="B7" s="13" t="inlineStr">
        <is>
          <t>中科美菱</t>
        </is>
      </c>
      <c r="C7" s="25">
        <f>IF('历史数据'!D2="","",'历史数据'!D2)</f>
        <v/>
      </c>
      <c r="D7" s="13">
        <f>IF('历史数据'!E2="","",'历史数据'!E2)</f>
        <v/>
      </c>
      <c r="E7" s="24">
        <f>IF('历史数据'!G2="","",'历史数据'!G2/100000000)</f>
        <v/>
      </c>
      <c r="F7" s="26">
        <f>IF(OR('历史数据'!G2="",'历史数据'!H2&lt;=0),"",'历史数据'!G2/'历史数据'!H2-1)</f>
        <v/>
      </c>
      <c r="G7" s="26">
        <f>IF(OR('历史数据'!G2&lt;=0,'历史数据'!I2&lt;=0),"",POWER('历史数据'!G2/'历史数据'!I2,1/3)-1)</f>
        <v/>
      </c>
      <c r="H7" s="26">
        <f>IF(OR('历史数据'!G2&lt;=0,'历史数据'!J2=""),"",('历史数据'!G2-'历史数据'!J2)/'历史数据'!G2)</f>
        <v/>
      </c>
      <c r="I7" s="27">
        <f>IF(OR(H7="",'历史数据'!H2&lt;=0,'历史数据'!K2=""),"",(H7-('历史数据'!H2-'历史数据'!K2)/'历史数据'!H2)*100)</f>
        <v/>
      </c>
      <c r="J7" s="27">
        <f>IF(OR(H7="",'历史数据'!I2&lt;=0,'历史数据'!L2=""),"",(H7-('历史数据'!I2-'历史数据'!L2)/'历史数据'!I2)*100)</f>
        <v/>
      </c>
      <c r="K7" s="24">
        <f>IF('历史数据'!M2="","",'历史数据'!M2/100000000)</f>
        <v/>
      </c>
      <c r="L7" s="26">
        <f>IF(OR('历史数据'!G2=0,'历史数据'!M2=""),"",'历史数据'!M2/'历史数据'!G2)</f>
        <v/>
      </c>
      <c r="M7" s="26">
        <f>IF(OR('历史数据'!M2="",'历史数据'!N2=0),"",('历史数据'!M2-'历史数据'!N2)/ABS('历史数据'!N2))</f>
        <v/>
      </c>
      <c r="N7" s="26">
        <f>IF(OR('历史数据'!M2&lt;=0,'历史数据'!O2&lt;=0),"",POWER('历史数据'!M2/'历史数据'!O2,1/3)-1)</f>
        <v/>
      </c>
      <c r="O7" s="24">
        <f>IF('历史数据'!P2="","",'历史数据'!P2/100000000)</f>
        <v/>
      </c>
      <c r="P7" s="26">
        <f>IF(OR('历史数据'!P2="",'历史数据'!Q2=0),"",('历史数据'!P2-'历史数据'!Q2)/ABS('历史数据'!Q2))</f>
        <v/>
      </c>
      <c r="Q7" s="26">
        <f>IF(OR('历史数据'!P2&lt;=0,'历史数据'!R2&lt;=0),"",POWER('历史数据'!P2/'历史数据'!R2,1/3)-1)</f>
        <v/>
      </c>
      <c r="R7" s="24">
        <f>IF('历史数据'!S2="","",'历史数据'!S2/100000000)</f>
        <v/>
      </c>
      <c r="S7" s="25">
        <f>IF('历史数据'!T2="","",'历史数据'!T2)</f>
        <v/>
      </c>
      <c r="T7" s="28">
        <f>IF('历史数据'!U2="","",'历史数据'!U2)</f>
        <v/>
      </c>
      <c r="U7" s="28">
        <f>IF('历史数据'!V2="","",'历史数据'!V2/100000000)</f>
        <v/>
      </c>
      <c r="V7" s="24">
        <f>IF('历史数据'!W2="","",'历史数据'!W2/100000000)</f>
        <v/>
      </c>
      <c r="W7" s="28">
        <f>IF('历史数据'!X2="","",'历史数据'!X2)</f>
        <v/>
      </c>
      <c r="X7" s="26">
        <f>IF(OR(R7="",V7&lt;=0),"",R7/V7-1)</f>
        <v/>
      </c>
      <c r="Y7" s="29">
        <f>IF('历史数据'!Y2="","",'历史数据'!Y2)</f>
        <v/>
      </c>
      <c r="Z7" s="24">
        <f>IF('历史数据'!Z2="","",'历史数据'!Z2/100000000)</f>
        <v/>
      </c>
      <c r="AA7" s="24">
        <f>IF('历史数据'!AA2="","",'历史数据'!AA2/100000000)</f>
        <v/>
      </c>
      <c r="AB7" s="24">
        <f>IF('历史数据'!AB2="","",'历史数据'!AB2/100000000)</f>
        <v/>
      </c>
      <c r="AC7" s="13" t="inlineStr">
        <is>
          <t>近五个交易日资金净额:optional_missing；近一月资金净额（最近22个交易日）:optional_missing</t>
        </is>
      </c>
      <c r="AD7" s="13" t="inlineStr">
        <is>
          <t>SUCCESS</t>
        </is>
      </c>
    </row>
  </sheetData>
  <autoFilter ref="A4:AD7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D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</sheetData>
  <autoFilter ref="A4:AD4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308544895.46</v>
      </c>
      <c r="H2" t="n">
        <v>295773281.94</v>
      </c>
      <c r="I2" t="n">
        <v>406489091.83</v>
      </c>
      <c r="J2" t="n">
        <v>197101654.9499646</v>
      </c>
      <c r="K2" t="n">
        <v>188804558.7898964</v>
      </c>
      <c r="L2" t="n">
        <v>251326304.1698501</v>
      </c>
      <c r="M2" t="n">
        <v>19107093.28</v>
      </c>
      <c r="N2" t="n">
        <v>18087029.57</v>
      </c>
      <c r="O2" t="n">
        <v>52586940.63</v>
      </c>
      <c r="P2" t="n">
        <v>29447536.67</v>
      </c>
      <c r="Q2" t="n">
        <v>25513232.8</v>
      </c>
      <c r="R2" t="n">
        <v>-38010376.2</v>
      </c>
      <c r="S2" t="n">
        <v>1103699957</v>
      </c>
      <c r="T2" s="31" t="n">
        <v>44852</v>
      </c>
      <c r="U2" t="n">
        <v>16</v>
      </c>
      <c r="V2" t="n">
        <v>24182734</v>
      </c>
      <c r="W2" t="n">
        <v>386923744</v>
      </c>
      <c r="X2" t="n">
        <v>11.41</v>
      </c>
      <c r="Y2" t="n">
        <v>0</v>
      </c>
      <c r="Z2" t="n">
        <v>0</v>
      </c>
    </row>
    <row r="3">
      <c r="A3" t="inlineStr">
        <is>
          <t>A股</t>
        </is>
      </c>
      <c r="B3" t="inlineStr">
        <is>
          <t>920985</t>
        </is>
      </c>
      <c r="C3" t="inlineStr">
        <is>
          <t>海泰新能</t>
        </is>
      </c>
      <c r="D3" s="31" t="n">
        <v>46022</v>
      </c>
      <c r="E3" t="inlineStr">
        <is>
          <t>CNY</t>
        </is>
      </c>
      <c r="F3" t="inlineStr">
        <is>
          <t>CNY</t>
        </is>
      </c>
      <c r="G3" t="n">
        <v>1650844575.4</v>
      </c>
      <c r="H3" t="n">
        <v>3717455001.53</v>
      </c>
      <c r="I3" t="n">
        <v>6387165263.14</v>
      </c>
      <c r="J3" t="n">
        <v>1734023665.210687</v>
      </c>
      <c r="K3" t="n">
        <v>2987756173.051005</v>
      </c>
      <c r="L3" t="n">
        <v>6009342496.552124</v>
      </c>
      <c r="M3" t="n">
        <v>-674594689.74</v>
      </c>
      <c r="N3" t="n">
        <v>189489752.36</v>
      </c>
      <c r="O3" t="n">
        <v>118605569.42</v>
      </c>
      <c r="P3" t="n">
        <v>-783406848.97</v>
      </c>
      <c r="Q3" t="n">
        <v>207889114.19</v>
      </c>
      <c r="R3" t="n">
        <v>70336940.15000001</v>
      </c>
      <c r="S3" t="n">
        <v>1442159092</v>
      </c>
      <c r="T3" s="31" t="n">
        <v>44781</v>
      </c>
      <c r="U3" t="n">
        <v>9.050000000000001</v>
      </c>
      <c r="V3" t="n">
        <v>53821948</v>
      </c>
      <c r="W3" t="n">
        <v>487088629.4</v>
      </c>
      <c r="X3" t="n">
        <v>4.66</v>
      </c>
      <c r="Y3" t="n">
        <v>0</v>
      </c>
      <c r="Z3" t="n">
        <v>0</v>
      </c>
    </row>
    <row r="4">
      <c r="A4" t="inlineStr">
        <is>
          <t>A股</t>
        </is>
      </c>
      <c r="B4" t="inlineStr">
        <is>
          <t>920982</t>
        </is>
      </c>
      <c r="C4" t="inlineStr">
        <is>
          <t>锦波生物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1595372919.28</v>
      </c>
      <c r="H4" t="n">
        <v>1442831399.69</v>
      </c>
      <c r="I4" t="n">
        <v>390198402.96</v>
      </c>
      <c r="J4" t="n">
        <v>172119657.7807167</v>
      </c>
      <c r="K4" t="n">
        <v>115199689.8499298</v>
      </c>
      <c r="L4" t="n">
        <v>56828644.02000917</v>
      </c>
      <c r="M4" t="n">
        <v>652128968.1</v>
      </c>
      <c r="N4" t="n">
        <v>732301620.38</v>
      </c>
      <c r="O4" t="n">
        <v>109175008.63</v>
      </c>
      <c r="P4" t="n">
        <v>630002189.99</v>
      </c>
      <c r="Q4" t="n">
        <v>767155394.37</v>
      </c>
      <c r="R4" t="n">
        <v>123891082.75</v>
      </c>
      <c r="S4" t="n">
        <v>13921755487</v>
      </c>
      <c r="T4" s="31" t="n">
        <v>45127</v>
      </c>
      <c r="U4" t="n">
        <v>49</v>
      </c>
      <c r="V4" t="n">
        <v>5000000</v>
      </c>
      <c r="W4" t="n">
        <v>245000000</v>
      </c>
      <c r="X4" t="n">
        <v>120.99</v>
      </c>
      <c r="Y4" t="n">
        <v>0</v>
      </c>
      <c r="Z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f2,f20（按指定证券分批）</t>
        </is>
      </c>
      <c r="G2" s="32" t="n">
        <v>46263.26741690363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b">
        <v>1</v>
      </c>
    </row>
    <row r="3">
      <c r="A3" t="inlineStr">
        <is>
          <t>A股</t>
        </is>
      </c>
      <c r="B3" t="inlineStr">
        <is>
          <t>920992</t>
        </is>
      </c>
      <c r="C3" t="inlineStr">
        <is>
          <t>中科美菱</t>
        </is>
      </c>
      <c r="D3" t="inlineStr">
        <is>
          <t>大宗交易</t>
        </is>
      </c>
      <c r="E3" t="inlineStr">
        <is>
          <t>东方财富</t>
        </is>
      </c>
      <c r="F3" t="inlineStr">
        <is>
          <t>RPT_DATA_BLOCKTRADE 2026（全市场分页后本地聚合）</t>
        </is>
      </c>
      <c r="G3" s="32" t="n">
        <v>46263.26741933201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东方财富</t>
        </is>
      </c>
      <c r="N3" t="b">
        <v>1</v>
      </c>
    </row>
    <row r="4">
      <c r="A4" t="inlineStr">
        <is>
          <t>A股</t>
        </is>
      </c>
      <c r="B4" t="inlineStr">
        <is>
          <t>920992</t>
        </is>
      </c>
      <c r="C4" t="inlineStr">
        <is>
          <t>中科美菱</t>
        </is>
      </c>
      <c r="D4" t="inlineStr">
        <is>
          <t>年度财务</t>
        </is>
      </c>
      <c r="E4" t="inlineStr">
        <is>
          <t>东方财富</t>
        </is>
      </c>
      <c r="F4" t="inlineStr">
        <is>
          <t>RPT_LICO_FN_CPD + RPT_DMSK_FN_CASHFLOW；巨潮回退原因：未配置巨潮官方 API 凭证/端点（CNINFO_ACCESS_TOKEN、CNINFO_INCOME_API_URL、CNINFO_CASHFLOW_API_URL）</t>
        </is>
      </c>
      <c r="G4" s="32" t="n">
        <v>46263.26742316422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1</v>
      </c>
      <c r="M4" t="inlineStr">
        <is>
          <t>巨潮资讯（CNINFO Data Service）</t>
        </is>
      </c>
      <c r="N4" t="b">
        <v>1</v>
      </c>
    </row>
    <row r="5">
      <c r="A5" t="inlineStr">
        <is>
          <t>A股</t>
        </is>
      </c>
      <c r="B5" t="inlineStr">
        <is>
          <t>920992</t>
        </is>
      </c>
      <c r="C5" t="inlineStr">
        <is>
          <t>中科美菱</t>
        </is>
      </c>
      <c r="D5" t="inlineStr">
        <is>
          <t>上市与发行信息</t>
        </is>
      </c>
      <c r="E5" t="inlineStr">
        <is>
          <t>东方财富</t>
        </is>
      </c>
      <c r="F5" t="inlineStr">
        <is>
          <t>RPT_PCF10_ORG_ISSUEINFO</t>
        </is>
      </c>
      <c r="G5" s="32" t="n">
        <v>46263.26742794749</v>
      </c>
      <c r="H5" t="inlineStr">
        <is>
          <t>CNY</t>
        </is>
      </c>
      <c r="I5" t="inlineStr">
        <is>
          <t>CNY</t>
        </is>
      </c>
      <c r="J5" t="inlineStr">
        <is>
          <t>ok</t>
        </is>
      </c>
      <c r="L5" t="b">
        <v>0</v>
      </c>
      <c r="M5" t="inlineStr">
        <is>
          <t>东方财富</t>
        </is>
      </c>
      <c r="N5" t="b">
        <v>1</v>
      </c>
    </row>
    <row r="6">
      <c r="A6" t="inlineStr">
        <is>
          <t>A股</t>
        </is>
      </c>
      <c r="B6" t="inlineStr">
        <is>
          <t>920992</t>
        </is>
      </c>
      <c r="C6" t="inlineStr">
        <is>
          <t>中科美菱</t>
        </is>
      </c>
      <c r="D6" t="inlineStr">
        <is>
          <t>资金流</t>
        </is>
      </c>
      <c r="E6" t="inlineStr">
        <is>
          <t>东方财富</t>
        </is>
      </c>
      <c r="F6" t="inlineStr">
        <is>
          <t>fast-mode-no-reliable-batch-endpoint</t>
        </is>
      </c>
      <c r="G6" s="32" t="n">
        <v>46263.26742884547</v>
      </c>
      <c r="I6" t="inlineStr">
        <is>
          <t>CNY</t>
        </is>
      </c>
      <c r="J6" t="inlineStr">
        <is>
          <t>optional_missing</t>
        </is>
      </c>
      <c r="K6" t="inlineStr">
        <is>
          <t>快速模式未发现可靠的批量近五个交易日同口径字段，为避免逐股慢请求，本次留空</t>
        </is>
      </c>
      <c r="L6" t="b">
        <v>0</v>
      </c>
      <c r="M6" t="inlineStr">
        <is>
          <t>东方财富</t>
        </is>
      </c>
      <c r="N6" t="b">
        <v>1</v>
      </c>
    </row>
    <row r="7">
      <c r="A7" t="inlineStr">
        <is>
          <t>A股</t>
        </is>
      </c>
      <c r="B7" t="inlineStr">
        <is>
          <t>920985</t>
        </is>
      </c>
      <c r="C7" t="inlineStr">
        <is>
          <t>海泰新能</t>
        </is>
      </c>
      <c r="D7" t="inlineStr">
        <is>
          <t>最新行情</t>
        </is>
      </c>
      <c r="E7" t="inlineStr">
        <is>
          <t>东方财富</t>
        </is>
      </c>
      <c r="F7" t="inlineStr">
        <is>
          <t>push2 ulist.np/get f2,f20（按指定证券分批）</t>
        </is>
      </c>
      <c r="G7" s="32" t="n">
        <v>46263.26741690363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b">
        <v>1</v>
      </c>
    </row>
    <row r="8">
      <c r="A8" t="inlineStr">
        <is>
          <t>A股</t>
        </is>
      </c>
      <c r="B8" t="inlineStr">
        <is>
          <t>920985</t>
        </is>
      </c>
      <c r="C8" t="inlineStr">
        <is>
          <t>海泰新能</t>
        </is>
      </c>
      <c r="D8" t="inlineStr">
        <is>
          <t>大宗交易</t>
        </is>
      </c>
      <c r="E8" t="inlineStr">
        <is>
          <t>东方财富</t>
        </is>
      </c>
      <c r="F8" t="inlineStr">
        <is>
          <t>RPT_DATA_BLOCKTRADE 2026（全市场分页后本地聚合）</t>
        </is>
      </c>
      <c r="G8" s="32" t="n">
        <v>46263.26741933201</v>
      </c>
      <c r="H8" t="inlineStr">
        <is>
          <t>CNY</t>
        </is>
      </c>
      <c r="I8" t="inlineStr">
        <is>
          <t>CNY</t>
        </is>
      </c>
      <c r="J8" t="inlineStr">
        <is>
          <t>ok</t>
        </is>
      </c>
      <c r="L8" t="b">
        <v>0</v>
      </c>
      <c r="M8" t="inlineStr">
        <is>
          <t>东方财富</t>
        </is>
      </c>
      <c r="N8" t="b">
        <v>1</v>
      </c>
    </row>
    <row r="9">
      <c r="A9" t="inlineStr">
        <is>
          <t>A股</t>
        </is>
      </c>
      <c r="B9" t="inlineStr">
        <is>
          <t>920985</t>
        </is>
      </c>
      <c r="C9" t="inlineStr">
        <is>
          <t>海泰新能</t>
        </is>
      </c>
      <c r="D9" t="inlineStr">
        <is>
          <t>年度财务</t>
        </is>
      </c>
      <c r="E9" t="inlineStr">
        <is>
          <t>东方财富</t>
        </is>
      </c>
      <c r="F9" t="inlineStr">
        <is>
          <t>RPT_LICO_FN_CPD + RPT_DMSK_FN_CASHFLOW；巨潮回退原因：未配置巨潮官方 API 凭证/端点（CNINFO_ACCESS_TOKEN、CNINFO_INCOME_API_URL、CNINFO_CASHFLOW_API_URL）</t>
        </is>
      </c>
      <c r="G9" s="32" t="n">
        <v>46263.26742471878</v>
      </c>
      <c r="H9" t="inlineStr">
        <is>
          <t>CNY</t>
        </is>
      </c>
      <c r="I9" t="inlineStr">
        <is>
          <t>CNY</t>
        </is>
      </c>
      <c r="J9" t="inlineStr">
        <is>
          <t>ok</t>
        </is>
      </c>
      <c r="L9" t="b">
        <v>1</v>
      </c>
      <c r="M9" t="inlineStr">
        <is>
          <t>巨潮资讯（CNINFO Data Service）</t>
        </is>
      </c>
      <c r="N9" t="b">
        <v>1</v>
      </c>
    </row>
    <row r="10">
      <c r="A10" t="inlineStr">
        <is>
          <t>A股</t>
        </is>
      </c>
      <c r="B10" t="inlineStr">
        <is>
          <t>920985</t>
        </is>
      </c>
      <c r="C10" t="inlineStr">
        <is>
          <t>海泰新能</t>
        </is>
      </c>
      <c r="D10" t="inlineStr">
        <is>
          <t>上市与发行信息</t>
        </is>
      </c>
      <c r="E10" t="inlineStr">
        <is>
          <t>东方财富</t>
        </is>
      </c>
      <c r="F10" t="inlineStr">
        <is>
          <t>RPT_PCF10_ORG_ISSUEINFO</t>
        </is>
      </c>
      <c r="G10" s="32" t="n">
        <v>46263.26742869029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b">
        <v>1</v>
      </c>
    </row>
    <row r="11">
      <c r="A11" t="inlineStr">
        <is>
          <t>A股</t>
        </is>
      </c>
      <c r="B11" t="inlineStr">
        <is>
          <t>920985</t>
        </is>
      </c>
      <c r="C11" t="inlineStr">
        <is>
          <t>海泰新能</t>
        </is>
      </c>
      <c r="D11" t="inlineStr">
        <is>
          <t>资金流</t>
        </is>
      </c>
      <c r="E11" t="inlineStr">
        <is>
          <t>东方财富</t>
        </is>
      </c>
      <c r="F11" t="inlineStr">
        <is>
          <t>fast-mode-no-reliable-batch-endpoint</t>
        </is>
      </c>
      <c r="G11" s="32" t="n">
        <v>46263.26742884547</v>
      </c>
      <c r="I11" t="inlineStr">
        <is>
          <t>CNY</t>
        </is>
      </c>
      <c r="J11" t="inlineStr">
        <is>
          <t>optional_missing</t>
        </is>
      </c>
      <c r="K11" t="inlineStr">
        <is>
          <t>快速模式未发现可靠的批量近五个交易日同口径字段，为避免逐股慢请求，本次留空</t>
        </is>
      </c>
      <c r="L11" t="b">
        <v>0</v>
      </c>
      <c r="M11" t="inlineStr">
        <is>
          <t>东方财富</t>
        </is>
      </c>
      <c r="N11" t="b">
        <v>1</v>
      </c>
    </row>
    <row r="12">
      <c r="A12" t="inlineStr">
        <is>
          <t>A股</t>
        </is>
      </c>
      <c r="B12" t="inlineStr">
        <is>
          <t>920982</t>
        </is>
      </c>
      <c r="C12" t="inlineStr">
        <is>
          <t>锦波生物</t>
        </is>
      </c>
      <c r="D12" t="inlineStr">
        <is>
          <t>最新行情</t>
        </is>
      </c>
      <c r="E12" t="inlineStr">
        <is>
          <t>东方财富</t>
        </is>
      </c>
      <c r="F12" t="inlineStr">
        <is>
          <t>push2 ulist.np/get f2,f20（按指定证券分批）</t>
        </is>
      </c>
      <c r="G12" s="32" t="n">
        <v>46263.26741690363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b">
        <v>1</v>
      </c>
    </row>
    <row r="13">
      <c r="A13" t="inlineStr">
        <is>
          <t>A股</t>
        </is>
      </c>
      <c r="B13" t="inlineStr">
        <is>
          <t>920982</t>
        </is>
      </c>
      <c r="C13" t="inlineStr">
        <is>
          <t>锦波生物</t>
        </is>
      </c>
      <c r="D13" t="inlineStr">
        <is>
          <t>大宗交易</t>
        </is>
      </c>
      <c r="E13" t="inlineStr">
        <is>
          <t>东方财富</t>
        </is>
      </c>
      <c r="F13" t="inlineStr">
        <is>
          <t>RPT_DATA_BLOCKTRADE 2026（全市场分页后本地聚合）</t>
        </is>
      </c>
      <c r="G13" s="32" t="n">
        <v>46263.26741933201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东方财富</t>
        </is>
      </c>
      <c r="N13" t="b">
        <v>1</v>
      </c>
    </row>
    <row r="14">
      <c r="A14" t="inlineStr">
        <is>
          <t>A股</t>
        </is>
      </c>
      <c r="B14" t="inlineStr">
        <is>
          <t>920982</t>
        </is>
      </c>
      <c r="C14" t="inlineStr">
        <is>
          <t>锦波生物</t>
        </is>
      </c>
      <c r="D14" t="inlineStr">
        <is>
          <t>年度财务</t>
        </is>
      </c>
      <c r="E14" t="inlineStr">
        <is>
          <t>东方财富</t>
        </is>
      </c>
      <c r="F14" t="inlineStr">
        <is>
          <t>RPT_LICO_FN_CPD + RPT_DMSK_FN_CASHFLOW；巨潮回退原因：未配置巨潮官方 API 凭证/端点（CNINFO_ACCESS_TOKEN、CNINFO_INCOME_API_URL、CNINFO_CASHFLOW_API_URL）</t>
        </is>
      </c>
      <c r="G14" s="32" t="n">
        <v>46263.26742506068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1</v>
      </c>
      <c r="M14" t="inlineStr">
        <is>
          <t>巨潮资讯（CNINFO Data Service）</t>
        </is>
      </c>
      <c r="N14" t="b">
        <v>1</v>
      </c>
    </row>
    <row r="15">
      <c r="A15" t="inlineStr">
        <is>
          <t>A股</t>
        </is>
      </c>
      <c r="B15" t="inlineStr">
        <is>
          <t>920982</t>
        </is>
      </c>
      <c r="C15" t="inlineStr">
        <is>
          <t>锦波生物</t>
        </is>
      </c>
      <c r="D15" t="inlineStr">
        <is>
          <t>上市与发行信息</t>
        </is>
      </c>
      <c r="E15" t="inlineStr">
        <is>
          <t>东方财富</t>
        </is>
      </c>
      <c r="F15" t="inlineStr">
        <is>
          <t>RPT_PCF10_ORG_ISSUEINFO</t>
        </is>
      </c>
      <c r="G15" s="32" t="n">
        <v>46263.26742882079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东方财富</t>
        </is>
      </c>
      <c r="N15" t="b">
        <v>1</v>
      </c>
    </row>
    <row r="16">
      <c r="A16" t="inlineStr">
        <is>
          <t>A股</t>
        </is>
      </c>
      <c r="B16" t="inlineStr">
        <is>
          <t>920982</t>
        </is>
      </c>
      <c r="C16" t="inlineStr">
        <is>
          <t>锦波生物</t>
        </is>
      </c>
      <c r="D16" t="inlineStr">
        <is>
          <t>资金流</t>
        </is>
      </c>
      <c r="E16" t="inlineStr">
        <is>
          <t>东方财富</t>
        </is>
      </c>
      <c r="F16" t="inlineStr">
        <is>
          <t>fast-mode-no-reliable-batch-endpoint</t>
        </is>
      </c>
      <c r="G16" s="32" t="n">
        <v>46263.26742884547</v>
      </c>
      <c r="I16" t="inlineStr">
        <is>
          <t>CNY</t>
        </is>
      </c>
      <c r="J16" t="inlineStr">
        <is>
          <t>optional_missing</t>
        </is>
      </c>
      <c r="K16" t="inlineStr">
        <is>
          <t>快速模式未发现可靠的批量近五个交易日同口径字段，为避免逐股慢请求，本次留空</t>
        </is>
      </c>
      <c r="L16" t="b">
        <v>0</v>
      </c>
      <c r="M16" t="inlineStr">
        <is>
          <t>东方财富</t>
        </is>
      </c>
      <c r="N1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t="inlineStr">
        <is>
          <t>资金流</t>
        </is>
      </c>
      <c r="E2" t="inlineStr">
        <is>
          <t>optional_missing</t>
        </is>
      </c>
      <c r="F2" t="inlineStr">
        <is>
          <t>快速模式未发现可靠的批量近五个交易日同口径字段，为避免逐股慢请求，本次留空</t>
        </is>
      </c>
      <c r="G2" t="b">
        <v>0</v>
      </c>
      <c r="H2" t="b">
        <v>1</v>
      </c>
      <c r="I2" t="inlineStr">
        <is>
          <t>东方财富</t>
        </is>
      </c>
      <c r="J2" t="inlineStr">
        <is>
          <t>东方财富</t>
        </is>
      </c>
      <c r="K2" t="inlineStr">
        <is>
          <t>fast-mode-no-reliable-batch-endpoint</t>
        </is>
      </c>
      <c r="L2" s="32" t="n">
        <v>46263.26742884547</v>
      </c>
      <c r="M2" t="b">
        <v>1</v>
      </c>
    </row>
    <row r="3">
      <c r="A3" t="inlineStr">
        <is>
          <t>A股</t>
        </is>
      </c>
      <c r="B3" t="inlineStr">
        <is>
          <t>920992</t>
        </is>
      </c>
      <c r="C3" t="inlineStr">
        <is>
          <t>中科美菱</t>
        </is>
      </c>
      <c r="D3" t="inlineStr">
        <is>
          <t>近五个交易日资金净额</t>
        </is>
      </c>
      <c r="E3" t="inlineStr">
        <is>
          <t>optional_missing</t>
        </is>
      </c>
      <c r="F3" t="inlineStr">
        <is>
          <t>近五个交易日资金净额：optional_missing</t>
        </is>
      </c>
      <c r="G3" t="b">
        <v>0</v>
      </c>
      <c r="H3" t="b">
        <v>1</v>
      </c>
      <c r="M3" t="b">
        <v>0</v>
      </c>
    </row>
    <row r="4">
      <c r="A4" t="inlineStr">
        <is>
          <t>A股</t>
        </is>
      </c>
      <c r="B4" t="inlineStr">
        <is>
          <t>920992</t>
        </is>
      </c>
      <c r="C4" t="inlineStr">
        <is>
          <t>中科美菱</t>
        </is>
      </c>
      <c r="D4" t="inlineStr">
        <is>
          <t>近一月资金净额（最近22个交易日）</t>
        </is>
      </c>
      <c r="E4" t="inlineStr">
        <is>
          <t>optional_missing</t>
        </is>
      </c>
      <c r="F4" t="inlineStr">
        <is>
          <t>近一月资金净额（最近22个交易日）：optional_missing</t>
        </is>
      </c>
      <c r="G4" t="b">
        <v>0</v>
      </c>
      <c r="H4" t="b">
        <v>1</v>
      </c>
      <c r="M4" t="b">
        <v>0</v>
      </c>
    </row>
    <row r="5">
      <c r="A5" t="inlineStr">
        <is>
          <t>A股</t>
        </is>
      </c>
      <c r="B5" t="inlineStr">
        <is>
          <t>920985</t>
        </is>
      </c>
      <c r="C5" t="inlineStr">
        <is>
          <t>海泰新能</t>
        </is>
      </c>
      <c r="D5" t="inlineStr">
        <is>
          <t>资金流</t>
        </is>
      </c>
      <c r="E5" t="inlineStr">
        <is>
          <t>optional_missing</t>
        </is>
      </c>
      <c r="F5" t="inlineStr">
        <is>
          <t>快速模式未发现可靠的批量近五个交易日同口径字段，为避免逐股慢请求，本次留空</t>
        </is>
      </c>
      <c r="G5" t="b">
        <v>0</v>
      </c>
      <c r="H5" t="b">
        <v>1</v>
      </c>
      <c r="I5" t="inlineStr">
        <is>
          <t>东方财富</t>
        </is>
      </c>
      <c r="J5" t="inlineStr">
        <is>
          <t>东方财富</t>
        </is>
      </c>
      <c r="K5" t="inlineStr">
        <is>
          <t>fast-mode-no-reliable-batch-endpoint</t>
        </is>
      </c>
      <c r="L5" s="32" t="n">
        <v>46263.26742884547</v>
      </c>
      <c r="M5" t="b">
        <v>1</v>
      </c>
    </row>
    <row r="6">
      <c r="A6" t="inlineStr">
        <is>
          <t>A股</t>
        </is>
      </c>
      <c r="B6" t="inlineStr">
        <is>
          <t>920985</t>
        </is>
      </c>
      <c r="C6" t="inlineStr">
        <is>
          <t>海泰新能</t>
        </is>
      </c>
      <c r="D6" t="inlineStr">
        <is>
          <t>近五个交易日资金净额</t>
        </is>
      </c>
      <c r="E6" t="inlineStr">
        <is>
          <t>optional_missing</t>
        </is>
      </c>
      <c r="F6" t="inlineStr">
        <is>
          <t>近五个交易日资金净额：optional_missing</t>
        </is>
      </c>
      <c r="G6" t="b">
        <v>0</v>
      </c>
      <c r="H6" t="b">
        <v>1</v>
      </c>
      <c r="M6" t="b">
        <v>0</v>
      </c>
    </row>
    <row r="7">
      <c r="A7" t="inlineStr">
        <is>
          <t>A股</t>
        </is>
      </c>
      <c r="B7" t="inlineStr">
        <is>
          <t>920985</t>
        </is>
      </c>
      <c r="C7" t="inlineStr">
        <is>
          <t>海泰新能</t>
        </is>
      </c>
      <c r="D7" t="inlineStr">
        <is>
          <t>近一月资金净额（最近22个交易日）</t>
        </is>
      </c>
      <c r="E7" t="inlineStr">
        <is>
          <t>optional_missing</t>
        </is>
      </c>
      <c r="F7" t="inlineStr">
        <is>
          <t>近一月资金净额（最近22个交易日）：optional_missing</t>
        </is>
      </c>
      <c r="G7" t="b">
        <v>0</v>
      </c>
      <c r="H7" t="b">
        <v>1</v>
      </c>
      <c r="M7" t="b">
        <v>0</v>
      </c>
    </row>
    <row r="8">
      <c r="A8" t="inlineStr">
        <is>
          <t>A股</t>
        </is>
      </c>
      <c r="B8" t="inlineStr">
        <is>
          <t>920982</t>
        </is>
      </c>
      <c r="C8" t="inlineStr">
        <is>
          <t>锦波生物</t>
        </is>
      </c>
      <c r="D8" t="inlineStr">
        <is>
          <t>资金流</t>
        </is>
      </c>
      <c r="E8" t="inlineStr">
        <is>
          <t>optional_missing</t>
        </is>
      </c>
      <c r="F8" t="inlineStr">
        <is>
          <t>快速模式未发现可靠的批量近五个交易日同口径字段，为避免逐股慢请求，本次留空</t>
        </is>
      </c>
      <c r="G8" t="b">
        <v>0</v>
      </c>
      <c r="H8" t="b">
        <v>1</v>
      </c>
      <c r="I8" t="inlineStr">
        <is>
          <t>东方财富</t>
        </is>
      </c>
      <c r="J8" t="inlineStr">
        <is>
          <t>东方财富</t>
        </is>
      </c>
      <c r="K8" t="inlineStr">
        <is>
          <t>fast-mode-no-reliable-batch-endpoint</t>
        </is>
      </c>
      <c r="L8" s="32" t="n">
        <v>46263.26742884547</v>
      </c>
      <c r="M8" t="b">
        <v>1</v>
      </c>
    </row>
    <row r="9">
      <c r="A9" t="inlineStr">
        <is>
          <t>A股</t>
        </is>
      </c>
      <c r="B9" t="inlineStr">
        <is>
          <t>920982</t>
        </is>
      </c>
      <c r="C9" t="inlineStr">
        <is>
          <t>锦波生物</t>
        </is>
      </c>
      <c r="D9" t="inlineStr">
        <is>
          <t>近五个交易日资金净额</t>
        </is>
      </c>
      <c r="E9" t="inlineStr">
        <is>
          <t>optional_missing</t>
        </is>
      </c>
      <c r="F9" t="inlineStr">
        <is>
          <t>近五个交易日资金净额：optional_missing</t>
        </is>
      </c>
      <c r="G9" t="b">
        <v>0</v>
      </c>
      <c r="H9" t="b">
        <v>1</v>
      </c>
      <c r="M9" t="b">
        <v>0</v>
      </c>
    </row>
    <row r="10">
      <c r="A10" t="inlineStr">
        <is>
          <t>A股</t>
        </is>
      </c>
      <c r="B10" t="inlineStr">
        <is>
          <t>920982</t>
        </is>
      </c>
      <c r="C10" t="inlineStr">
        <is>
          <t>锦波生物</t>
        </is>
      </c>
      <c r="D10" t="inlineStr">
        <is>
          <t>近一月资金净额（最近22个交易日）</t>
        </is>
      </c>
      <c r="E10" t="inlineStr">
        <is>
          <t>optional_missing</t>
        </is>
      </c>
      <c r="F10" t="inlineStr">
        <is>
          <t>近一月资金净额（最近22个交易日）：optional_missing</t>
        </is>
      </c>
      <c r="G10" t="b">
        <v>0</v>
      </c>
      <c r="H10" t="b">
        <v>1</v>
      </c>
      <c r="M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0.2.0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2026-08-29T06:26:20.598982+00:00</t>
        </is>
      </c>
    </row>
    <row r="8">
      <c r="A8" t="inlineStr">
        <is>
          <t>配置快照</t>
        </is>
      </c>
      <c r="B8" t="inlineStr">
        <is>
          <t>{"concurrency": 8, "financial_year": 2025, "fixture_mode": false, "flow_mode": "快速模式（默认）", "include_financial": true, "include_st": true, "markets": ["A股"], "max_a_share_companies": 3, "max_companies": 3, "max_hk_companies": 0, "network_mode": "国内数据源优先直连", "output_directory": "D:/python_software/StockAnalysis/artifacts/performance_output", "request_interval": 0.05, "test_mode": false, "trading_year": 2026, "update_mode": "优先缓存"}</t>
        </is>
      </c>
    </row>
    <row r="9">
      <c r="A9" t="inlineStr">
        <is>
          <t>成功数</t>
        </is>
      </c>
      <c r="B9" t="n">
        <v>3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16</v>
      </c>
    </row>
    <row r="14">
      <c r="A14" t="inlineStr">
        <is>
          <t>性能统计</t>
        </is>
      </c>
      <c r="B14" t="inlineStr">
        <is>
          <t>{"cache_hits": 16, "circuit_breaks": 0, "direct_requests": 0, "http_elapsed_seconds": 0.0, "http_failures": 0, "http_requests": 0, "http_successes": 0, "negative_cache_hits": 0, "proxy_requests": 0, "requests_by_domain": {}, "requests_by_endpoint": {}, "retries": 0, "stage_seconds": {"上市与发行信息": 0.001, "年度全市场大宗交易": 0.0, "年度财务": 0.002, "批量行情与市值": 0.0, "标准化、计算与校验": 0.0, "证券范围": 0.001, "资金流": 0.0}, "total_seconds": 0.005}</t>
        </is>
      </c>
    </row>
    <row r="15">
      <c r="A15" t="inlineStr">
        <is>
          <t>输出路径</t>
        </is>
      </c>
      <c r="B15" t="inlineStr">
        <is>
          <t>D:\python_software\StockAnalysis\artifacts\packaged_live_3_a_warm.xlsx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2026-08-29T06:26:20Z</dcterms:modified>
  <cp:lastModifiedBy>涂玉</cp:lastModifiedBy>
</cp:coreProperties>
</file>