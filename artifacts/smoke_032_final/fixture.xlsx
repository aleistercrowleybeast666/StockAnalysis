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历史数据" sheetId="3" state="hidden" r:id="rId3"/>
    <sheet name="数据来源" sheetId="4" state="hidden" r:id="rId4"/>
    <sheet name="异常记录" sheetId="5" state="hidden" r:id="rId5"/>
    <sheet name="运行信息" sheetId="6" state="hidden" r:id="rId6"/>
  </sheets>
  <definedNames>
    <definedName name="_xlnm._FilterDatabase" localSheetId="0" hidden="1">'A股'!$A$4:$AB$8</definedName>
    <definedName name="_xlnm.Print_Titles" localSheetId="0">'A股'!$1:$4</definedName>
    <definedName name="_xlnm._FilterDatabase" localSheetId="1" hidden="1">'港股'!$A$4:$AB$8</definedName>
    <definedName name="_xlnm.Print_Titles" localSheetId="1">'港股'!$1:$4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0.00"/>
    <numFmt numFmtId="166" formatCode="0.00%;-0.00%;0.00%"/>
    <numFmt numFmtId="167" formatCode="0.00;-0.00;0.00"/>
    <numFmt numFmtId="168" formatCode="#,##0.000;-#,##0.000;0.000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B8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股票分析表生成器｜财务年度：2025｜数据截至：2026-08-29｜金额单位：亿元｜股数单位：亿股</t>
        </is>
      </c>
    </row>
    <row r="2" ht="25" customHeight="1" s="3">
      <c r="A2" s="5" t="inlineStr">
        <is>
          <t>范围：上交所、深交所、北交所普通 A 股；不含 B 股、基金、债券等非普通股票。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300750</t>
        </is>
      </c>
      <c r="B5" s="13" t="inlineStr">
        <is>
          <t>宁德时代</t>
        </is>
      </c>
      <c r="C5" s="14">
        <f>IF('历史数据'!D3="","—",'历史数据'!D3)</f>
        <v/>
      </c>
      <c r="D5" s="15">
        <f>IF('历史数据'!E3="","—",'历史数据'!E3)</f>
        <v/>
      </c>
      <c r="E5" s="16">
        <f>IF('历史数据'!G3="","—",'历史数据'!G3/100000000)</f>
        <v/>
      </c>
      <c r="F5" s="17">
        <f>IF(OR('历史数据'!G3="",'历史数据'!H3&lt;=0),"—",'历史数据'!G3/'历史数据'!H3-1)</f>
        <v/>
      </c>
      <c r="G5" s="17">
        <f>IF(OR('历史数据'!G3&lt;=0,'历史数据'!I3&lt;=0),"—",POWER('历史数据'!G3/'历史数据'!I3,1/3)-1)</f>
        <v/>
      </c>
      <c r="H5" s="17">
        <f>IF(OR('历史数据'!G3&lt;=0,'历史数据'!J3=""),"—",('历史数据'!G3-'历史数据'!J3)/'历史数据'!G3)</f>
        <v/>
      </c>
      <c r="I5" s="18">
        <f>IF(OR(H5="—",'历史数据'!H3&lt;=0,'历史数据'!K3=""),"—",(H5-('历史数据'!H3-'历史数据'!K3)/'历史数据'!H3)*100)</f>
        <v/>
      </c>
      <c r="J5" s="18">
        <f>IF(OR(H5="—",'历史数据'!I3&lt;=0,'历史数据'!L3=""),"—",(H5-('历史数据'!I3-'历史数据'!L3)/'历史数据'!I3)*100)</f>
        <v/>
      </c>
      <c r="K5" s="16">
        <f>IF('历史数据'!M3="","—",'历史数据'!M3/100000000)</f>
        <v/>
      </c>
      <c r="L5" s="17">
        <f>IF(OR('历史数据'!G3=0,'历史数据'!M3=""),"—",'历史数据'!M3/'历史数据'!G3)</f>
        <v/>
      </c>
      <c r="M5" s="17">
        <f>IF(OR('历史数据'!M3="",'历史数据'!N3=0),"—",('历史数据'!M3-'历史数据'!N3)/ABS('历史数据'!N3))</f>
        <v/>
      </c>
      <c r="N5" s="17">
        <f>IF(OR('历史数据'!M3&lt;=0,'历史数据'!O3&lt;=0),"—",POWER('历史数据'!M3/'历史数据'!O3,1/3)-1)</f>
        <v/>
      </c>
      <c r="O5" s="16">
        <f>IF('历史数据'!P3="","—",'历史数据'!P3/100000000)</f>
        <v/>
      </c>
      <c r="P5" s="19">
        <f>IF(OR('历史数据'!P3="",'历史数据'!Q3=0),"—",('历史数据'!P3-'历史数据'!Q3)/ABS('历史数据'!Q3))</f>
        <v/>
      </c>
      <c r="Q5" s="19">
        <f>IF(OR('历史数据'!P3&lt;=0,'历史数据'!R3&lt;=0),"—",POWER('历史数据'!P3/'历史数据'!R3,1/3)-1)</f>
        <v/>
      </c>
      <c r="R5" s="20">
        <f>IF('历史数据'!S3="","—",'历史数据'!S3/100000000)</f>
        <v/>
      </c>
      <c r="S5" s="21">
        <f>IF('历史数据'!T3="","—",'历史数据'!T3)</f>
        <v/>
      </c>
      <c r="T5" s="22">
        <f>IF('历史数据'!U3="","—",'历史数据'!U3)</f>
        <v/>
      </c>
      <c r="U5" s="22">
        <f>IF('历史数据'!V3="","—",'历史数据'!V3/100000000)</f>
        <v/>
      </c>
      <c r="V5" s="20">
        <f>IF('历史数据'!W3="","—",'历史数据'!W3/100000000)</f>
        <v/>
      </c>
      <c r="W5" s="22">
        <f>IF('历史数据'!X3="","—",'历史数据'!X3)</f>
        <v/>
      </c>
      <c r="X5" s="19">
        <f>IF(OR(R5="—",V5="—",V5&lt;=0),"—",R5/V5-1)</f>
        <v/>
      </c>
      <c r="Y5" s="23">
        <f>IF('历史数据'!Y3="","—",'历史数据'!Y3)</f>
        <v/>
      </c>
      <c r="Z5" s="20">
        <f>IF('历史数据'!Z3="","—",'历史数据'!Z3/100000000)</f>
        <v/>
      </c>
      <c r="AA5" s="24">
        <f>IF('历史数据'!AA3="","—",'历史数据'!AA3/100000000)</f>
        <v/>
      </c>
      <c r="AB5" s="24">
        <f>IF('历史数据'!AB3="","—",'历史数据'!AB3/100000000)</f>
        <v/>
      </c>
    </row>
    <row r="6" ht="21" customHeight="1" s="3">
      <c r="A6" s="12" t="inlineStr">
        <is>
          <t>000001</t>
        </is>
      </c>
      <c r="B6" s="13" t="inlineStr">
        <is>
          <t>平安银行</t>
        </is>
      </c>
      <c r="C6" s="25">
        <f>IF('历史数据'!D5="","—",'历史数据'!D5)</f>
        <v/>
      </c>
      <c r="D6" s="13">
        <f>IF('历史数据'!E5="","—",'历史数据'!E5)</f>
        <v/>
      </c>
      <c r="E6" s="24">
        <f>IF('历史数据'!G5="","—",'历史数据'!G5/100000000)</f>
        <v/>
      </c>
      <c r="F6" s="26">
        <f>IF(OR('历史数据'!G5="",'历史数据'!H5&lt;=0),"—",'历史数据'!G5/'历史数据'!H5-1)</f>
        <v/>
      </c>
      <c r="G6" s="26">
        <f>IF(OR('历史数据'!G5&lt;=0,'历史数据'!I5&lt;=0),"—",POWER('历史数据'!G5/'历史数据'!I5,1/3)-1)</f>
        <v/>
      </c>
      <c r="H6" s="26">
        <f>IF(OR('历史数据'!G5&lt;=0,'历史数据'!J5=""),"—",('历史数据'!G5-'历史数据'!J5)/'历史数据'!G5)</f>
        <v/>
      </c>
      <c r="I6" s="27">
        <f>IF(OR(H6="—",'历史数据'!H5&lt;=0,'历史数据'!K5=""),"—",(H6-('历史数据'!H5-'历史数据'!K5)/'历史数据'!H5)*100)</f>
        <v/>
      </c>
      <c r="J6" s="27">
        <f>IF(OR(H6="—",'历史数据'!I5&lt;=0,'历史数据'!L5=""),"—",(H6-('历史数据'!I5-'历史数据'!L5)/'历史数据'!I5)*100)</f>
        <v/>
      </c>
      <c r="K6" s="24">
        <f>IF('历史数据'!M5="","—",'历史数据'!M5/100000000)</f>
        <v/>
      </c>
      <c r="L6" s="26">
        <f>IF(OR('历史数据'!G5=0,'历史数据'!M5=""),"—",'历史数据'!M5/'历史数据'!G5)</f>
        <v/>
      </c>
      <c r="M6" s="26">
        <f>IF(OR('历史数据'!M5="",'历史数据'!N5=0),"—",('历史数据'!M5-'历史数据'!N5)/ABS('历史数据'!N5))</f>
        <v/>
      </c>
      <c r="N6" s="26">
        <f>IF(OR('历史数据'!M5&lt;=0,'历史数据'!O5&lt;=0),"—",POWER('历史数据'!M5/'历史数据'!O5,1/3)-1)</f>
        <v/>
      </c>
      <c r="O6" s="24">
        <f>IF('历史数据'!P5="","—",'历史数据'!P5/100000000)</f>
        <v/>
      </c>
      <c r="P6" s="26">
        <f>IF(OR('历史数据'!P5="",'历史数据'!Q5=0),"—",('历史数据'!P5-'历史数据'!Q5)/ABS('历史数据'!Q5))</f>
        <v/>
      </c>
      <c r="Q6" s="26">
        <f>IF(OR('历史数据'!P5&lt;=0,'历史数据'!R5&lt;=0),"—",POWER('历史数据'!P5/'历史数据'!R5,1/3)-1)</f>
        <v/>
      </c>
      <c r="R6" s="24">
        <f>IF('历史数据'!S5="","—",'历史数据'!S5/100000000)</f>
        <v/>
      </c>
      <c r="S6" s="25">
        <f>IF('历史数据'!T5="","—",'历史数据'!T5)</f>
        <v/>
      </c>
      <c r="T6" s="28">
        <f>IF('历史数据'!U5="","—",'历史数据'!U5)</f>
        <v/>
      </c>
      <c r="U6" s="28">
        <f>IF('历史数据'!V5="","—",'历史数据'!V5/100000000)</f>
        <v/>
      </c>
      <c r="V6" s="24">
        <f>IF('历史数据'!W5="","—",'历史数据'!W5/100000000)</f>
        <v/>
      </c>
      <c r="W6" s="28">
        <f>IF('历史数据'!X5="","—",'历史数据'!X5)</f>
        <v/>
      </c>
      <c r="X6" s="26">
        <f>IF(OR(R6="—",V6="—",V6&lt;=0),"—",R6/V6-1)</f>
        <v/>
      </c>
      <c r="Y6" s="29">
        <f>IF('历史数据'!Y5="","—",'历史数据'!Y5)</f>
        <v/>
      </c>
      <c r="Z6" s="24">
        <f>IF('历史数据'!Z5="","—",'历史数据'!Z5/100000000)</f>
        <v/>
      </c>
      <c r="AA6" s="24">
        <f>IF('历史数据'!AA5="","—",'历史数据'!AA5/100000000)</f>
        <v/>
      </c>
      <c r="AB6" s="24">
        <f>IF('历史数据'!AB5="","—",'历史数据'!AB5/100000000)</f>
        <v/>
      </c>
    </row>
    <row r="7" ht="21" customHeight="1" s="3">
      <c r="A7" s="12" t="inlineStr">
        <is>
          <t>600519</t>
        </is>
      </c>
      <c r="B7" s="13" t="inlineStr">
        <is>
          <t>贵州茅台</t>
        </is>
      </c>
      <c r="C7" s="25">
        <f>IF('历史数据'!D2="","—",'历史数据'!D2)</f>
        <v/>
      </c>
      <c r="D7" s="13">
        <f>IF('历史数据'!E2="","—",'历史数据'!E2)</f>
        <v/>
      </c>
      <c r="E7" s="24">
        <f>IF('历史数据'!G2="","—",'历史数据'!G2/100000000)</f>
        <v/>
      </c>
      <c r="F7" s="26">
        <f>IF(OR('历史数据'!G2="",'历史数据'!H2&lt;=0),"—",'历史数据'!G2/'历史数据'!H2-1)</f>
        <v/>
      </c>
      <c r="G7" s="26">
        <f>IF(OR('历史数据'!G2&lt;=0,'历史数据'!I2&lt;=0),"—",POWER('历史数据'!G2/'历史数据'!I2,1/3)-1)</f>
        <v/>
      </c>
      <c r="H7" s="26">
        <f>IF(OR('历史数据'!G2&lt;=0,'历史数据'!J2=""),"—",('历史数据'!G2-'历史数据'!J2)/'历史数据'!G2)</f>
        <v/>
      </c>
      <c r="I7" s="27">
        <f>IF(OR(H7="—",'历史数据'!H2&lt;=0,'历史数据'!K2=""),"—",(H7-('历史数据'!H2-'历史数据'!K2)/'历史数据'!H2)*100)</f>
        <v/>
      </c>
      <c r="J7" s="27">
        <f>IF(OR(H7="—",'历史数据'!I2&lt;=0,'历史数据'!L2=""),"—",(H7-('历史数据'!I2-'历史数据'!L2)/'历史数据'!I2)*100)</f>
        <v/>
      </c>
      <c r="K7" s="24">
        <f>IF('历史数据'!M2="","—",'历史数据'!M2/100000000)</f>
        <v/>
      </c>
      <c r="L7" s="26">
        <f>IF(OR('历史数据'!G2=0,'历史数据'!M2=""),"—",'历史数据'!M2/'历史数据'!G2)</f>
        <v/>
      </c>
      <c r="M7" s="26">
        <f>IF(OR('历史数据'!M2="",'历史数据'!N2=0),"—",('历史数据'!M2-'历史数据'!N2)/ABS('历史数据'!N2))</f>
        <v/>
      </c>
      <c r="N7" s="26">
        <f>IF(OR('历史数据'!M2&lt;=0,'历史数据'!O2&lt;=0),"—",POWER('历史数据'!M2/'历史数据'!O2,1/3)-1)</f>
        <v/>
      </c>
      <c r="O7" s="24">
        <f>IF('历史数据'!P2="","—",'历史数据'!P2/100000000)</f>
        <v/>
      </c>
      <c r="P7" s="26">
        <f>IF(OR('历史数据'!P2="",'历史数据'!Q2=0),"—",('历史数据'!P2-'历史数据'!Q2)/ABS('历史数据'!Q2))</f>
        <v/>
      </c>
      <c r="Q7" s="26">
        <f>IF(OR('历史数据'!P2&lt;=0,'历史数据'!R2&lt;=0),"—",POWER('历史数据'!P2/'历史数据'!R2,1/3)-1)</f>
        <v/>
      </c>
      <c r="R7" s="24">
        <f>IF('历史数据'!S2="","—",'历史数据'!S2/100000000)</f>
        <v/>
      </c>
      <c r="S7" s="25">
        <f>IF('历史数据'!T2="","—",'历史数据'!T2)</f>
        <v/>
      </c>
      <c r="T7" s="28">
        <f>IF('历史数据'!U2="","—",'历史数据'!U2)</f>
        <v/>
      </c>
      <c r="U7" s="28">
        <f>IF('历史数据'!V2="","—",'历史数据'!V2/100000000)</f>
        <v/>
      </c>
      <c r="V7" s="24">
        <f>IF('历史数据'!W2="","—",'历史数据'!W2/100000000)</f>
        <v/>
      </c>
      <c r="W7" s="28">
        <f>IF('历史数据'!X2="","—",'历史数据'!X2)</f>
        <v/>
      </c>
      <c r="X7" s="26">
        <f>IF(OR(R7="—",V7="—",V7&lt;=0),"—",R7/V7-1)</f>
        <v/>
      </c>
      <c r="Y7" s="29">
        <f>IF('历史数据'!Y2="","—",'历史数据'!Y2)</f>
        <v/>
      </c>
      <c r="Z7" s="24">
        <f>IF('历史数据'!Z2="","—",'历史数据'!Z2/100000000)</f>
        <v/>
      </c>
      <c r="AA7" s="24">
        <f>IF('历史数据'!AA2="","—",'历史数据'!AA2/100000000)</f>
        <v/>
      </c>
      <c r="AB7" s="24">
        <f>IF('历史数据'!AB2="","—",'历史数据'!AB2/100000000)</f>
        <v/>
      </c>
    </row>
    <row r="8" ht="21" customHeight="1" s="3">
      <c r="A8" s="12" t="inlineStr">
        <is>
          <t>688981</t>
        </is>
      </c>
      <c r="B8" s="13" t="inlineStr">
        <is>
          <t>中芯国际</t>
        </is>
      </c>
      <c r="C8" s="25">
        <f>IF('历史数据'!D4="","—",'历史数据'!D4)</f>
        <v/>
      </c>
      <c r="D8" s="13">
        <f>IF('历史数据'!E4="","—",'历史数据'!E4)</f>
        <v/>
      </c>
      <c r="E8" s="24">
        <f>IF('历史数据'!G4="","—",'历史数据'!G4/100000000)</f>
        <v/>
      </c>
      <c r="F8" s="26">
        <f>IF(OR('历史数据'!G4="",'历史数据'!H4&lt;=0),"—",'历史数据'!G4/'历史数据'!H4-1)</f>
        <v/>
      </c>
      <c r="G8" s="26">
        <f>IF(OR('历史数据'!G4&lt;=0,'历史数据'!I4&lt;=0),"—",POWER('历史数据'!G4/'历史数据'!I4,1/3)-1)</f>
        <v/>
      </c>
      <c r="H8" s="26">
        <f>IF(OR('历史数据'!G4&lt;=0,'历史数据'!J4=""),"—",('历史数据'!G4-'历史数据'!J4)/'历史数据'!G4)</f>
        <v/>
      </c>
      <c r="I8" s="27">
        <f>IF(OR(H8="—",'历史数据'!H4&lt;=0,'历史数据'!K4=""),"—",(H8-('历史数据'!H4-'历史数据'!K4)/'历史数据'!H4)*100)</f>
        <v/>
      </c>
      <c r="J8" s="27">
        <f>IF(OR(H8="—",'历史数据'!I4&lt;=0,'历史数据'!L4=""),"—",(H8-('历史数据'!I4-'历史数据'!L4)/'历史数据'!I4)*100)</f>
        <v/>
      </c>
      <c r="K8" s="24">
        <f>IF('历史数据'!M4="","—",'历史数据'!M4/100000000)</f>
        <v/>
      </c>
      <c r="L8" s="26">
        <f>IF(OR('历史数据'!G4=0,'历史数据'!M4=""),"—",'历史数据'!M4/'历史数据'!G4)</f>
        <v/>
      </c>
      <c r="M8" s="26">
        <f>IF(OR('历史数据'!M4="",'历史数据'!N4=0),"—",('历史数据'!M4-'历史数据'!N4)/ABS('历史数据'!N4))</f>
        <v/>
      </c>
      <c r="N8" s="26">
        <f>IF(OR('历史数据'!M4&lt;=0,'历史数据'!O4&lt;=0),"—",POWER('历史数据'!M4/'历史数据'!O4,1/3)-1)</f>
        <v/>
      </c>
      <c r="O8" s="24">
        <f>IF('历史数据'!P4="","—",'历史数据'!P4/100000000)</f>
        <v/>
      </c>
      <c r="P8" s="26">
        <f>IF(OR('历史数据'!P4="",'历史数据'!Q4=0),"—",('历史数据'!P4-'历史数据'!Q4)/ABS('历史数据'!Q4))</f>
        <v/>
      </c>
      <c r="Q8" s="26">
        <f>IF(OR('历史数据'!P4&lt;=0,'历史数据'!R4&lt;=0),"—",POWER('历史数据'!P4/'历史数据'!R4,1/3)-1)</f>
        <v/>
      </c>
      <c r="R8" s="24">
        <f>IF('历史数据'!S4="","—",'历史数据'!S4/100000000)</f>
        <v/>
      </c>
      <c r="S8" s="25">
        <f>IF('历史数据'!T4="","—",'历史数据'!T4)</f>
        <v/>
      </c>
      <c r="T8" s="28">
        <f>IF('历史数据'!U4="","—",'历史数据'!U4)</f>
        <v/>
      </c>
      <c r="U8" s="28">
        <f>IF('历史数据'!V4="","—",'历史数据'!V4/100000000)</f>
        <v/>
      </c>
      <c r="V8" s="24">
        <f>IF('历史数据'!W4="","—",'历史数据'!W4/100000000)</f>
        <v/>
      </c>
      <c r="W8" s="28">
        <f>IF('历史数据'!X4="","—",'历史数据'!X4)</f>
        <v/>
      </c>
      <c r="X8" s="26">
        <f>IF(OR(R8="—",V8="—",V8&lt;=0),"—",R8/V8-1)</f>
        <v/>
      </c>
      <c r="Y8" s="29">
        <f>IF('历史数据'!Y4="","—",'历史数据'!Y4)</f>
        <v/>
      </c>
      <c r="Z8" s="24">
        <f>IF('历史数据'!Z4="","—",'历史数据'!Z4/100000000)</f>
        <v/>
      </c>
      <c r="AA8" s="24">
        <f>IF('历史数据'!AA4="","—",'历史数据'!AA4/100000000)</f>
        <v/>
      </c>
      <c r="AB8" s="24">
        <f>IF('历史数据'!AB4="","—",'历史数据'!AB4/100000000)</f>
        <v/>
      </c>
    </row>
  </sheetData>
  <autoFilter ref="A4:AB8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B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股票分析表生成器｜财务年度：2025｜数据截至：2026-08-29｜金额单位：亿元｜股数单位：亿股</t>
        </is>
      </c>
    </row>
    <row r="2" ht="25" customHeight="1" s="3">
      <c r="A2" s="5" t="inlineStr">
        <is>
          <t>范围：港交所普通股；仅纳入可取得结构化关键财务数据的公司。港股大宗交易和资金流允许留空。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00941</t>
        </is>
      </c>
      <c r="B5" s="13" t="inlineStr">
        <is>
          <t>中国移动</t>
        </is>
      </c>
      <c r="C5" s="14">
        <f>IF('历史数据'!D9="","—",'历史数据'!D9)</f>
        <v/>
      </c>
      <c r="D5" s="15">
        <f>IF('历史数据'!E9="","—",'历史数据'!E9)</f>
        <v/>
      </c>
      <c r="E5" s="16">
        <f>IF('历史数据'!G9="","—",'历史数据'!G9/100000000)</f>
        <v/>
      </c>
      <c r="F5" s="17">
        <f>IF(OR('历史数据'!G9="",'历史数据'!H9&lt;=0),"—",'历史数据'!G9/'历史数据'!H9-1)</f>
        <v/>
      </c>
      <c r="G5" s="17">
        <f>IF(OR('历史数据'!G9&lt;=0,'历史数据'!I9&lt;=0),"—",POWER('历史数据'!G9/'历史数据'!I9,1/3)-1)</f>
        <v/>
      </c>
      <c r="H5" s="17">
        <f>IF(OR('历史数据'!G9&lt;=0,'历史数据'!J9=""),"—",('历史数据'!G9-'历史数据'!J9)/'历史数据'!G9)</f>
        <v/>
      </c>
      <c r="I5" s="18">
        <f>IF(OR(H5="—",'历史数据'!H9&lt;=0,'历史数据'!K9=""),"—",(H5-('历史数据'!H9-'历史数据'!K9)/'历史数据'!H9)*100)</f>
        <v/>
      </c>
      <c r="J5" s="18">
        <f>IF(OR(H5="—",'历史数据'!I9&lt;=0,'历史数据'!L9=""),"—",(H5-('历史数据'!I9-'历史数据'!L9)/'历史数据'!I9)*100)</f>
        <v/>
      </c>
      <c r="K5" s="16">
        <f>IF('历史数据'!M9="","—",'历史数据'!M9/100000000)</f>
        <v/>
      </c>
      <c r="L5" s="17">
        <f>IF(OR('历史数据'!G9=0,'历史数据'!M9=""),"—",'历史数据'!M9/'历史数据'!G9)</f>
        <v/>
      </c>
      <c r="M5" s="17">
        <f>IF(OR('历史数据'!M9="",'历史数据'!N9=0),"—",('历史数据'!M9-'历史数据'!N9)/ABS('历史数据'!N9))</f>
        <v/>
      </c>
      <c r="N5" s="17">
        <f>IF(OR('历史数据'!M9&lt;=0,'历史数据'!O9&lt;=0),"—",POWER('历史数据'!M9/'历史数据'!O9,1/3)-1)</f>
        <v/>
      </c>
      <c r="O5" s="16">
        <f>IF('历史数据'!P9="","—",'历史数据'!P9/100000000)</f>
        <v/>
      </c>
      <c r="P5" s="19">
        <f>IF(OR('历史数据'!P9="",'历史数据'!Q9=0),"—",('历史数据'!P9-'历史数据'!Q9)/ABS('历史数据'!Q9))</f>
        <v/>
      </c>
      <c r="Q5" s="19">
        <f>IF(OR('历史数据'!P9&lt;=0,'历史数据'!R9&lt;=0),"—",POWER('历史数据'!P9/'历史数据'!R9,1/3)-1)</f>
        <v/>
      </c>
      <c r="R5" s="20">
        <f>IF('历史数据'!S9="","—",'历史数据'!S9/100000000)</f>
        <v/>
      </c>
      <c r="S5" s="21">
        <f>IF('历史数据'!T9="","—",'历史数据'!T9)</f>
        <v/>
      </c>
      <c r="T5" s="22">
        <f>IF('历史数据'!U9="","—",'历史数据'!U9)</f>
        <v/>
      </c>
      <c r="U5" s="22">
        <f>IF('历史数据'!V9="","—",'历史数据'!V9/100000000)</f>
        <v/>
      </c>
      <c r="V5" s="20">
        <f>IF('历史数据'!W9="","—",'历史数据'!W9/100000000)</f>
        <v/>
      </c>
      <c r="W5" s="22">
        <f>IF('历史数据'!X9="","—",'历史数据'!X9)</f>
        <v/>
      </c>
      <c r="X5" s="19">
        <f>IF(OR(R5="—",V5="—",V5&lt;=0),"—",R5/V5-1)</f>
        <v/>
      </c>
      <c r="Y5" s="23">
        <f>IF('历史数据'!Y9="","—",'历史数据'!Y9)</f>
        <v/>
      </c>
      <c r="Z5" s="20">
        <f>IF('历史数据'!Z9="","—",'历史数据'!Z9/100000000)</f>
        <v/>
      </c>
      <c r="AA5" s="24">
        <f>IF('历史数据'!AA9="","—",'历史数据'!AA9/100000000)</f>
        <v/>
      </c>
      <c r="AB5" s="24">
        <f>IF('历史数据'!AB9="","—",'历史数据'!AB9/100000000)</f>
        <v/>
      </c>
    </row>
    <row r="6" ht="21" customHeight="1" s="3">
      <c r="A6" s="12" t="inlineStr">
        <is>
          <t>09988</t>
        </is>
      </c>
      <c r="B6" s="13" t="inlineStr">
        <is>
          <t>阿里巴巴-W</t>
        </is>
      </c>
      <c r="C6" s="25">
        <f>IF('历史数据'!D7="","—",'历史数据'!D7)</f>
        <v/>
      </c>
      <c r="D6" s="13">
        <f>IF('历史数据'!E7="","—",'历史数据'!E7)</f>
        <v/>
      </c>
      <c r="E6" s="24">
        <f>IF('历史数据'!G7="","—",'历史数据'!G7/100000000)</f>
        <v/>
      </c>
      <c r="F6" s="26">
        <f>IF(OR('历史数据'!G7="",'历史数据'!H7&lt;=0),"—",'历史数据'!G7/'历史数据'!H7-1)</f>
        <v/>
      </c>
      <c r="G6" s="26">
        <f>IF(OR('历史数据'!G7&lt;=0,'历史数据'!I7&lt;=0),"—",POWER('历史数据'!G7/'历史数据'!I7,1/3)-1)</f>
        <v/>
      </c>
      <c r="H6" s="26">
        <f>IF(OR('历史数据'!G7&lt;=0,'历史数据'!J7=""),"—",('历史数据'!G7-'历史数据'!J7)/'历史数据'!G7)</f>
        <v/>
      </c>
      <c r="I6" s="27">
        <f>IF(OR(H6="—",'历史数据'!H7&lt;=0,'历史数据'!K7=""),"—",(H6-('历史数据'!H7-'历史数据'!K7)/'历史数据'!H7)*100)</f>
        <v/>
      </c>
      <c r="J6" s="27">
        <f>IF(OR(H6="—",'历史数据'!I7&lt;=0,'历史数据'!L7=""),"—",(H6-('历史数据'!I7-'历史数据'!L7)/'历史数据'!I7)*100)</f>
        <v/>
      </c>
      <c r="K6" s="24">
        <f>IF('历史数据'!M7="","—",'历史数据'!M7/100000000)</f>
        <v/>
      </c>
      <c r="L6" s="26">
        <f>IF(OR('历史数据'!G7=0,'历史数据'!M7=""),"—",'历史数据'!M7/'历史数据'!G7)</f>
        <v/>
      </c>
      <c r="M6" s="26">
        <f>IF(OR('历史数据'!M7="",'历史数据'!N7=0),"—",('历史数据'!M7-'历史数据'!N7)/ABS('历史数据'!N7))</f>
        <v/>
      </c>
      <c r="N6" s="26">
        <f>IF(OR('历史数据'!M7&lt;=0,'历史数据'!O7&lt;=0),"—",POWER('历史数据'!M7/'历史数据'!O7,1/3)-1)</f>
        <v/>
      </c>
      <c r="O6" s="24">
        <f>IF('历史数据'!P7="","—",'历史数据'!P7/100000000)</f>
        <v/>
      </c>
      <c r="P6" s="26">
        <f>IF(OR('历史数据'!P7="",'历史数据'!Q7=0),"—",('历史数据'!P7-'历史数据'!Q7)/ABS('历史数据'!Q7))</f>
        <v/>
      </c>
      <c r="Q6" s="26">
        <f>IF(OR('历史数据'!P7&lt;=0,'历史数据'!R7&lt;=0),"—",POWER('历史数据'!P7/'历史数据'!R7,1/3)-1)</f>
        <v/>
      </c>
      <c r="R6" s="24">
        <f>IF('历史数据'!S7="","—",'历史数据'!S7/100000000)</f>
        <v/>
      </c>
      <c r="S6" s="25">
        <f>IF('历史数据'!T7="","—",'历史数据'!T7)</f>
        <v/>
      </c>
      <c r="T6" s="28">
        <f>IF('历史数据'!U7="","—",'历史数据'!U7)</f>
        <v/>
      </c>
      <c r="U6" s="28">
        <f>IF('历史数据'!V7="","—",'历史数据'!V7/100000000)</f>
        <v/>
      </c>
      <c r="V6" s="24">
        <f>IF('历史数据'!W7="","—",'历史数据'!W7/100000000)</f>
        <v/>
      </c>
      <c r="W6" s="28">
        <f>IF('历史数据'!X7="","—",'历史数据'!X7)</f>
        <v/>
      </c>
      <c r="X6" s="26">
        <f>IF(OR(R6="—",V6="—",V6&lt;=0),"—",R6/V6-1)</f>
        <v/>
      </c>
      <c r="Y6" s="29">
        <f>IF('历史数据'!Y7="","—",'历史数据'!Y7)</f>
        <v/>
      </c>
      <c r="Z6" s="24">
        <f>IF('历史数据'!Z7="","—",'历史数据'!Z7/100000000)</f>
        <v/>
      </c>
      <c r="AA6" s="24">
        <f>IF('历史数据'!AA7="","—",'历史数据'!AA7/100000000)</f>
        <v/>
      </c>
      <c r="AB6" s="24">
        <f>IF('历史数据'!AB7="","—",'历史数据'!AB7/100000000)</f>
        <v/>
      </c>
    </row>
    <row r="7" ht="21" customHeight="1" s="3">
      <c r="A7" s="12" t="inlineStr">
        <is>
          <t>00700</t>
        </is>
      </c>
      <c r="B7" s="13" t="inlineStr">
        <is>
          <t>腾讯控股</t>
        </is>
      </c>
      <c r="C7" s="25">
        <f>IF('历史数据'!D6="","—",'历史数据'!D6)</f>
        <v/>
      </c>
      <c r="D7" s="13">
        <f>IF('历史数据'!E6="","—",'历史数据'!E6)</f>
        <v/>
      </c>
      <c r="E7" s="24">
        <f>IF('历史数据'!G6="","—",'历史数据'!G6/100000000)</f>
        <v/>
      </c>
      <c r="F7" s="26">
        <f>IF(OR('历史数据'!G6="",'历史数据'!H6&lt;=0),"—",'历史数据'!G6/'历史数据'!H6-1)</f>
        <v/>
      </c>
      <c r="G7" s="26">
        <f>IF(OR('历史数据'!G6&lt;=0,'历史数据'!I6&lt;=0),"—",POWER('历史数据'!G6/'历史数据'!I6,1/3)-1)</f>
        <v/>
      </c>
      <c r="H7" s="26">
        <f>IF(OR('历史数据'!G6&lt;=0,'历史数据'!J6=""),"—",('历史数据'!G6-'历史数据'!J6)/'历史数据'!G6)</f>
        <v/>
      </c>
      <c r="I7" s="27">
        <f>IF(OR(H7="—",'历史数据'!H6&lt;=0,'历史数据'!K6=""),"—",(H7-('历史数据'!H6-'历史数据'!K6)/'历史数据'!H6)*100)</f>
        <v/>
      </c>
      <c r="J7" s="27">
        <f>IF(OR(H7="—",'历史数据'!I6&lt;=0,'历史数据'!L6=""),"—",(H7-('历史数据'!I6-'历史数据'!L6)/'历史数据'!I6)*100)</f>
        <v/>
      </c>
      <c r="K7" s="24">
        <f>IF('历史数据'!M6="","—",'历史数据'!M6/100000000)</f>
        <v/>
      </c>
      <c r="L7" s="26">
        <f>IF(OR('历史数据'!G6=0,'历史数据'!M6=""),"—",'历史数据'!M6/'历史数据'!G6)</f>
        <v/>
      </c>
      <c r="M7" s="26">
        <f>IF(OR('历史数据'!M6="",'历史数据'!N6=0),"—",('历史数据'!M6-'历史数据'!N6)/ABS('历史数据'!N6))</f>
        <v/>
      </c>
      <c r="N7" s="26">
        <f>IF(OR('历史数据'!M6&lt;=0,'历史数据'!O6&lt;=0),"—",POWER('历史数据'!M6/'历史数据'!O6,1/3)-1)</f>
        <v/>
      </c>
      <c r="O7" s="24">
        <f>IF('历史数据'!P6="","—",'历史数据'!P6/100000000)</f>
        <v/>
      </c>
      <c r="P7" s="26">
        <f>IF(OR('历史数据'!P6="",'历史数据'!Q6=0),"—",('历史数据'!P6-'历史数据'!Q6)/ABS('历史数据'!Q6))</f>
        <v/>
      </c>
      <c r="Q7" s="26">
        <f>IF(OR('历史数据'!P6&lt;=0,'历史数据'!R6&lt;=0),"—",POWER('历史数据'!P6/'历史数据'!R6,1/3)-1)</f>
        <v/>
      </c>
      <c r="R7" s="24">
        <f>IF('历史数据'!S6="","—",'历史数据'!S6/100000000)</f>
        <v/>
      </c>
      <c r="S7" s="25">
        <f>IF('历史数据'!T6="","—",'历史数据'!T6)</f>
        <v/>
      </c>
      <c r="T7" s="28">
        <f>IF('历史数据'!U6="","—",'历史数据'!U6)</f>
        <v/>
      </c>
      <c r="U7" s="28">
        <f>IF('历史数据'!V6="","—",'历史数据'!V6/100000000)</f>
        <v/>
      </c>
      <c r="V7" s="24">
        <f>IF('历史数据'!W6="","—",'历史数据'!W6/100000000)</f>
        <v/>
      </c>
      <c r="W7" s="28">
        <f>IF('历史数据'!X6="","—",'历史数据'!X6)</f>
        <v/>
      </c>
      <c r="X7" s="26">
        <f>IF(OR(R7="—",V7="—",V7&lt;=0),"—",R7/V7-1)</f>
        <v/>
      </c>
      <c r="Y7" s="29">
        <f>IF('历史数据'!Y6="","—",'历史数据'!Y6)</f>
        <v/>
      </c>
      <c r="Z7" s="24">
        <f>IF('历史数据'!Z6="","—",'历史数据'!Z6/100000000)</f>
        <v/>
      </c>
      <c r="AA7" s="24">
        <f>IF('历史数据'!AA6="","—",'历史数据'!AA6/100000000)</f>
        <v/>
      </c>
      <c r="AB7" s="24">
        <f>IF('历史数据'!AB6="","—",'历史数据'!AB6/100000000)</f>
        <v/>
      </c>
    </row>
    <row r="8" ht="21" customHeight="1" s="3">
      <c r="A8" s="12" t="inlineStr">
        <is>
          <t>00005</t>
        </is>
      </c>
      <c r="B8" s="13" t="inlineStr">
        <is>
          <t>汇丰控股</t>
        </is>
      </c>
      <c r="C8" s="25">
        <f>IF('历史数据'!D8="","—",'历史数据'!D8)</f>
        <v/>
      </c>
      <c r="D8" s="13">
        <f>IF('历史数据'!E8="","—",'历史数据'!E8)</f>
        <v/>
      </c>
      <c r="E8" s="24">
        <f>IF('历史数据'!G8="","—",'历史数据'!G8/100000000)</f>
        <v/>
      </c>
      <c r="F8" s="26">
        <f>IF(OR('历史数据'!G8="",'历史数据'!H8&lt;=0),"—",'历史数据'!G8/'历史数据'!H8-1)</f>
        <v/>
      </c>
      <c r="G8" s="26">
        <f>IF(OR('历史数据'!G8&lt;=0,'历史数据'!I8&lt;=0),"—",POWER('历史数据'!G8/'历史数据'!I8,1/3)-1)</f>
        <v/>
      </c>
      <c r="H8" s="26">
        <f>IF(OR('历史数据'!G8&lt;=0,'历史数据'!J8=""),"—",('历史数据'!G8-'历史数据'!J8)/'历史数据'!G8)</f>
        <v/>
      </c>
      <c r="I8" s="27">
        <f>IF(OR(H8="—",'历史数据'!H8&lt;=0,'历史数据'!K8=""),"—",(H8-('历史数据'!H8-'历史数据'!K8)/'历史数据'!H8)*100)</f>
        <v/>
      </c>
      <c r="J8" s="27">
        <f>IF(OR(H8="—",'历史数据'!I8&lt;=0,'历史数据'!L8=""),"—",(H8-('历史数据'!I8-'历史数据'!L8)/'历史数据'!I8)*100)</f>
        <v/>
      </c>
      <c r="K8" s="24">
        <f>IF('历史数据'!M8="","—",'历史数据'!M8/100000000)</f>
        <v/>
      </c>
      <c r="L8" s="26">
        <f>IF(OR('历史数据'!G8=0,'历史数据'!M8=""),"—",'历史数据'!M8/'历史数据'!G8)</f>
        <v/>
      </c>
      <c r="M8" s="26">
        <f>IF(OR('历史数据'!M8="",'历史数据'!N8=0),"—",('历史数据'!M8-'历史数据'!N8)/ABS('历史数据'!N8))</f>
        <v/>
      </c>
      <c r="N8" s="26">
        <f>IF(OR('历史数据'!M8&lt;=0,'历史数据'!O8&lt;=0),"—",POWER('历史数据'!M8/'历史数据'!O8,1/3)-1)</f>
        <v/>
      </c>
      <c r="O8" s="24">
        <f>IF('历史数据'!P8="","—",'历史数据'!P8/100000000)</f>
        <v/>
      </c>
      <c r="P8" s="26">
        <f>IF(OR('历史数据'!P8="",'历史数据'!Q8=0),"—",('历史数据'!P8-'历史数据'!Q8)/ABS('历史数据'!Q8))</f>
        <v/>
      </c>
      <c r="Q8" s="26">
        <f>IF(OR('历史数据'!P8&lt;=0,'历史数据'!R8&lt;=0),"—",POWER('历史数据'!P8/'历史数据'!R8,1/3)-1)</f>
        <v/>
      </c>
      <c r="R8" s="24">
        <f>IF('历史数据'!S8="","—",'历史数据'!S8/100000000)</f>
        <v/>
      </c>
      <c r="S8" s="25">
        <f>IF('历史数据'!T8="","—",'历史数据'!T8)</f>
        <v/>
      </c>
      <c r="T8" s="28">
        <f>IF('历史数据'!U8="","—",'历史数据'!U8)</f>
        <v/>
      </c>
      <c r="U8" s="28">
        <f>IF('历史数据'!V8="","—",'历史数据'!V8/100000000)</f>
        <v/>
      </c>
      <c r="V8" s="24">
        <f>IF('历史数据'!W8="","—",'历史数据'!W8/100000000)</f>
        <v/>
      </c>
      <c r="W8" s="28">
        <f>IF('历史数据'!X8="","—",'历史数据'!X8)</f>
        <v/>
      </c>
      <c r="X8" s="26">
        <f>IF(OR(R8="—",V8="—",V8&lt;=0),"—",R8/V8-1)</f>
        <v/>
      </c>
      <c r="Y8" s="29">
        <f>IF('历史数据'!Y8="","—",'历史数据'!Y8)</f>
        <v/>
      </c>
      <c r="Z8" s="24">
        <f>IF('历史数据'!Z8="","—",'历史数据'!Z8/100000000)</f>
        <v/>
      </c>
      <c r="AA8" s="24">
        <f>IF('历史数据'!AA8="","—",'历史数据'!AA8/100000000)</f>
        <v/>
      </c>
      <c r="AB8" s="24">
        <f>IF('历史数据'!AB8="","—",'历史数据'!AB8/100000000)</f>
        <v/>
      </c>
    </row>
  </sheetData>
  <autoFilter ref="A4:AB8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  <col width="18" customWidth="1" style="3" min="32" max="32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  <c r="AF1" s="30" t="inlineStr">
        <is>
          <t>行情日期</t>
        </is>
      </c>
    </row>
    <row r="2">
      <c r="A2" t="inlineStr">
        <is>
          <t>A股</t>
        </is>
      </c>
      <c r="B2" t="inlineStr">
        <is>
          <t>600519</t>
        </is>
      </c>
      <c r="C2" t="inlineStr">
        <is>
          <t>贵州茅台</t>
        </is>
      </c>
      <c r="D2" s="31" t="n">
        <v>46022</v>
      </c>
      <c r="E2" t="inlineStr">
        <is>
          <t>CNY</t>
        </is>
      </c>
      <c r="F2" t="inlineStr">
        <is>
          <t>CNY</t>
        </is>
      </c>
      <c r="G2" t="n">
        <v>180000000000</v>
      </c>
      <c r="H2" t="n">
        <v>170000000000</v>
      </c>
      <c r="I2" t="n">
        <v>130000000000</v>
      </c>
      <c r="J2" t="n">
        <v>19000000000</v>
      </c>
      <c r="K2" t="n">
        <v>18500000000</v>
      </c>
      <c r="L2" t="n">
        <v>15000000000</v>
      </c>
      <c r="M2" t="n">
        <v>90000000000</v>
      </c>
      <c r="N2" t="n">
        <v>85000000000</v>
      </c>
      <c r="O2" t="n">
        <v>63000000000</v>
      </c>
      <c r="P2" t="n">
        <v>98000000000</v>
      </c>
      <c r="Q2" t="n">
        <v>92000000000</v>
      </c>
      <c r="R2" t="n">
        <v>61000000000</v>
      </c>
      <c r="S2" t="n">
        <v>1621855869137.4</v>
      </c>
      <c r="T2" s="31" t="n">
        <v>37130</v>
      </c>
      <c r="U2" t="n">
        <v>31.39</v>
      </c>
      <c r="V2" t="n">
        <v>71500000</v>
      </c>
      <c r="W2" t="n">
        <v>2244385000</v>
      </c>
      <c r="X2" t="n">
        <v>1297.4</v>
      </c>
      <c r="Y2" t="n">
        <v>18</v>
      </c>
      <c r="Z2" t="n">
        <v>810000000</v>
      </c>
      <c r="AF2" s="31" t="n">
        <v>46262</v>
      </c>
    </row>
    <row r="3">
      <c r="A3" t="inlineStr">
        <is>
          <t>A股</t>
        </is>
      </c>
      <c r="B3" t="inlineStr">
        <is>
          <t>300750</t>
        </is>
      </c>
      <c r="C3" t="inlineStr">
        <is>
          <t>宁德时代</t>
        </is>
      </c>
      <c r="D3" s="31" t="n">
        <v>46022</v>
      </c>
      <c r="E3" t="inlineStr">
        <is>
          <t>CNY</t>
        </is>
      </c>
      <c r="F3" t="inlineStr">
        <is>
          <t>CNY</t>
        </is>
      </c>
      <c r="G3" t="n">
        <v>420000000000</v>
      </c>
      <c r="H3" t="n">
        <v>390000000000</v>
      </c>
      <c r="I3" t="n">
        <v>329000000000</v>
      </c>
      <c r="J3" t="n">
        <v>330000000000</v>
      </c>
      <c r="K3" t="n">
        <v>310000000000</v>
      </c>
      <c r="L3" t="n">
        <v>263000000000</v>
      </c>
      <c r="M3" t="n">
        <v>55000000000</v>
      </c>
      <c r="N3" t="n">
        <v>49000000000</v>
      </c>
      <c r="O3" t="n">
        <v>30700000000</v>
      </c>
      <c r="P3" t="n">
        <v>72000000000</v>
      </c>
      <c r="Q3" t="n">
        <v>65000000000</v>
      </c>
      <c r="R3" t="n">
        <v>61000000000</v>
      </c>
      <c r="S3" t="n">
        <v>1260000000000</v>
      </c>
      <c r="T3" s="31" t="n">
        <v>43262</v>
      </c>
      <c r="U3" t="n">
        <v>25.14</v>
      </c>
      <c r="V3" t="n">
        <v>217243733</v>
      </c>
      <c r="W3" t="n">
        <v>5461507430</v>
      </c>
      <c r="X3" t="n">
        <v>286.2</v>
      </c>
      <c r="Y3" t="n">
        <v>21</v>
      </c>
      <c r="Z3" t="n">
        <v>960000000</v>
      </c>
      <c r="AF3" s="31" t="n">
        <v>46262</v>
      </c>
    </row>
    <row r="4">
      <c r="A4" t="inlineStr">
        <is>
          <t>A股</t>
        </is>
      </c>
      <c r="B4" t="inlineStr">
        <is>
          <t>688981</t>
        </is>
      </c>
      <c r="C4" t="inlineStr">
        <is>
          <t>中芯国际</t>
        </is>
      </c>
      <c r="D4" s="31" t="n">
        <v>46022</v>
      </c>
      <c r="E4" t="inlineStr">
        <is>
          <t>CNY</t>
        </is>
      </c>
      <c r="F4" t="inlineStr">
        <is>
          <t>CNY</t>
        </is>
      </c>
      <c r="G4" t="n">
        <v>63000000000</v>
      </c>
      <c r="H4" t="n">
        <v>58000000000</v>
      </c>
      <c r="I4" t="n">
        <v>49500000000</v>
      </c>
      <c r="J4" t="n">
        <v>50000000000</v>
      </c>
      <c r="K4" t="n">
        <v>47000000000</v>
      </c>
      <c r="L4" t="n">
        <v>38200000000</v>
      </c>
      <c r="M4" t="n">
        <v>4000000000</v>
      </c>
      <c r="N4" t="n">
        <v>3600000000</v>
      </c>
      <c r="O4" t="n">
        <v>12100000000</v>
      </c>
      <c r="P4" t="n">
        <v>21000000000</v>
      </c>
      <c r="Q4" t="n">
        <v>18000000000</v>
      </c>
      <c r="R4" t="n">
        <v>14500000000</v>
      </c>
      <c r="S4" t="n">
        <v>742000000000</v>
      </c>
      <c r="T4" s="31" t="n">
        <v>44028</v>
      </c>
      <c r="U4" t="n">
        <v>27.46</v>
      </c>
      <c r="V4" t="n">
        <v>1685620000</v>
      </c>
      <c r="W4" t="n">
        <v>46267000000</v>
      </c>
      <c r="X4" t="n">
        <v>92.5</v>
      </c>
      <c r="Y4" t="n">
        <v>7</v>
      </c>
      <c r="Z4" t="n">
        <v>190000000</v>
      </c>
      <c r="AF4" s="31" t="n">
        <v>46262</v>
      </c>
    </row>
    <row r="5">
      <c r="A5" t="inlineStr">
        <is>
          <t>A股</t>
        </is>
      </c>
      <c r="B5" t="inlineStr">
        <is>
          <t>000001</t>
        </is>
      </c>
      <c r="C5" t="inlineStr">
        <is>
          <t>平安银行</t>
        </is>
      </c>
      <c r="D5" s="31" t="n">
        <v>46022</v>
      </c>
      <c r="E5" t="inlineStr">
        <is>
          <t>CNY</t>
        </is>
      </c>
      <c r="F5" t="inlineStr">
        <is>
          <t>CNY</t>
        </is>
      </c>
      <c r="G5" t="n">
        <v>190000000000</v>
      </c>
      <c r="H5" t="n">
        <v>180000000000</v>
      </c>
      <c r="I5" t="n">
        <v>165000000000</v>
      </c>
      <c r="M5" t="n">
        <v>46000000000</v>
      </c>
      <c r="N5" t="n">
        <v>44000000000</v>
      </c>
      <c r="O5" t="n">
        <v>40000000000</v>
      </c>
      <c r="P5" t="n">
        <v>62000000000</v>
      </c>
      <c r="Q5" t="n">
        <v>58000000000</v>
      </c>
      <c r="R5" t="n">
        <v>51000000000</v>
      </c>
      <c r="S5" t="n">
        <v>228980000000</v>
      </c>
      <c r="T5" s="31" t="n">
        <v>33331</v>
      </c>
      <c r="U5" t="n">
        <v>40</v>
      </c>
      <c r="V5" t="n">
        <v>26500000</v>
      </c>
      <c r="W5" t="n">
        <v>1060000000</v>
      </c>
      <c r="X5" t="n">
        <v>11.8</v>
      </c>
      <c r="Y5" t="n">
        <v>12</v>
      </c>
      <c r="Z5" t="n">
        <v>260000000</v>
      </c>
      <c r="AF5" s="31" t="n">
        <v>46262</v>
      </c>
    </row>
    <row r="6">
      <c r="A6" t="inlineStr">
        <is>
          <t>港股</t>
        </is>
      </c>
      <c r="B6" t="inlineStr">
        <is>
          <t>00700</t>
        </is>
      </c>
      <c r="C6" t="inlineStr">
        <is>
          <t>腾讯控股</t>
        </is>
      </c>
      <c r="D6" s="31" t="n">
        <v>46022</v>
      </c>
      <c r="E6" t="inlineStr">
        <is>
          <t>HKD</t>
        </is>
      </c>
      <c r="F6" t="inlineStr">
        <is>
          <t>HKD</t>
        </is>
      </c>
      <c r="G6" t="n">
        <v>720000000000</v>
      </c>
      <c r="H6" t="n">
        <v>650000000000</v>
      </c>
      <c r="I6" t="n">
        <v>560000000000</v>
      </c>
      <c r="J6" t="n">
        <v>330000000000</v>
      </c>
      <c r="K6" t="n">
        <v>310000000000</v>
      </c>
      <c r="L6" t="n">
        <v>295000000000</v>
      </c>
      <c r="M6" t="n">
        <v>220000000000</v>
      </c>
      <c r="N6" t="n">
        <v>195000000000</v>
      </c>
      <c r="O6" t="n">
        <v>150000000000</v>
      </c>
      <c r="P6" t="n">
        <v>260000000000</v>
      </c>
      <c r="Q6" t="n">
        <v>230000000000</v>
      </c>
      <c r="R6" t="n">
        <v>185000000000</v>
      </c>
      <c r="S6" t="n">
        <v>4143752405607.2</v>
      </c>
      <c r="T6" s="31" t="n">
        <v>38154</v>
      </c>
      <c r="U6" t="n">
        <v>3.7</v>
      </c>
      <c r="V6" t="n">
        <v>483184500</v>
      </c>
      <c r="W6" t="n">
        <v>1787782650</v>
      </c>
      <c r="X6" t="n">
        <v>455.2</v>
      </c>
      <c r="AF6" s="31" t="n">
        <v>46262</v>
      </c>
    </row>
    <row r="7">
      <c r="A7" t="inlineStr">
        <is>
          <t>港股</t>
        </is>
      </c>
      <c r="B7" t="inlineStr">
        <is>
          <t>09988</t>
        </is>
      </c>
      <c r="C7" t="inlineStr">
        <is>
          <t>阿里巴巴-W</t>
        </is>
      </c>
      <c r="D7" s="31" t="n">
        <v>45747</v>
      </c>
      <c r="E7" t="inlineStr">
        <is>
          <t>HKD</t>
        </is>
      </c>
      <c r="F7" t="inlineStr">
        <is>
          <t>HKD</t>
        </is>
      </c>
      <c r="G7" t="n">
        <v>1080000000000</v>
      </c>
      <c r="H7" t="n">
        <v>1010000000000</v>
      </c>
      <c r="I7" t="n">
        <v>850000000000</v>
      </c>
      <c r="J7" t="n">
        <v>680000000000</v>
      </c>
      <c r="K7" t="n">
        <v>655000000000</v>
      </c>
      <c r="L7" t="n">
        <v>580000000000</v>
      </c>
      <c r="M7" t="n">
        <v>160000000000</v>
      </c>
      <c r="N7" t="n">
        <v>142000000000</v>
      </c>
      <c r="O7" t="n">
        <v>93000000000</v>
      </c>
      <c r="P7" t="n">
        <v>210000000000</v>
      </c>
      <c r="Q7" t="n">
        <v>196000000000</v>
      </c>
      <c r="R7" t="n">
        <v>160000000000</v>
      </c>
      <c r="S7" t="n">
        <v>2710000000000</v>
      </c>
      <c r="T7" s="31" t="n">
        <v>43795</v>
      </c>
      <c r="U7" t="n">
        <v>176</v>
      </c>
      <c r="V7" t="n">
        <v>575000000</v>
      </c>
      <c r="W7" t="n">
        <v>101200000000</v>
      </c>
      <c r="X7" t="n">
        <v>142.1</v>
      </c>
      <c r="AF7" s="31" t="n">
        <v>46262</v>
      </c>
    </row>
    <row r="8">
      <c r="A8" t="inlineStr">
        <is>
          <t>港股</t>
        </is>
      </c>
      <c r="B8" t="inlineStr">
        <is>
          <t>00005</t>
        </is>
      </c>
      <c r="C8" t="inlineStr">
        <is>
          <t>汇丰控股</t>
        </is>
      </c>
      <c r="D8" s="31" t="n">
        <v>46022</v>
      </c>
      <c r="E8" t="inlineStr">
        <is>
          <t>HKD</t>
        </is>
      </c>
      <c r="F8" t="inlineStr">
        <is>
          <t>HKD</t>
        </is>
      </c>
      <c r="G8" t="n">
        <v>700000000000</v>
      </c>
      <c r="H8" t="n">
        <v>660000000000</v>
      </c>
      <c r="I8" t="n">
        <v>590000000000</v>
      </c>
      <c r="M8" t="n">
        <v>140000000000</v>
      </c>
      <c r="N8" t="n">
        <v>130000000000</v>
      </c>
      <c r="O8" t="n">
        <v>108000000000</v>
      </c>
      <c r="P8" t="n">
        <v>190000000000</v>
      </c>
      <c r="Q8" t="n">
        <v>175000000000</v>
      </c>
      <c r="R8" t="n">
        <v>150000000000</v>
      </c>
      <c r="S8" t="n">
        <v>2050000000000</v>
      </c>
      <c r="T8" s="31" t="n">
        <v>29222</v>
      </c>
      <c r="X8" t="n">
        <v>111</v>
      </c>
      <c r="AF8" s="31" t="n">
        <v>46262</v>
      </c>
    </row>
    <row r="9">
      <c r="A9" t="inlineStr">
        <is>
          <t>港股</t>
        </is>
      </c>
      <c r="B9" t="inlineStr">
        <is>
          <t>00941</t>
        </is>
      </c>
      <c r="C9" t="inlineStr">
        <is>
          <t>中国移动</t>
        </is>
      </c>
      <c r="D9" s="31" t="n">
        <v>46022</v>
      </c>
      <c r="E9" t="inlineStr">
        <is>
          <t>HKD</t>
        </is>
      </c>
      <c r="F9" t="inlineStr">
        <is>
          <t>HKD</t>
        </is>
      </c>
      <c r="G9" t="n">
        <v>1150000000000</v>
      </c>
      <c r="H9" t="n">
        <v>1080000000000</v>
      </c>
      <c r="I9" t="n">
        <v>970000000000</v>
      </c>
      <c r="J9" t="n">
        <v>820000000000</v>
      </c>
      <c r="K9" t="n">
        <v>780000000000</v>
      </c>
      <c r="L9" t="n">
        <v>710000000000</v>
      </c>
      <c r="M9" t="n">
        <v>150000000000</v>
      </c>
      <c r="N9" t="n">
        <v>143000000000</v>
      </c>
      <c r="O9" t="n">
        <v>125000000000</v>
      </c>
      <c r="P9" t="n">
        <v>310000000000</v>
      </c>
      <c r="Q9" t="n">
        <v>290000000000</v>
      </c>
      <c r="R9" t="n">
        <v>250000000000</v>
      </c>
      <c r="S9" t="n">
        <v>1680000000000</v>
      </c>
      <c r="T9" s="31" t="n">
        <v>35726</v>
      </c>
      <c r="U9" t="n">
        <v>11.8</v>
      </c>
      <c r="V9" t="n">
        <v>2764249000</v>
      </c>
      <c r="W9" t="n">
        <v>32618138200</v>
      </c>
      <c r="X9" t="n">
        <v>84</v>
      </c>
      <c r="AF9" s="31" t="n">
        <v>46262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缓存命中</t>
        </is>
      </c>
    </row>
    <row r="2">
      <c r="A2" t="inlineStr">
        <is>
          <t>A股</t>
        </is>
      </c>
      <c r="B2" t="inlineStr">
        <is>
          <t>600519</t>
        </is>
      </c>
      <c r="C2" t="inlineStr">
        <is>
          <t>贵州茅台</t>
        </is>
      </c>
      <c r="D2" t="inlineStr">
        <is>
          <t>最新行情</t>
        </is>
      </c>
      <c r="E2" t="inlineStr">
        <is>
          <t>内置测试数据</t>
        </is>
      </c>
      <c r="F2" t="inlineStr">
        <is>
          <t>resources/fixtures/market_data.json</t>
        </is>
      </c>
      <c r="G2" s="32" t="n">
        <v>46263.6666514286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内置测试数据</t>
        </is>
      </c>
      <c r="N2" t="b">
        <v>0</v>
      </c>
    </row>
    <row r="3">
      <c r="A3" t="inlineStr">
        <is>
          <t>A股</t>
        </is>
      </c>
      <c r="B3" t="inlineStr">
        <is>
          <t>600519</t>
        </is>
      </c>
      <c r="C3" t="inlineStr">
        <is>
          <t>贵州茅台</t>
        </is>
      </c>
      <c r="D3" t="inlineStr">
        <is>
          <t>年度财务</t>
        </is>
      </c>
      <c r="E3" t="inlineStr">
        <is>
          <t>内置测试数据</t>
        </is>
      </c>
      <c r="F3" t="inlineStr">
        <is>
          <t>resources/fixtures/market_data.json</t>
        </is>
      </c>
      <c r="G3" s="32" t="n">
        <v>46263.66665161925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0</v>
      </c>
      <c r="M3" t="inlineStr">
        <is>
          <t>内置测试数据</t>
        </is>
      </c>
      <c r="N3" t="b">
        <v>0</v>
      </c>
    </row>
    <row r="4">
      <c r="A4" t="inlineStr">
        <is>
          <t>A股</t>
        </is>
      </c>
      <c r="B4" t="inlineStr">
        <is>
          <t>600519</t>
        </is>
      </c>
      <c r="C4" t="inlineStr">
        <is>
          <t>贵州茅台</t>
        </is>
      </c>
      <c r="D4" t="inlineStr">
        <is>
          <t>上市与发行信息</t>
        </is>
      </c>
      <c r="E4" t="inlineStr">
        <is>
          <t>内置测试数据</t>
        </is>
      </c>
      <c r="F4" t="inlineStr">
        <is>
          <t>resources/fixtures/market_data.json</t>
        </is>
      </c>
      <c r="G4" s="32" t="n">
        <v>46263.66665185305</v>
      </c>
      <c r="J4" t="inlineStr">
        <is>
          <t>ok</t>
        </is>
      </c>
      <c r="L4" t="b">
        <v>1</v>
      </c>
      <c r="M4" t="inlineStr">
        <is>
          <t>内置测试数据</t>
        </is>
      </c>
      <c r="N4" t="b">
        <v>0</v>
      </c>
    </row>
    <row r="5">
      <c r="A5" t="inlineStr">
        <is>
          <t>A股</t>
        </is>
      </c>
      <c r="B5" t="inlineStr">
        <is>
          <t>600519</t>
        </is>
      </c>
      <c r="C5" t="inlineStr">
        <is>
          <t>贵州茅台</t>
        </is>
      </c>
      <c r="D5" t="inlineStr">
        <is>
          <t>大宗交易</t>
        </is>
      </c>
      <c r="E5" t="inlineStr">
        <is>
          <t>内置测试数据</t>
        </is>
      </c>
      <c r="F5" t="inlineStr">
        <is>
          <t>resources/fixtures/market_data.json</t>
        </is>
      </c>
      <c r="G5" s="32" t="n">
        <v>46263.66665205028</v>
      </c>
      <c r="J5" t="inlineStr">
        <is>
          <t>ok</t>
        </is>
      </c>
      <c r="L5" t="b">
        <v>0</v>
      </c>
      <c r="M5" t="inlineStr">
        <is>
          <t>内置测试数据</t>
        </is>
      </c>
      <c r="N5" t="b">
        <v>0</v>
      </c>
    </row>
    <row r="6">
      <c r="A6" t="inlineStr">
        <is>
          <t>A股</t>
        </is>
      </c>
      <c r="B6" t="inlineStr">
        <is>
          <t>300750</t>
        </is>
      </c>
      <c r="C6" t="inlineStr">
        <is>
          <t>宁德时代</t>
        </is>
      </c>
      <c r="D6" t="inlineStr">
        <is>
          <t>最新行情</t>
        </is>
      </c>
      <c r="E6" t="inlineStr">
        <is>
          <t>内置测试数据</t>
        </is>
      </c>
      <c r="F6" t="inlineStr">
        <is>
          <t>resources/fixtures/market_data.json</t>
        </is>
      </c>
      <c r="G6" s="32" t="n">
        <v>46263.6666514286</v>
      </c>
      <c r="H6" t="inlineStr">
        <is>
          <t>CNY</t>
        </is>
      </c>
      <c r="I6" t="inlineStr">
        <is>
          <t>CNY</t>
        </is>
      </c>
      <c r="J6" t="inlineStr">
        <is>
          <t>ok</t>
        </is>
      </c>
      <c r="L6" t="b">
        <v>0</v>
      </c>
      <c r="M6" t="inlineStr">
        <is>
          <t>内置测试数据</t>
        </is>
      </c>
      <c r="N6" t="b">
        <v>0</v>
      </c>
    </row>
    <row r="7">
      <c r="A7" t="inlineStr">
        <is>
          <t>A股</t>
        </is>
      </c>
      <c r="B7" t="inlineStr">
        <is>
          <t>300750</t>
        </is>
      </c>
      <c r="C7" t="inlineStr">
        <is>
          <t>宁德时代</t>
        </is>
      </c>
      <c r="D7" t="inlineStr">
        <is>
          <t>年度财务</t>
        </is>
      </c>
      <c r="E7" t="inlineStr">
        <is>
          <t>内置测试数据</t>
        </is>
      </c>
      <c r="F7" t="inlineStr">
        <is>
          <t>resources/fixtures/market_data.json</t>
        </is>
      </c>
      <c r="G7" s="32" t="n">
        <v>46263.66665164829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内置测试数据</t>
        </is>
      </c>
      <c r="N7" t="b">
        <v>0</v>
      </c>
    </row>
    <row r="8">
      <c r="A8" t="inlineStr">
        <is>
          <t>A股</t>
        </is>
      </c>
      <c r="B8" t="inlineStr">
        <is>
          <t>300750</t>
        </is>
      </c>
      <c r="C8" t="inlineStr">
        <is>
          <t>宁德时代</t>
        </is>
      </c>
      <c r="D8" t="inlineStr">
        <is>
          <t>上市与发行信息</t>
        </is>
      </c>
      <c r="E8" t="inlineStr">
        <is>
          <t>内置测试数据</t>
        </is>
      </c>
      <c r="F8" t="inlineStr">
        <is>
          <t>resources/fixtures/market_data.json</t>
        </is>
      </c>
      <c r="G8" s="32" t="n">
        <v>46263.66665187613</v>
      </c>
      <c r="J8" t="inlineStr">
        <is>
          <t>ok</t>
        </is>
      </c>
      <c r="L8" t="b">
        <v>1</v>
      </c>
      <c r="M8" t="inlineStr">
        <is>
          <t>内置测试数据</t>
        </is>
      </c>
      <c r="N8" t="b">
        <v>0</v>
      </c>
    </row>
    <row r="9">
      <c r="A9" t="inlineStr">
        <is>
          <t>A股</t>
        </is>
      </c>
      <c r="B9" t="inlineStr">
        <is>
          <t>300750</t>
        </is>
      </c>
      <c r="C9" t="inlineStr">
        <is>
          <t>宁德时代</t>
        </is>
      </c>
      <c r="D9" t="inlineStr">
        <is>
          <t>大宗交易</t>
        </is>
      </c>
      <c r="E9" t="inlineStr">
        <is>
          <t>内置测试数据</t>
        </is>
      </c>
      <c r="F9" t="inlineStr">
        <is>
          <t>resources/fixtures/market_data.json</t>
        </is>
      </c>
      <c r="G9" s="32" t="n">
        <v>46263.66665205028</v>
      </c>
      <c r="J9" t="inlineStr">
        <is>
          <t>ok</t>
        </is>
      </c>
      <c r="L9" t="b">
        <v>0</v>
      </c>
      <c r="M9" t="inlineStr">
        <is>
          <t>内置测试数据</t>
        </is>
      </c>
      <c r="N9" t="b">
        <v>0</v>
      </c>
    </row>
    <row r="10">
      <c r="A10" t="inlineStr">
        <is>
          <t>A股</t>
        </is>
      </c>
      <c r="B10" t="inlineStr">
        <is>
          <t>688981</t>
        </is>
      </c>
      <c r="C10" t="inlineStr">
        <is>
          <t>中芯国际</t>
        </is>
      </c>
      <c r="D10" t="inlineStr">
        <is>
          <t>最新行情</t>
        </is>
      </c>
      <c r="E10" t="inlineStr">
        <is>
          <t>内置测试数据</t>
        </is>
      </c>
      <c r="F10" t="inlineStr">
        <is>
          <t>resources/fixtures/market_data.json</t>
        </is>
      </c>
      <c r="G10" s="32" t="n">
        <v>46263.6666514286</v>
      </c>
      <c r="H10" t="inlineStr">
        <is>
          <t>CNY</t>
        </is>
      </c>
      <c r="I10" t="inlineStr">
        <is>
          <t>CNY</t>
        </is>
      </c>
      <c r="J10" t="inlineStr">
        <is>
          <t>ok</t>
        </is>
      </c>
      <c r="L10" t="b">
        <v>0</v>
      </c>
      <c r="M10" t="inlineStr">
        <is>
          <t>内置测试数据</t>
        </is>
      </c>
      <c r="N10" t="b">
        <v>0</v>
      </c>
    </row>
    <row r="11">
      <c r="A11" t="inlineStr">
        <is>
          <t>A股</t>
        </is>
      </c>
      <c r="B11" t="inlineStr">
        <is>
          <t>688981</t>
        </is>
      </c>
      <c r="C11" t="inlineStr">
        <is>
          <t>中芯国际</t>
        </is>
      </c>
      <c r="D11" t="inlineStr">
        <is>
          <t>年度财务</t>
        </is>
      </c>
      <c r="E11" t="inlineStr">
        <is>
          <t>内置测试数据</t>
        </is>
      </c>
      <c r="F11" t="inlineStr">
        <is>
          <t>resources/fixtures/market_data.json</t>
        </is>
      </c>
      <c r="G11" s="32" t="n">
        <v>46263.66665165426</v>
      </c>
      <c r="H11" t="inlineStr">
        <is>
          <t>CNY</t>
        </is>
      </c>
      <c r="I11" t="inlineStr">
        <is>
          <t>CNY</t>
        </is>
      </c>
      <c r="J11" t="inlineStr">
        <is>
          <t>ok</t>
        </is>
      </c>
      <c r="L11" t="b">
        <v>0</v>
      </c>
      <c r="M11" t="inlineStr">
        <is>
          <t>内置测试数据</t>
        </is>
      </c>
      <c r="N11" t="b">
        <v>0</v>
      </c>
    </row>
    <row r="12">
      <c r="A12" t="inlineStr">
        <is>
          <t>A股</t>
        </is>
      </c>
      <c r="B12" t="inlineStr">
        <is>
          <t>688981</t>
        </is>
      </c>
      <c r="C12" t="inlineStr">
        <is>
          <t>中芯国际</t>
        </is>
      </c>
      <c r="D12" t="inlineStr">
        <is>
          <t>上市与发行信息</t>
        </is>
      </c>
      <c r="E12" t="inlineStr">
        <is>
          <t>内置测试数据</t>
        </is>
      </c>
      <c r="F12" t="inlineStr">
        <is>
          <t>resources/fixtures/market_data.json</t>
        </is>
      </c>
      <c r="G12" s="32" t="n">
        <v>46263.66665188195</v>
      </c>
      <c r="J12" t="inlineStr">
        <is>
          <t>ok</t>
        </is>
      </c>
      <c r="L12" t="b">
        <v>1</v>
      </c>
      <c r="M12" t="inlineStr">
        <is>
          <t>内置测试数据</t>
        </is>
      </c>
      <c r="N12" t="b">
        <v>0</v>
      </c>
    </row>
    <row r="13">
      <c r="A13" t="inlineStr">
        <is>
          <t>A股</t>
        </is>
      </c>
      <c r="B13" t="inlineStr">
        <is>
          <t>688981</t>
        </is>
      </c>
      <c r="C13" t="inlineStr">
        <is>
          <t>中芯国际</t>
        </is>
      </c>
      <c r="D13" t="inlineStr">
        <is>
          <t>大宗交易</t>
        </is>
      </c>
      <c r="E13" t="inlineStr">
        <is>
          <t>内置测试数据</t>
        </is>
      </c>
      <c r="F13" t="inlineStr">
        <is>
          <t>resources/fixtures/market_data.json</t>
        </is>
      </c>
      <c r="G13" s="32" t="n">
        <v>46263.66665205028</v>
      </c>
      <c r="J13" t="inlineStr">
        <is>
          <t>ok</t>
        </is>
      </c>
      <c r="L13" t="b">
        <v>0</v>
      </c>
      <c r="M13" t="inlineStr">
        <is>
          <t>内置测试数据</t>
        </is>
      </c>
      <c r="N13" t="b">
        <v>0</v>
      </c>
    </row>
    <row r="14">
      <c r="A14" t="inlineStr">
        <is>
          <t>A股</t>
        </is>
      </c>
      <c r="B14" t="inlineStr">
        <is>
          <t>000001</t>
        </is>
      </c>
      <c r="C14" t="inlineStr">
        <is>
          <t>平安银行</t>
        </is>
      </c>
      <c r="D14" t="inlineStr">
        <is>
          <t>最新行情</t>
        </is>
      </c>
      <c r="E14" t="inlineStr">
        <is>
          <t>内置测试数据</t>
        </is>
      </c>
      <c r="F14" t="inlineStr">
        <is>
          <t>resources/fixtures/market_data.json</t>
        </is>
      </c>
      <c r="G14" s="32" t="n">
        <v>46263.6666514286</v>
      </c>
      <c r="H14" t="inlineStr">
        <is>
          <t>CNY</t>
        </is>
      </c>
      <c r="I14" t="inlineStr">
        <is>
          <t>CNY</t>
        </is>
      </c>
      <c r="J14" t="inlineStr">
        <is>
          <t>ok</t>
        </is>
      </c>
      <c r="L14" t="b">
        <v>0</v>
      </c>
      <c r="M14" t="inlineStr">
        <is>
          <t>内置测试数据</t>
        </is>
      </c>
      <c r="N14" t="b">
        <v>0</v>
      </c>
    </row>
    <row r="15">
      <c r="A15" t="inlineStr">
        <is>
          <t>A股</t>
        </is>
      </c>
      <c r="B15" t="inlineStr">
        <is>
          <t>000001</t>
        </is>
      </c>
      <c r="C15" t="inlineStr">
        <is>
          <t>平安银行</t>
        </is>
      </c>
      <c r="D15" t="inlineStr">
        <is>
          <t>年度财务</t>
        </is>
      </c>
      <c r="E15" t="inlineStr">
        <is>
          <t>内置测试数据</t>
        </is>
      </c>
      <c r="F15" t="inlineStr">
        <is>
          <t>resources/fixtures/market_data.json</t>
        </is>
      </c>
      <c r="G15" s="32" t="n">
        <v>46263.66665165426</v>
      </c>
      <c r="H15" t="inlineStr">
        <is>
          <t>CNY</t>
        </is>
      </c>
      <c r="I15" t="inlineStr">
        <is>
          <t>CNY</t>
        </is>
      </c>
      <c r="J15" t="inlineStr">
        <is>
          <t>ok</t>
        </is>
      </c>
      <c r="L15" t="b">
        <v>0</v>
      </c>
      <c r="M15" t="inlineStr">
        <is>
          <t>内置测试数据</t>
        </is>
      </c>
      <c r="N15" t="b">
        <v>0</v>
      </c>
    </row>
    <row r="16">
      <c r="A16" t="inlineStr">
        <is>
          <t>A股</t>
        </is>
      </c>
      <c r="B16" t="inlineStr">
        <is>
          <t>000001</t>
        </is>
      </c>
      <c r="C16" t="inlineStr">
        <is>
          <t>平安银行</t>
        </is>
      </c>
      <c r="D16" t="inlineStr">
        <is>
          <t>上市与发行信息</t>
        </is>
      </c>
      <c r="E16" t="inlineStr">
        <is>
          <t>内置测试数据</t>
        </is>
      </c>
      <c r="F16" t="inlineStr">
        <is>
          <t>resources/fixtures/market_data.json</t>
        </is>
      </c>
      <c r="G16" s="32" t="n">
        <v>46263.66665188195</v>
      </c>
      <c r="J16" t="inlineStr">
        <is>
          <t>ok</t>
        </is>
      </c>
      <c r="L16" t="b">
        <v>1</v>
      </c>
      <c r="M16" t="inlineStr">
        <is>
          <t>内置测试数据</t>
        </is>
      </c>
      <c r="N16" t="b">
        <v>0</v>
      </c>
    </row>
    <row r="17">
      <c r="A17" t="inlineStr">
        <is>
          <t>A股</t>
        </is>
      </c>
      <c r="B17" t="inlineStr">
        <is>
          <t>000001</t>
        </is>
      </c>
      <c r="C17" t="inlineStr">
        <is>
          <t>平安银行</t>
        </is>
      </c>
      <c r="D17" t="inlineStr">
        <is>
          <t>大宗交易</t>
        </is>
      </c>
      <c r="E17" t="inlineStr">
        <is>
          <t>内置测试数据</t>
        </is>
      </c>
      <c r="F17" t="inlineStr">
        <is>
          <t>resources/fixtures/market_data.json</t>
        </is>
      </c>
      <c r="G17" s="32" t="n">
        <v>46263.66665205028</v>
      </c>
      <c r="J17" t="inlineStr">
        <is>
          <t>ok</t>
        </is>
      </c>
      <c r="L17" t="b">
        <v>0</v>
      </c>
      <c r="M17" t="inlineStr">
        <is>
          <t>内置测试数据</t>
        </is>
      </c>
      <c r="N17" t="b">
        <v>0</v>
      </c>
    </row>
    <row r="18">
      <c r="A18" t="inlineStr">
        <is>
          <t>港股</t>
        </is>
      </c>
      <c r="B18" t="inlineStr">
        <is>
          <t>00700</t>
        </is>
      </c>
      <c r="C18" t="inlineStr">
        <is>
          <t>腾讯控股</t>
        </is>
      </c>
      <c r="D18" t="inlineStr">
        <is>
          <t>最新行情</t>
        </is>
      </c>
      <c r="E18" t="inlineStr">
        <is>
          <t>内置测试数据</t>
        </is>
      </c>
      <c r="F18" t="inlineStr">
        <is>
          <t>resources/fixtures/market_data.json</t>
        </is>
      </c>
      <c r="G18" s="32" t="n">
        <v>46263.6666514286</v>
      </c>
      <c r="H18" t="inlineStr">
        <is>
          <t>HKD</t>
        </is>
      </c>
      <c r="I18" t="inlineStr">
        <is>
          <t>HKD</t>
        </is>
      </c>
      <c r="J18" t="inlineStr">
        <is>
          <t>ok</t>
        </is>
      </c>
      <c r="L18" t="b">
        <v>0</v>
      </c>
      <c r="M18" t="inlineStr">
        <is>
          <t>内置测试数据</t>
        </is>
      </c>
      <c r="N18" t="b">
        <v>0</v>
      </c>
    </row>
    <row r="19">
      <c r="A19" t="inlineStr">
        <is>
          <t>港股</t>
        </is>
      </c>
      <c r="B19" t="inlineStr">
        <is>
          <t>00700</t>
        </is>
      </c>
      <c r="C19" t="inlineStr">
        <is>
          <t>腾讯控股</t>
        </is>
      </c>
      <c r="D19" t="inlineStr">
        <is>
          <t>年度财务</t>
        </is>
      </c>
      <c r="E19" t="inlineStr">
        <is>
          <t>内置测试数据</t>
        </is>
      </c>
      <c r="F19" t="inlineStr">
        <is>
          <t>resources/fixtures/market_data.json</t>
        </is>
      </c>
      <c r="G19" s="32" t="n">
        <v>46263.66665174691</v>
      </c>
      <c r="H19" t="inlineStr">
        <is>
          <t>HKD</t>
        </is>
      </c>
      <c r="I19" t="inlineStr">
        <is>
          <t>HKD</t>
        </is>
      </c>
      <c r="J19" t="inlineStr">
        <is>
          <t>ok</t>
        </is>
      </c>
      <c r="L19" t="b">
        <v>0</v>
      </c>
      <c r="M19" t="inlineStr">
        <is>
          <t>内置测试数据</t>
        </is>
      </c>
      <c r="N19" t="b">
        <v>0</v>
      </c>
    </row>
    <row r="20">
      <c r="A20" t="inlineStr">
        <is>
          <t>港股</t>
        </is>
      </c>
      <c r="B20" t="inlineStr">
        <is>
          <t>00700</t>
        </is>
      </c>
      <c r="C20" t="inlineStr">
        <is>
          <t>腾讯控股</t>
        </is>
      </c>
      <c r="D20" t="inlineStr">
        <is>
          <t>上市与发行信息</t>
        </is>
      </c>
      <c r="E20" t="inlineStr">
        <is>
          <t>内置测试数据</t>
        </is>
      </c>
      <c r="F20" t="inlineStr">
        <is>
          <t>resources/fixtures/market_data.json</t>
        </is>
      </c>
      <c r="G20" s="32" t="n">
        <v>46263.66665192831</v>
      </c>
      <c r="J20" t="inlineStr">
        <is>
          <t>ok</t>
        </is>
      </c>
      <c r="L20" t="b">
        <v>1</v>
      </c>
      <c r="M20" t="inlineStr">
        <is>
          <t>内置测试数据</t>
        </is>
      </c>
      <c r="N20" t="b">
        <v>0</v>
      </c>
    </row>
    <row r="21">
      <c r="A21" t="inlineStr">
        <is>
          <t>港股</t>
        </is>
      </c>
      <c r="B21" t="inlineStr">
        <is>
          <t>00700</t>
        </is>
      </c>
      <c r="C21" t="inlineStr">
        <is>
          <t>腾讯控股</t>
        </is>
      </c>
      <c r="D21" t="inlineStr">
        <is>
          <t>大宗交易</t>
        </is>
      </c>
      <c r="E21" t="inlineStr">
        <is>
          <t>内置测试数据</t>
        </is>
      </c>
      <c r="F21" t="inlineStr">
        <is>
          <t>resources/fixtures/market_data.json</t>
        </is>
      </c>
      <c r="G21" s="32" t="n">
        <v>46263.66665205028</v>
      </c>
      <c r="J21" t="inlineStr">
        <is>
          <t>unsupported</t>
        </is>
      </c>
      <c r="K21" t="inlineStr">
        <is>
          <t>港股 fixture 按允许规则留空</t>
        </is>
      </c>
      <c r="L21" t="b">
        <v>0</v>
      </c>
      <c r="M21" t="inlineStr">
        <is>
          <t>内置测试数据</t>
        </is>
      </c>
      <c r="N21" t="b">
        <v>0</v>
      </c>
    </row>
    <row r="22">
      <c r="A22" t="inlineStr">
        <is>
          <t>港股</t>
        </is>
      </c>
      <c r="B22" t="inlineStr">
        <is>
          <t>09988</t>
        </is>
      </c>
      <c r="C22" t="inlineStr">
        <is>
          <t>阿里巴巴-W</t>
        </is>
      </c>
      <c r="D22" t="inlineStr">
        <is>
          <t>最新行情</t>
        </is>
      </c>
      <c r="E22" t="inlineStr">
        <is>
          <t>内置测试数据</t>
        </is>
      </c>
      <c r="F22" t="inlineStr">
        <is>
          <t>resources/fixtures/market_data.json</t>
        </is>
      </c>
      <c r="G22" s="32" t="n">
        <v>46263.6666514286</v>
      </c>
      <c r="H22" t="inlineStr">
        <is>
          <t>HKD</t>
        </is>
      </c>
      <c r="I22" t="inlineStr">
        <is>
          <t>HKD</t>
        </is>
      </c>
      <c r="J22" t="inlineStr">
        <is>
          <t>ok</t>
        </is>
      </c>
      <c r="L22" t="b">
        <v>0</v>
      </c>
      <c r="M22" t="inlineStr">
        <is>
          <t>内置测试数据</t>
        </is>
      </c>
      <c r="N22" t="b">
        <v>0</v>
      </c>
    </row>
    <row r="23">
      <c r="A23" t="inlineStr">
        <is>
          <t>港股</t>
        </is>
      </c>
      <c r="B23" t="inlineStr">
        <is>
          <t>09988</t>
        </is>
      </c>
      <c r="C23" t="inlineStr">
        <is>
          <t>阿里巴巴-W</t>
        </is>
      </c>
      <c r="D23" t="inlineStr">
        <is>
          <t>年度财务</t>
        </is>
      </c>
      <c r="E23" t="inlineStr">
        <is>
          <t>内置测试数据</t>
        </is>
      </c>
      <c r="F23" t="inlineStr">
        <is>
          <t>resources/fixtures/market_data.json</t>
        </is>
      </c>
      <c r="G23" s="32" t="n">
        <v>46263.66665176432</v>
      </c>
      <c r="H23" t="inlineStr">
        <is>
          <t>HKD</t>
        </is>
      </c>
      <c r="I23" t="inlineStr">
        <is>
          <t>HKD</t>
        </is>
      </c>
      <c r="J23" t="inlineStr">
        <is>
          <t>ok</t>
        </is>
      </c>
      <c r="L23" t="b">
        <v>0</v>
      </c>
      <c r="M23" t="inlineStr">
        <is>
          <t>内置测试数据</t>
        </is>
      </c>
      <c r="N23" t="b">
        <v>0</v>
      </c>
    </row>
    <row r="24">
      <c r="A24" t="inlineStr">
        <is>
          <t>港股</t>
        </is>
      </c>
      <c r="B24" t="inlineStr">
        <is>
          <t>09988</t>
        </is>
      </c>
      <c r="C24" t="inlineStr">
        <is>
          <t>阿里巴巴-W</t>
        </is>
      </c>
      <c r="D24" t="inlineStr">
        <is>
          <t>上市与发行信息</t>
        </is>
      </c>
      <c r="E24" t="inlineStr">
        <is>
          <t>内置测试数据</t>
        </is>
      </c>
      <c r="F24" t="inlineStr">
        <is>
          <t>resources/fixtures/market_data.json</t>
        </is>
      </c>
      <c r="G24" s="32" t="n">
        <v>46263.66665192831</v>
      </c>
      <c r="J24" t="inlineStr">
        <is>
          <t>ok</t>
        </is>
      </c>
      <c r="L24" t="b">
        <v>1</v>
      </c>
      <c r="M24" t="inlineStr">
        <is>
          <t>内置测试数据</t>
        </is>
      </c>
      <c r="N24" t="b">
        <v>0</v>
      </c>
    </row>
    <row r="25">
      <c r="A25" t="inlineStr">
        <is>
          <t>港股</t>
        </is>
      </c>
      <c r="B25" t="inlineStr">
        <is>
          <t>09988</t>
        </is>
      </c>
      <c r="C25" t="inlineStr">
        <is>
          <t>阿里巴巴-W</t>
        </is>
      </c>
      <c r="D25" t="inlineStr">
        <is>
          <t>大宗交易</t>
        </is>
      </c>
      <c r="E25" t="inlineStr">
        <is>
          <t>内置测试数据</t>
        </is>
      </c>
      <c r="F25" t="inlineStr">
        <is>
          <t>resources/fixtures/market_data.json</t>
        </is>
      </c>
      <c r="G25" s="32" t="n">
        <v>46263.66665205028</v>
      </c>
      <c r="J25" t="inlineStr">
        <is>
          <t>unsupported</t>
        </is>
      </c>
      <c r="K25" t="inlineStr">
        <is>
          <t>港股 fixture 按允许规则留空</t>
        </is>
      </c>
      <c r="L25" t="b">
        <v>0</v>
      </c>
      <c r="M25" t="inlineStr">
        <is>
          <t>内置测试数据</t>
        </is>
      </c>
      <c r="N25" t="b">
        <v>0</v>
      </c>
    </row>
    <row r="26">
      <c r="A26" t="inlineStr">
        <is>
          <t>港股</t>
        </is>
      </c>
      <c r="B26" t="inlineStr">
        <is>
          <t>00005</t>
        </is>
      </c>
      <c r="C26" t="inlineStr">
        <is>
          <t>汇丰控股</t>
        </is>
      </c>
      <c r="D26" t="inlineStr">
        <is>
          <t>最新行情</t>
        </is>
      </c>
      <c r="E26" t="inlineStr">
        <is>
          <t>内置测试数据</t>
        </is>
      </c>
      <c r="F26" t="inlineStr">
        <is>
          <t>resources/fixtures/market_data.json</t>
        </is>
      </c>
      <c r="G26" s="32" t="n">
        <v>46263.6666514286</v>
      </c>
      <c r="H26" t="inlineStr">
        <is>
          <t>HKD</t>
        </is>
      </c>
      <c r="I26" t="inlineStr">
        <is>
          <t>HKD</t>
        </is>
      </c>
      <c r="J26" t="inlineStr">
        <is>
          <t>ok</t>
        </is>
      </c>
      <c r="L26" t="b">
        <v>0</v>
      </c>
      <c r="M26" t="inlineStr">
        <is>
          <t>内置测试数据</t>
        </is>
      </c>
      <c r="N26" t="b">
        <v>0</v>
      </c>
    </row>
    <row r="27">
      <c r="A27" t="inlineStr">
        <is>
          <t>港股</t>
        </is>
      </c>
      <c r="B27" t="inlineStr">
        <is>
          <t>00005</t>
        </is>
      </c>
      <c r="C27" t="inlineStr">
        <is>
          <t>汇丰控股</t>
        </is>
      </c>
      <c r="D27" t="inlineStr">
        <is>
          <t>年度财务</t>
        </is>
      </c>
      <c r="E27" t="inlineStr">
        <is>
          <t>内置测试数据</t>
        </is>
      </c>
      <c r="F27" t="inlineStr">
        <is>
          <t>resources/fixtures/market_data.json</t>
        </is>
      </c>
      <c r="G27" s="32" t="n">
        <v>46263.66665176432</v>
      </c>
      <c r="H27" t="inlineStr">
        <is>
          <t>HKD</t>
        </is>
      </c>
      <c r="I27" t="inlineStr">
        <is>
          <t>HKD</t>
        </is>
      </c>
      <c r="J27" t="inlineStr">
        <is>
          <t>ok</t>
        </is>
      </c>
      <c r="L27" t="b">
        <v>0</v>
      </c>
      <c r="M27" t="inlineStr">
        <is>
          <t>内置测试数据</t>
        </is>
      </c>
      <c r="N27" t="b">
        <v>0</v>
      </c>
    </row>
    <row r="28">
      <c r="A28" t="inlineStr">
        <is>
          <t>港股</t>
        </is>
      </c>
      <c r="B28" t="inlineStr">
        <is>
          <t>00005</t>
        </is>
      </c>
      <c r="C28" t="inlineStr">
        <is>
          <t>汇丰控股</t>
        </is>
      </c>
      <c r="D28" t="inlineStr">
        <is>
          <t>上市与发行信息</t>
        </is>
      </c>
      <c r="E28" t="inlineStr">
        <is>
          <t>内置测试数据</t>
        </is>
      </c>
      <c r="F28" t="inlineStr">
        <is>
          <t>resources/fixtures/market_data.json</t>
        </is>
      </c>
      <c r="G28" s="32" t="n">
        <v>46263.66665192831</v>
      </c>
      <c r="J28" t="inlineStr">
        <is>
          <t>ok</t>
        </is>
      </c>
      <c r="L28" t="b">
        <v>0</v>
      </c>
      <c r="M28" t="inlineStr">
        <is>
          <t>内置测试数据</t>
        </is>
      </c>
      <c r="N28" t="b">
        <v>0</v>
      </c>
    </row>
    <row r="29">
      <c r="A29" t="inlineStr">
        <is>
          <t>港股</t>
        </is>
      </c>
      <c r="B29" t="inlineStr">
        <is>
          <t>00005</t>
        </is>
      </c>
      <c r="C29" t="inlineStr">
        <is>
          <t>汇丰控股</t>
        </is>
      </c>
      <c r="D29" t="inlineStr">
        <is>
          <t>大宗交易</t>
        </is>
      </c>
      <c r="E29" t="inlineStr">
        <is>
          <t>内置测试数据</t>
        </is>
      </c>
      <c r="F29" t="inlineStr">
        <is>
          <t>resources/fixtures/market_data.json</t>
        </is>
      </c>
      <c r="G29" s="32" t="n">
        <v>46263.66665205028</v>
      </c>
      <c r="J29" t="inlineStr">
        <is>
          <t>unsupported</t>
        </is>
      </c>
      <c r="K29" t="inlineStr">
        <is>
          <t>港股 fixture 按允许规则留空</t>
        </is>
      </c>
      <c r="L29" t="b">
        <v>0</v>
      </c>
      <c r="M29" t="inlineStr">
        <is>
          <t>内置测试数据</t>
        </is>
      </c>
      <c r="N29" t="b">
        <v>0</v>
      </c>
    </row>
    <row r="30">
      <c r="A30" t="inlineStr">
        <is>
          <t>港股</t>
        </is>
      </c>
      <c r="B30" t="inlineStr">
        <is>
          <t>00941</t>
        </is>
      </c>
      <c r="C30" t="inlineStr">
        <is>
          <t>中国移动</t>
        </is>
      </c>
      <c r="D30" t="inlineStr">
        <is>
          <t>最新行情</t>
        </is>
      </c>
      <c r="E30" t="inlineStr">
        <is>
          <t>内置测试数据</t>
        </is>
      </c>
      <c r="F30" t="inlineStr">
        <is>
          <t>resources/fixtures/market_data.json</t>
        </is>
      </c>
      <c r="G30" s="32" t="n">
        <v>46263.6666514286</v>
      </c>
      <c r="H30" t="inlineStr">
        <is>
          <t>HKD</t>
        </is>
      </c>
      <c r="I30" t="inlineStr">
        <is>
          <t>HKD</t>
        </is>
      </c>
      <c r="J30" t="inlineStr">
        <is>
          <t>ok</t>
        </is>
      </c>
      <c r="L30" t="b">
        <v>0</v>
      </c>
      <c r="M30" t="inlineStr">
        <is>
          <t>内置测试数据</t>
        </is>
      </c>
      <c r="N30" t="b">
        <v>0</v>
      </c>
    </row>
    <row r="31">
      <c r="A31" t="inlineStr">
        <is>
          <t>港股</t>
        </is>
      </c>
      <c r="B31" t="inlineStr">
        <is>
          <t>00941</t>
        </is>
      </c>
      <c r="C31" t="inlineStr">
        <is>
          <t>中国移动</t>
        </is>
      </c>
      <c r="D31" t="inlineStr">
        <is>
          <t>年度财务</t>
        </is>
      </c>
      <c r="E31" t="inlineStr">
        <is>
          <t>内置测试数据</t>
        </is>
      </c>
      <c r="F31" t="inlineStr">
        <is>
          <t>resources/fixtures/market_data.json</t>
        </is>
      </c>
      <c r="G31" s="32" t="n">
        <v>46263.66665177593</v>
      </c>
      <c r="H31" t="inlineStr">
        <is>
          <t>HKD</t>
        </is>
      </c>
      <c r="I31" t="inlineStr">
        <is>
          <t>HKD</t>
        </is>
      </c>
      <c r="J31" t="inlineStr">
        <is>
          <t>ok</t>
        </is>
      </c>
      <c r="L31" t="b">
        <v>0</v>
      </c>
      <c r="M31" t="inlineStr">
        <is>
          <t>内置测试数据</t>
        </is>
      </c>
      <c r="N31" t="b">
        <v>0</v>
      </c>
    </row>
    <row r="32">
      <c r="A32" t="inlineStr">
        <is>
          <t>港股</t>
        </is>
      </c>
      <c r="B32" t="inlineStr">
        <is>
          <t>00941</t>
        </is>
      </c>
      <c r="C32" t="inlineStr">
        <is>
          <t>中国移动</t>
        </is>
      </c>
      <c r="D32" t="inlineStr">
        <is>
          <t>上市与发行信息</t>
        </is>
      </c>
      <c r="E32" t="inlineStr">
        <is>
          <t>内置测试数据</t>
        </is>
      </c>
      <c r="F32" t="inlineStr">
        <is>
          <t>resources/fixtures/market_data.json</t>
        </is>
      </c>
      <c r="G32" s="32" t="n">
        <v>46263.66665201887</v>
      </c>
      <c r="J32" t="inlineStr">
        <is>
          <t>ok</t>
        </is>
      </c>
      <c r="L32" t="b">
        <v>1</v>
      </c>
      <c r="M32" t="inlineStr">
        <is>
          <t>内置测试数据</t>
        </is>
      </c>
      <c r="N32" t="b">
        <v>0</v>
      </c>
    </row>
    <row r="33">
      <c r="A33" t="inlineStr">
        <is>
          <t>港股</t>
        </is>
      </c>
      <c r="B33" t="inlineStr">
        <is>
          <t>00941</t>
        </is>
      </c>
      <c r="C33" t="inlineStr">
        <is>
          <t>中国移动</t>
        </is>
      </c>
      <c r="D33" t="inlineStr">
        <is>
          <t>大宗交易</t>
        </is>
      </c>
      <c r="E33" t="inlineStr">
        <is>
          <t>内置测试数据</t>
        </is>
      </c>
      <c r="F33" t="inlineStr">
        <is>
          <t>resources/fixtures/market_data.json</t>
        </is>
      </c>
      <c r="G33" s="32" t="n">
        <v>46263.66665205028</v>
      </c>
      <c r="J33" t="inlineStr">
        <is>
          <t>unsupported</t>
        </is>
      </c>
      <c r="K33" t="inlineStr">
        <is>
          <t>港股 fixture 按允许规则留空</t>
        </is>
      </c>
      <c r="L33" t="b">
        <v>0</v>
      </c>
      <c r="M33" t="inlineStr">
        <is>
          <t>内置测试数据</t>
        </is>
      </c>
      <c r="N3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  <c r="M1" s="30" t="inlineStr">
        <is>
          <t>缓存命中情况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0.3.2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2026-08-29T15:59:59.002949+00:00</t>
        </is>
      </c>
    </row>
    <row r="8">
      <c r="A8" t="inlineStr">
        <is>
          <t>配置快照</t>
        </is>
      </c>
      <c r="B8" t="inlineStr">
        <is>
          <t>{"a_share_scope_mode": "总市值前 N 家", "a_share_top_n": 4, "concurrency": 4, "financial_year": 2025, "fixture_mode": true, "flow_mode": "不抓取（最快）", "hk_scope_mode": "总市值前 N 家", "hk_top_n": 4, "include_a_share_flow": false, "include_financial": true, "include_st": true, "markets": ["A股", "港股"], "network_mode": "国内数据源优先直连", "output_directory": "C:\\Users\\chdxm\\Documents", "request_interval": 0.6, "test_mode": true, "trading_year": 2025, "update_mode": "优先缓存"}</t>
        </is>
      </c>
    </row>
    <row r="9">
      <c r="A9" t="inlineStr">
        <is>
          <t>成功数</t>
        </is>
      </c>
      <c r="B9" t="n">
        <v>8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缓存命中数</t>
        </is>
      </c>
      <c r="B13" t="n">
        <v>0</v>
      </c>
    </row>
    <row r="14">
      <c r="A14" t="inlineStr">
        <is>
          <t>性能统计</t>
        </is>
      </c>
      <c r="B14" t="inlineStr">
        <is>
          <t>{"cache_hits": 0, "negative_cache_hits": 0, "stage_seconds": {"上市与发行信息": 0.017, "年度全市场大宗交易": 0.015, "年度财务": 0.021, "标准化、计算与校验": 0.001, "获取行情与市值": 0.015, "证券范围": 0.005}, "total_seconds": 0.075}</t>
        </is>
      </c>
    </row>
    <row r="15">
      <c r="A15" t="inlineStr">
        <is>
          <t>输出路径</t>
        </is>
      </c>
      <c r="B15" t="inlineStr">
        <is>
          <t>D:\python_software\StockAnalysis\artifacts\smoke_032_final\fixture.xlsx</t>
        </is>
      </c>
    </row>
    <row r="16">
      <c r="A16" t="inlineStr">
        <is>
          <t>A股识别数</t>
        </is>
      </c>
      <c r="B16" t="n">
        <v>4</v>
      </c>
    </row>
    <row r="17">
      <c r="A17" t="inlineStr">
        <is>
          <t>A股市值可排名数</t>
        </is>
      </c>
      <c r="B17" t="n">
        <v>4</v>
      </c>
    </row>
    <row r="18">
      <c r="A18" t="inlineStr">
        <is>
          <t>A股候选财务数</t>
        </is>
      </c>
      <c r="B18" t="n">
        <v>4</v>
      </c>
    </row>
    <row r="19">
      <c r="A19" t="inlineStr">
        <is>
          <t>A股生成数</t>
        </is>
      </c>
      <c r="B19" t="n">
        <v>4</v>
      </c>
    </row>
    <row r="20">
      <c r="A20" t="inlineStr">
        <is>
          <t>A股核心财务跳过数</t>
        </is>
      </c>
      <c r="B20" t="n">
        <v>0</v>
      </c>
    </row>
    <row r="21">
      <c r="A21" t="inlineStr">
        <is>
          <t>A股终止上市过滤数</t>
        </is>
      </c>
      <c r="B21" t="n">
        <v>0</v>
      </c>
    </row>
    <row r="22">
      <c r="A22" t="inlineStr">
        <is>
          <t>港股识别数</t>
        </is>
      </c>
      <c r="B22" t="n">
        <v>4</v>
      </c>
    </row>
    <row r="23">
      <c r="A23" t="inlineStr">
        <is>
          <t>港股市值可排名数</t>
        </is>
      </c>
      <c r="B23" t="n">
        <v>4</v>
      </c>
    </row>
    <row r="24">
      <c r="A24" t="inlineStr">
        <is>
          <t>港股候选财务数</t>
        </is>
      </c>
      <c r="B24" t="n">
        <v>4</v>
      </c>
    </row>
    <row r="25">
      <c r="A25" t="inlineStr">
        <is>
          <t>港股生成数</t>
        </is>
      </c>
      <c r="B25" t="n">
        <v>4</v>
      </c>
    </row>
    <row r="26">
      <c r="A26" t="inlineStr">
        <is>
          <t>港股核心财务跳过数</t>
        </is>
      </c>
      <c r="B26" t="n">
        <v>0</v>
      </c>
    </row>
    <row r="27">
      <c r="A27" t="inlineStr">
        <is>
          <t>港股终止上市过滤数</t>
        </is>
      </c>
      <c r="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2026-08-29T15:59:59Z</dcterms:modified>
  <cp:lastModifiedBy>涂玉</cp:lastModifiedBy>
</cp:coreProperties>
</file>