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A股" sheetId="1" state="visible" r:id="rId1"/>
    <sheet name="港股" sheetId="2" state="visible" r:id="rId2"/>
    <sheet name="历史数据" sheetId="3" state="hidden" r:id="rId3"/>
    <sheet name="数据来源" sheetId="4" state="hidden" r:id="rId4"/>
    <sheet name="异常记录" sheetId="5" state="hidden" r:id="rId5"/>
    <sheet name="运行信息" sheetId="6" state="hidden" r:id="rId6"/>
  </sheets>
  <definedNames>
    <definedName name="_xlnm._FilterDatabase" localSheetId="0" hidden="1">'A股'!$A$4:$AB$7</definedName>
    <definedName name="_xlnm.Print_Titles" localSheetId="0">'A股'!$1:$4</definedName>
    <definedName name="_xlnm._FilterDatabase" localSheetId="1" hidden="1">'港股'!$A$4:$AB$4</definedName>
    <definedName name="_xlnm.Print_Titles" localSheetId="1">'港股'!$1:$4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#,##0.00;-#,##0.00;0.00"/>
    <numFmt numFmtId="166" formatCode="0.00%;-0.00%;0.00%"/>
    <numFmt numFmtId="167" formatCode="0.00;-0.00;0.00"/>
    <numFmt numFmtId="168" formatCode="#,##0.000;-#,##0.000;0.000"/>
    <numFmt numFmtId="169" formatCode="yyyy-mm-dd h:mm:ss"/>
  </numFmts>
  <fonts count="8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b val="1"/>
      <color rgb="00FFFFFF"/>
      <sz val="11"/>
    </font>
    <font>
      <name val="等线"/>
      <b val="1"/>
      <color rgb="00FFFFFF"/>
      <sz val="13"/>
    </font>
    <font>
      <name val="等线"/>
      <color rgb="001F2937"/>
      <sz val="10"/>
    </font>
    <font>
      <name val="等线"/>
      <b val="1"/>
      <color rgb="001F2937"/>
      <sz val="10"/>
    </font>
    <font>
      <name val="等线"/>
      <color rgb="00000000"/>
      <sz val="10"/>
    </font>
    <font>
      <name val="等线"/>
      <color rgb="00008000"/>
      <sz val="10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004A9BD8"/>
      </patternFill>
    </fill>
    <fill>
      <patternFill patternType="solid">
        <fgColor rgb="00EAF4FC"/>
      </patternFill>
    </fill>
    <fill>
      <patternFill patternType="solid">
        <fgColor rgb="00D9E2F3"/>
      </patternFill>
    </fill>
    <fill>
      <patternFill patternType="solid">
        <fgColor rgb="00A9D18E"/>
      </patternFill>
    </fill>
    <fill>
      <patternFill patternType="solid">
        <fgColor rgb="009DC3E6"/>
      </patternFill>
    </fill>
    <fill>
      <patternFill patternType="solid">
        <fgColor rgb="00EDF1F7"/>
      </patternFill>
    </fill>
    <fill>
      <patternFill patternType="solid">
        <fgColor rgb="00E2F0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AD5E2"/>
      </bottom>
    </border>
  </borders>
  <cellStyleXfs count="1">
    <xf numFmtId="0" fontId="0" fillId="0" borderId="0" applyAlignment="1">
      <alignment vertical="center"/>
    </xf>
  </cellStyleXfs>
  <cellXfs count="33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64" fontId="7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165" fontId="7" fillId="2" borderId="0" applyAlignment="1" pivotButton="0" quotePrefix="0" xfId="0">
      <alignment horizontal="right" vertical="center"/>
    </xf>
    <xf numFmtId="166" fontId="6" fillId="2" borderId="0" applyAlignment="1" pivotButton="0" quotePrefix="0" xfId="0">
      <alignment horizontal="right" vertical="center"/>
    </xf>
    <xf numFmtId="167" fontId="6" fillId="2" borderId="0" applyAlignment="1" pivotButton="0" quotePrefix="0" xfId="0">
      <alignment horizontal="right" vertical="center"/>
    </xf>
    <xf numFmtId="166" fontId="6" fillId="3" borderId="0" applyAlignment="1" pivotButton="0" quotePrefix="0" xfId="0">
      <alignment horizontal="right" vertical="center"/>
    </xf>
    <xf numFmtId="165" fontId="7" fillId="3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168" fontId="7" fillId="3" borderId="0" applyAlignment="1" pivotButton="0" quotePrefix="0" xfId="0">
      <alignment horizontal="right" vertical="center"/>
    </xf>
    <xf numFmtId="3" fontId="7" fillId="3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8" fontId="7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169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优先使用明确发行时总市值；仅有发行价×发行股数时标记为近似。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</commentList>
</comments>
</file>

<file path=xl/comments/comment2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优先使用明确发行时总市值；仅有发行价×发行股数时标记为近似。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AB7"/>
  <sheetViews>
    <sheetView showGridLines="0" tabSelected="1" workbookViewId="0">
      <pane xSplit="4" ySplit="4" topLeftCell="E5" activePane="bottomRight" state="frozen"/>
      <selection pane="topRight"/>
      <selection pane="bottomLeft"/>
      <selection pane="bottomRight" activeCell="E21" sqref="E2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</cols>
  <sheetData>
    <row r="1" ht="24" customHeight="1" s="3">
      <c r="A1" s="4" t="inlineStr">
        <is>
          <t>股票分析表生成器｜财务年度：2025｜数据截至：2026-08-29｜金额单位：亿元｜股数单位：亿股</t>
        </is>
      </c>
    </row>
    <row r="2" ht="25" customHeight="1" s="3">
      <c r="A2" s="5" t="inlineStr">
        <is>
          <t>范围：上交所、深交所、北交所普通 A 股；不含 B 股、基金、债券等非普通股票。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最新可得价格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</row>
    <row r="5" ht="21" customHeight="1" s="3">
      <c r="A5" s="12" t="inlineStr">
        <is>
          <t>601398</t>
        </is>
      </c>
      <c r="B5" s="13" t="inlineStr">
        <is>
          <t>工商银行</t>
        </is>
      </c>
      <c r="C5" s="14">
        <f>IF('历史数据'!D3="","—",'历史数据'!D3)</f>
        <v/>
      </c>
      <c r="D5" s="15">
        <f>IF('历史数据'!E3="","—",'历史数据'!E3)</f>
        <v/>
      </c>
      <c r="E5" s="16">
        <f>IF('历史数据'!G3="","—",'历史数据'!G3/100000000)</f>
        <v/>
      </c>
      <c r="F5" s="17">
        <f>IF(OR('历史数据'!G3="",'历史数据'!H3&lt;=0),"—",'历史数据'!G3/'历史数据'!H3-1)</f>
        <v/>
      </c>
      <c r="G5" s="17">
        <f>IF(OR('历史数据'!G3&lt;=0,'历史数据'!I3&lt;=0),"—",POWER('历史数据'!G3/'历史数据'!I3,1/3)-1)</f>
        <v/>
      </c>
      <c r="H5" s="17">
        <f>IF(OR('历史数据'!G3&lt;=0,'历史数据'!J3=""),"—",('历史数据'!G3-'历史数据'!J3)/'历史数据'!G3)</f>
        <v/>
      </c>
      <c r="I5" s="18">
        <f>IF(OR(H5="—",'历史数据'!H3&lt;=0,'历史数据'!K3=""),"—",(H5-('历史数据'!H3-'历史数据'!K3)/'历史数据'!H3)*100)</f>
        <v/>
      </c>
      <c r="J5" s="18">
        <f>IF(OR(H5="—",'历史数据'!I3&lt;=0,'历史数据'!L3=""),"—",(H5-('历史数据'!I3-'历史数据'!L3)/'历史数据'!I3)*100)</f>
        <v/>
      </c>
      <c r="K5" s="16">
        <f>IF('历史数据'!M3="","—",'历史数据'!M3/100000000)</f>
        <v/>
      </c>
      <c r="L5" s="17">
        <f>IF(OR('历史数据'!G3=0,'历史数据'!M3=""),"—",'历史数据'!M3/'历史数据'!G3)</f>
        <v/>
      </c>
      <c r="M5" s="17">
        <f>IF(OR('历史数据'!M3="",'历史数据'!N3=0),"—",('历史数据'!M3-'历史数据'!N3)/ABS('历史数据'!N3))</f>
        <v/>
      </c>
      <c r="N5" s="17">
        <f>IF(OR('历史数据'!M3&lt;=0,'历史数据'!O3&lt;=0),"—",POWER('历史数据'!M3/'历史数据'!O3,1/3)-1)</f>
        <v/>
      </c>
      <c r="O5" s="16">
        <f>IF('历史数据'!P3="","—",'历史数据'!P3/100000000)</f>
        <v/>
      </c>
      <c r="P5" s="19">
        <f>IF(OR('历史数据'!P3="",'历史数据'!Q3=0),"—",('历史数据'!P3-'历史数据'!Q3)/ABS('历史数据'!Q3))</f>
        <v/>
      </c>
      <c r="Q5" s="19">
        <f>IF(OR('历史数据'!P3&lt;=0,'历史数据'!R3&lt;=0),"—",POWER('历史数据'!P3/'历史数据'!R3,1/3)-1)</f>
        <v/>
      </c>
      <c r="R5" s="20">
        <f>IF('历史数据'!S3="","—",'历史数据'!S3/100000000)</f>
        <v/>
      </c>
      <c r="S5" s="21">
        <f>IF('历史数据'!T3="","—",'历史数据'!T3)</f>
        <v/>
      </c>
      <c r="T5" s="22">
        <f>IF('历史数据'!U3="","—",'历史数据'!U3)</f>
        <v/>
      </c>
      <c r="U5" s="22">
        <f>IF('历史数据'!V3="","—",'历史数据'!V3/100000000)</f>
        <v/>
      </c>
      <c r="V5" s="20">
        <f>IF('历史数据'!W3="","—",'历史数据'!W3/100000000)</f>
        <v/>
      </c>
      <c r="W5" s="22">
        <f>IF('历史数据'!X3="","—",'历史数据'!X3)</f>
        <v/>
      </c>
      <c r="X5" s="19">
        <f>IF(OR(R5="—",V5="—",V5&lt;=0),"—",R5/V5-1)</f>
        <v/>
      </c>
      <c r="Y5" s="23">
        <f>IF('历史数据'!Y3="","—",'历史数据'!Y3)</f>
        <v/>
      </c>
      <c r="Z5" s="20">
        <f>IF('历史数据'!Z3="","—",'历史数据'!Z3/100000000)</f>
        <v/>
      </c>
      <c r="AA5" s="24">
        <f>IF('历史数据'!AA3="","—",'历史数据'!AA3/100000000)</f>
        <v/>
      </c>
      <c r="AB5" s="24">
        <f>IF('历史数据'!AB3="","—",'历史数据'!AB3/100000000)</f>
        <v/>
      </c>
    </row>
    <row r="6" ht="21" customHeight="1" s="3">
      <c r="A6" s="12" t="inlineStr">
        <is>
          <t>601939</t>
        </is>
      </c>
      <c r="B6" s="13" t="inlineStr">
        <is>
          <t>建设银行</t>
        </is>
      </c>
      <c r="C6" s="25">
        <f>IF('历史数据'!D4="","—",'历史数据'!D4)</f>
        <v/>
      </c>
      <c r="D6" s="13">
        <f>IF('历史数据'!E4="","—",'历史数据'!E4)</f>
        <v/>
      </c>
      <c r="E6" s="24">
        <f>IF('历史数据'!G4="","—",'历史数据'!G4/100000000)</f>
        <v/>
      </c>
      <c r="F6" s="26">
        <f>IF(OR('历史数据'!G4="",'历史数据'!H4&lt;=0),"—",'历史数据'!G4/'历史数据'!H4-1)</f>
        <v/>
      </c>
      <c r="G6" s="26">
        <f>IF(OR('历史数据'!G4&lt;=0,'历史数据'!I4&lt;=0),"—",POWER('历史数据'!G4/'历史数据'!I4,1/3)-1)</f>
        <v/>
      </c>
      <c r="H6" s="26">
        <f>IF(OR('历史数据'!G4&lt;=0,'历史数据'!J4=""),"—",('历史数据'!G4-'历史数据'!J4)/'历史数据'!G4)</f>
        <v/>
      </c>
      <c r="I6" s="27">
        <f>IF(OR(H6="—",'历史数据'!H4&lt;=0,'历史数据'!K4=""),"—",(H6-('历史数据'!H4-'历史数据'!K4)/'历史数据'!H4)*100)</f>
        <v/>
      </c>
      <c r="J6" s="27">
        <f>IF(OR(H6="—",'历史数据'!I4&lt;=0,'历史数据'!L4=""),"—",(H6-('历史数据'!I4-'历史数据'!L4)/'历史数据'!I4)*100)</f>
        <v/>
      </c>
      <c r="K6" s="24">
        <f>IF('历史数据'!M4="","—",'历史数据'!M4/100000000)</f>
        <v/>
      </c>
      <c r="L6" s="26">
        <f>IF(OR('历史数据'!G4=0,'历史数据'!M4=""),"—",'历史数据'!M4/'历史数据'!G4)</f>
        <v/>
      </c>
      <c r="M6" s="26">
        <f>IF(OR('历史数据'!M4="",'历史数据'!N4=0),"—",('历史数据'!M4-'历史数据'!N4)/ABS('历史数据'!N4))</f>
        <v/>
      </c>
      <c r="N6" s="26">
        <f>IF(OR('历史数据'!M4&lt;=0,'历史数据'!O4&lt;=0),"—",POWER('历史数据'!M4/'历史数据'!O4,1/3)-1)</f>
        <v/>
      </c>
      <c r="O6" s="24">
        <f>IF('历史数据'!P4="","—",'历史数据'!P4/100000000)</f>
        <v/>
      </c>
      <c r="P6" s="26">
        <f>IF(OR('历史数据'!P4="",'历史数据'!Q4=0),"—",('历史数据'!P4-'历史数据'!Q4)/ABS('历史数据'!Q4))</f>
        <v/>
      </c>
      <c r="Q6" s="26">
        <f>IF(OR('历史数据'!P4&lt;=0,'历史数据'!R4&lt;=0),"—",POWER('历史数据'!P4/'历史数据'!R4,1/3)-1)</f>
        <v/>
      </c>
      <c r="R6" s="24">
        <f>IF('历史数据'!S4="","—",'历史数据'!S4/100000000)</f>
        <v/>
      </c>
      <c r="S6" s="25">
        <f>IF('历史数据'!T4="","—",'历史数据'!T4)</f>
        <v/>
      </c>
      <c r="T6" s="28">
        <f>IF('历史数据'!U4="","—",'历史数据'!U4)</f>
        <v/>
      </c>
      <c r="U6" s="28">
        <f>IF('历史数据'!V4="","—",'历史数据'!V4/100000000)</f>
        <v/>
      </c>
      <c r="V6" s="24">
        <f>IF('历史数据'!W4="","—",'历史数据'!W4/100000000)</f>
        <v/>
      </c>
      <c r="W6" s="28">
        <f>IF('历史数据'!X4="","—",'历史数据'!X4)</f>
        <v/>
      </c>
      <c r="X6" s="26">
        <f>IF(OR(R6="—",V6="—",V6&lt;=0),"—",R6/V6-1)</f>
        <v/>
      </c>
      <c r="Y6" s="29">
        <f>IF('历史数据'!Y4="","—",'历史数据'!Y4)</f>
        <v/>
      </c>
      <c r="Z6" s="24">
        <f>IF('历史数据'!Z4="","—",'历史数据'!Z4/100000000)</f>
        <v/>
      </c>
      <c r="AA6" s="24">
        <f>IF('历史数据'!AA4="","—",'历史数据'!AA4/100000000)</f>
        <v/>
      </c>
      <c r="AB6" s="24">
        <f>IF('历史数据'!AB4="","—",'历史数据'!AB4/100000000)</f>
        <v/>
      </c>
    </row>
    <row r="7" ht="21" customHeight="1" s="3">
      <c r="A7" s="12" t="inlineStr">
        <is>
          <t>688825</t>
        </is>
      </c>
      <c r="B7" s="13" t="inlineStr">
        <is>
          <t>长鑫科技</t>
        </is>
      </c>
      <c r="C7" s="25">
        <f>IF('历史数据'!D2="","—",'历史数据'!D2)</f>
        <v/>
      </c>
      <c r="D7" s="13">
        <f>IF('历史数据'!E2="","—",'历史数据'!E2)</f>
        <v/>
      </c>
      <c r="E7" s="24">
        <f>IF('历史数据'!G2="","—",'历史数据'!G2/100000000)</f>
        <v/>
      </c>
      <c r="F7" s="26">
        <f>IF(OR('历史数据'!G2="",'历史数据'!H2&lt;=0),"—",'历史数据'!G2/'历史数据'!H2-1)</f>
        <v/>
      </c>
      <c r="G7" s="26">
        <f>IF(OR('历史数据'!G2&lt;=0,'历史数据'!I2&lt;=0),"—",POWER('历史数据'!G2/'历史数据'!I2,1/3)-1)</f>
        <v/>
      </c>
      <c r="H7" s="26">
        <f>IF(OR('历史数据'!G2&lt;=0,'历史数据'!J2=""),"—",('历史数据'!G2-'历史数据'!J2)/'历史数据'!G2)</f>
        <v/>
      </c>
      <c r="I7" s="27">
        <f>IF(OR(H7="—",'历史数据'!H2&lt;=0,'历史数据'!K2=""),"—",(H7-('历史数据'!H2-'历史数据'!K2)/'历史数据'!H2)*100)</f>
        <v/>
      </c>
      <c r="J7" s="27">
        <f>IF(OR(H7="—",'历史数据'!I2&lt;=0,'历史数据'!L2=""),"—",(H7-('历史数据'!I2-'历史数据'!L2)/'历史数据'!I2)*100)</f>
        <v/>
      </c>
      <c r="K7" s="24">
        <f>IF('历史数据'!M2="","—",'历史数据'!M2/100000000)</f>
        <v/>
      </c>
      <c r="L7" s="26">
        <f>IF(OR('历史数据'!G2=0,'历史数据'!M2=""),"—",'历史数据'!M2/'历史数据'!G2)</f>
        <v/>
      </c>
      <c r="M7" s="26">
        <f>IF(OR('历史数据'!M2="",'历史数据'!N2=0),"—",('历史数据'!M2-'历史数据'!N2)/ABS('历史数据'!N2))</f>
        <v/>
      </c>
      <c r="N7" s="26">
        <f>IF(OR('历史数据'!M2&lt;=0,'历史数据'!O2&lt;=0),"—",POWER('历史数据'!M2/'历史数据'!O2,1/3)-1)</f>
        <v/>
      </c>
      <c r="O7" s="24">
        <f>IF('历史数据'!P2="","—",'历史数据'!P2/100000000)</f>
        <v/>
      </c>
      <c r="P7" s="26">
        <f>IF(OR('历史数据'!P2="",'历史数据'!Q2=0),"—",('历史数据'!P2-'历史数据'!Q2)/ABS('历史数据'!Q2))</f>
        <v/>
      </c>
      <c r="Q7" s="26">
        <f>IF(OR('历史数据'!P2&lt;=0,'历史数据'!R2&lt;=0),"—",POWER('历史数据'!P2/'历史数据'!R2,1/3)-1)</f>
        <v/>
      </c>
      <c r="R7" s="24">
        <f>IF('历史数据'!S2="","—",'历史数据'!S2/100000000)</f>
        <v/>
      </c>
      <c r="S7" s="25">
        <f>IF('历史数据'!T2="","—",'历史数据'!T2)</f>
        <v/>
      </c>
      <c r="T7" s="28">
        <f>IF('历史数据'!U2="","—",'历史数据'!U2)</f>
        <v/>
      </c>
      <c r="U7" s="28">
        <f>IF('历史数据'!V2="","—",'历史数据'!V2/100000000)</f>
        <v/>
      </c>
      <c r="V7" s="24">
        <f>IF('历史数据'!W2="","—",'历史数据'!W2/100000000)</f>
        <v/>
      </c>
      <c r="W7" s="28">
        <f>IF('历史数据'!X2="","—",'历史数据'!X2)</f>
        <v/>
      </c>
      <c r="X7" s="26">
        <f>IF(OR(R7="—",V7="—",V7&lt;=0),"—",R7/V7-1)</f>
        <v/>
      </c>
      <c r="Y7" s="29">
        <f>IF('历史数据'!Y2="","—",'历史数据'!Y2)</f>
        <v/>
      </c>
      <c r="Z7" s="24">
        <f>IF('历史数据'!Z2="","—",'历史数据'!Z2/100000000)</f>
        <v/>
      </c>
      <c r="AA7" s="24">
        <f>IF('历史数据'!AA2="","—",'历史数据'!AA2/100000000)</f>
        <v/>
      </c>
      <c r="AB7" s="24">
        <f>IF('历史数据'!AB2="","—",'历史数据'!AB2/100000000)</f>
        <v/>
      </c>
    </row>
  </sheetData>
  <autoFilter ref="A4:AB7"/>
  <mergeCells count="8">
    <mergeCell ref="A2:AB2"/>
    <mergeCell ref="K3:N3"/>
    <mergeCell ref="A3:D3"/>
    <mergeCell ref="A1:AB1"/>
    <mergeCell ref="E3:G3"/>
    <mergeCell ref="H3:J3"/>
    <mergeCell ref="R3:AB3"/>
    <mergeCell ref="O3:Q3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AB5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</cols>
  <sheetData>
    <row r="1" ht="24" customHeight="1" s="3">
      <c r="A1" s="4" t="inlineStr">
        <is>
          <t>股票分析表生成器｜财务年度：2025｜数据截至：2026-08-29｜金额单位：亿元｜股数单位：亿股</t>
        </is>
      </c>
    </row>
    <row r="2" ht="25" customHeight="1" s="3">
      <c r="A2" s="5" t="inlineStr">
        <is>
          <t>范围：港交所普通股；仅纳入可取得结构化关键财务数据的公司。港股大宗交易和资金流允许留空。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最新可得价格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</row>
    <row r="5"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</sheetData>
  <autoFilter ref="A4:AB4"/>
  <mergeCells count="8">
    <mergeCell ref="A2:AB2"/>
    <mergeCell ref="K3:N3"/>
    <mergeCell ref="A3:D3"/>
    <mergeCell ref="A1:AB1"/>
    <mergeCell ref="E3:G3"/>
    <mergeCell ref="H3:J3"/>
    <mergeCell ref="R3:AB3"/>
    <mergeCell ref="O3:Q3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18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18" customWidth="1" style="3" min="11" max="11"/>
    <col width="18" customWidth="1" style="3" min="12" max="12"/>
    <col width="18" customWidth="1" style="3" min="13" max="13"/>
    <col width="18" customWidth="1" style="3" min="14" max="14"/>
    <col width="18" customWidth="1" style="3" min="15" max="15"/>
    <col width="18" customWidth="1" style="3" min="16" max="16"/>
    <col width="18" customWidth="1" style="3" min="17" max="17"/>
    <col width="18" customWidth="1" style="3" min="18" max="18"/>
    <col width="18" customWidth="1" style="3" min="19" max="19"/>
    <col width="18" customWidth="1" style="3" min="20" max="20"/>
    <col width="18" customWidth="1" style="3" min="21" max="21"/>
    <col width="18" customWidth="1" style="3" min="22" max="22"/>
    <col width="18" customWidth="1" style="3" min="23" max="23"/>
    <col width="18" customWidth="1" style="3" min="24" max="24"/>
    <col width="18" customWidth="1" style="3" min="25" max="25"/>
    <col width="18" customWidth="1" style="3" min="26" max="26"/>
    <col width="18" customWidth="1" style="3" min="27" max="27"/>
    <col width="18" customWidth="1" style="3" min="28" max="28"/>
    <col width="18" customWidth="1" style="3" min="29" max="29"/>
    <col width="18" customWidth="1" style="3" min="30" max="30"/>
    <col width="18" customWidth="1" style="3" min="31" max="31"/>
    <col width="18" customWidth="1" style="3" min="32" max="32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本期报告日</t>
        </is>
      </c>
      <c r="E1" s="30" t="inlineStr">
        <is>
          <t>标准币种</t>
        </is>
      </c>
      <c r="F1" s="30" t="inlineStr">
        <is>
          <t>原币种</t>
        </is>
      </c>
      <c r="G1" s="30" t="inlineStr">
        <is>
          <t>本期营业收入</t>
        </is>
      </c>
      <c r="H1" s="30" t="inlineStr">
        <is>
          <t>上期营业收入</t>
        </is>
      </c>
      <c r="I1" s="30" t="inlineStr">
        <is>
          <t>三年前营业收入</t>
        </is>
      </c>
      <c r="J1" s="30" t="inlineStr">
        <is>
          <t>本期营业成本</t>
        </is>
      </c>
      <c r="K1" s="30" t="inlineStr">
        <is>
          <t>上期营业成本</t>
        </is>
      </c>
      <c r="L1" s="30" t="inlineStr">
        <is>
          <t>三年前营业成本</t>
        </is>
      </c>
      <c r="M1" s="30" t="inlineStr">
        <is>
          <t>本期归母净利润</t>
        </is>
      </c>
      <c r="N1" s="30" t="inlineStr">
        <is>
          <t>上期归母净利润</t>
        </is>
      </c>
      <c r="O1" s="30" t="inlineStr">
        <is>
          <t>三年前归母净利润</t>
        </is>
      </c>
      <c r="P1" s="30" t="inlineStr">
        <is>
          <t>本期经营现金流</t>
        </is>
      </c>
      <c r="Q1" s="30" t="inlineStr">
        <is>
          <t>上期经营现金流</t>
        </is>
      </c>
      <c r="R1" s="30" t="inlineStr">
        <is>
          <t>三年前经营现金流</t>
        </is>
      </c>
      <c r="S1" s="30" t="inlineStr">
        <is>
          <t>最新市值</t>
        </is>
      </c>
      <c r="T1" s="30" t="inlineStr">
        <is>
          <t>上市日期</t>
        </is>
      </c>
      <c r="U1" s="30" t="inlineStr">
        <is>
          <t>发行价</t>
        </is>
      </c>
      <c r="V1" s="30" t="inlineStr">
        <is>
          <t>发行股数</t>
        </is>
      </c>
      <c r="W1" s="30" t="inlineStr">
        <is>
          <t>发行时市值</t>
        </is>
      </c>
      <c r="X1" s="30" t="inlineStr">
        <is>
          <t>现价</t>
        </is>
      </c>
      <c r="Y1" s="30" t="inlineStr">
        <is>
          <t>大宗交易数量</t>
        </is>
      </c>
      <c r="Z1" s="30" t="inlineStr">
        <is>
          <t>大宗交易金额</t>
        </is>
      </c>
      <c r="AA1" s="30" t="inlineStr">
        <is>
          <t>近五日资金净额</t>
        </is>
      </c>
      <c r="AB1" s="30" t="inlineStr">
        <is>
          <t>近一月资金净额</t>
        </is>
      </c>
      <c r="AC1" s="30" t="inlineStr">
        <is>
          <t>是否合并口径</t>
        </is>
      </c>
      <c r="AD1" s="30" t="inlineStr">
        <is>
          <t>是否追溯调整</t>
        </is>
      </c>
      <c r="AE1" s="30" t="inlineStr">
        <is>
          <t>财务质量说明</t>
        </is>
      </c>
      <c r="AF1" s="30" t="inlineStr">
        <is>
          <t>行情日期</t>
        </is>
      </c>
    </row>
    <row r="2">
      <c r="A2" t="inlineStr">
        <is>
          <t>A股</t>
        </is>
      </c>
      <c r="B2" t="inlineStr">
        <is>
          <t>688825</t>
        </is>
      </c>
      <c r="C2" t="inlineStr">
        <is>
          <t>长鑫科技</t>
        </is>
      </c>
      <c r="D2" s="31" t="n">
        <v>46022</v>
      </c>
      <c r="E2" t="inlineStr">
        <is>
          <t>CNY</t>
        </is>
      </c>
      <c r="F2" t="inlineStr">
        <is>
          <t>CNY</t>
        </is>
      </c>
      <c r="G2" t="n">
        <v>61799321546.81</v>
      </c>
      <c r="H2" t="n">
        <v>24178248674.03</v>
      </c>
      <c r="I2" t="n">
        <v>8286544724.63</v>
      </c>
      <c r="J2" t="n">
        <v>36465406329.08921</v>
      </c>
      <c r="K2" t="n">
        <v>22829536568.88572</v>
      </c>
      <c r="L2" t="n">
        <v>8545628607.231682</v>
      </c>
      <c r="M2" t="n">
        <v>1874859379.01</v>
      </c>
      <c r="N2" t="n">
        <v>-7144887248.88</v>
      </c>
      <c r="O2" t="n">
        <v>-8328003920.35</v>
      </c>
      <c r="P2" t="n">
        <v>36519813259.82</v>
      </c>
      <c r="Q2" t="n">
        <v>6897458532.98</v>
      </c>
      <c r="R2" t="n">
        <v>-1957166487.63</v>
      </c>
      <c r="S2" t="n">
        <v>3978008205912</v>
      </c>
      <c r="T2" s="31" t="n">
        <v>46230</v>
      </c>
      <c r="U2" t="n">
        <v>8.66</v>
      </c>
      <c r="V2" t="n">
        <v>6688088608</v>
      </c>
      <c r="W2" t="n">
        <v>57918847345.28</v>
      </c>
      <c r="X2" t="n">
        <v>58.6</v>
      </c>
      <c r="Y2" t="n">
        <v>0</v>
      </c>
      <c r="Z2" t="n">
        <v>0</v>
      </c>
      <c r="AF2" s="31" t="n">
        <v>46263</v>
      </c>
    </row>
    <row r="3">
      <c r="A3" t="inlineStr">
        <is>
          <t>A股</t>
        </is>
      </c>
      <c r="B3" t="inlineStr">
        <is>
          <t>601398</t>
        </is>
      </c>
      <c r="C3" t="inlineStr">
        <is>
          <t>工商银行</t>
        </is>
      </c>
      <c r="D3" s="31" t="n">
        <v>46022</v>
      </c>
      <c r="E3" t="inlineStr">
        <is>
          <t>CNY</t>
        </is>
      </c>
      <c r="F3" t="inlineStr">
        <is>
          <t>CNY</t>
        </is>
      </c>
      <c r="G3" t="n">
        <v>838270000000</v>
      </c>
      <c r="H3" t="n">
        <v>821803000000</v>
      </c>
      <c r="I3" t="n">
        <v>875734000000</v>
      </c>
      <c r="M3" t="n">
        <v>368562000000</v>
      </c>
      <c r="N3" t="n">
        <v>365863000000</v>
      </c>
      <c r="O3" t="n">
        <v>361132000000</v>
      </c>
      <c r="P3" t="n">
        <v>1890530000000</v>
      </c>
      <c r="Q3" t="n">
        <v>579194000000</v>
      </c>
      <c r="R3" t="n">
        <v>1404657000000</v>
      </c>
      <c r="S3" t="n">
        <v>2801353180720</v>
      </c>
      <c r="T3" s="31" t="n">
        <v>39017</v>
      </c>
      <c r="U3" t="n">
        <v>3.12</v>
      </c>
      <c r="V3" t="n">
        <v>14950000000</v>
      </c>
      <c r="W3" t="n">
        <v>46644000000</v>
      </c>
      <c r="X3" t="n">
        <v>7.86</v>
      </c>
      <c r="Y3" t="n">
        <v>0</v>
      </c>
      <c r="Z3" t="n">
        <v>0</v>
      </c>
      <c r="AF3" s="31" t="n">
        <v>46263</v>
      </c>
    </row>
    <row r="4">
      <c r="A4" t="inlineStr">
        <is>
          <t>A股</t>
        </is>
      </c>
      <c r="B4" t="inlineStr">
        <is>
          <t>601939</t>
        </is>
      </c>
      <c r="C4" t="inlineStr">
        <is>
          <t>建设银行</t>
        </is>
      </c>
      <c r="D4" s="31" t="n">
        <v>46022</v>
      </c>
      <c r="E4" t="inlineStr">
        <is>
          <t>CNY</t>
        </is>
      </c>
      <c r="F4" t="inlineStr">
        <is>
          <t>CNY</t>
        </is>
      </c>
      <c r="G4" t="n">
        <v>761049000000</v>
      </c>
      <c r="H4" t="n">
        <v>746970000000</v>
      </c>
      <c r="I4" t="n">
        <v>783760000000</v>
      </c>
      <c r="M4" t="n">
        <v>338906000000</v>
      </c>
      <c r="N4" t="n">
        <v>335577000000</v>
      </c>
      <c r="O4" t="n">
        <v>324727000000</v>
      </c>
      <c r="P4" t="n">
        <v>2101242000000</v>
      </c>
      <c r="Q4" t="n">
        <v>338023000000</v>
      </c>
      <c r="R4" t="n">
        <v>978419000000</v>
      </c>
      <c r="S4" t="n">
        <v>2796508077797</v>
      </c>
      <c r="T4" s="31" t="n">
        <v>39350</v>
      </c>
      <c r="U4" t="n">
        <v>6.45</v>
      </c>
      <c r="V4" t="n">
        <v>9000000000</v>
      </c>
      <c r="W4" t="n">
        <v>58050000000</v>
      </c>
      <c r="X4" t="n">
        <v>10.69</v>
      </c>
      <c r="Y4" t="n">
        <v>0</v>
      </c>
      <c r="Z4" t="n">
        <v>0</v>
      </c>
      <c r="AF4" s="31" t="n">
        <v>46263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42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  <col width="18" customWidth="1" style="3" min="13" max="13"/>
    <col width="18" customWidth="1" style="3" min="14" max="14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字段组</t>
        </is>
      </c>
      <c r="E1" s="30" t="inlineStr">
        <is>
          <t>来源名</t>
        </is>
      </c>
      <c r="F1" s="30" t="inlineStr">
        <is>
          <t>来源地址或请求标识</t>
        </is>
      </c>
      <c r="G1" s="30" t="inlineStr">
        <is>
          <t>抓取时间</t>
        </is>
      </c>
      <c r="H1" s="30" t="inlineStr">
        <is>
          <t>原币种</t>
        </is>
      </c>
      <c r="I1" s="30" t="inlineStr">
        <is>
          <t>标准币种</t>
        </is>
      </c>
      <c r="J1" s="30" t="inlineStr">
        <is>
          <t>状态</t>
        </is>
      </c>
      <c r="K1" s="30" t="inlineStr">
        <is>
          <t>缺失原因</t>
        </is>
      </c>
      <c r="L1" s="30" t="inlineStr">
        <is>
          <t>是否近似</t>
        </is>
      </c>
      <c r="M1" s="30" t="inlineStr">
        <is>
          <t>主数据源</t>
        </is>
      </c>
      <c r="N1" s="30" t="inlineStr">
        <is>
          <t>缓存命中</t>
        </is>
      </c>
    </row>
    <row r="2">
      <c r="A2" t="inlineStr">
        <is>
          <t>A股</t>
        </is>
      </c>
      <c r="B2" t="inlineStr">
        <is>
          <t>688825</t>
        </is>
      </c>
      <c r="C2" t="inlineStr">
        <is>
          <t>长鑫科技</t>
        </is>
      </c>
      <c r="D2" t="inlineStr">
        <is>
          <t>最新行情</t>
        </is>
      </c>
      <c r="E2" t="inlineStr">
        <is>
          <t>东方财富</t>
        </is>
      </c>
      <c r="F2" t="inlineStr">
        <is>
          <t>push2 ulist.np/get f2,f20（按指定证券分批）</t>
        </is>
      </c>
      <c r="G2" s="32" t="n">
        <v>46263.51952002939</v>
      </c>
      <c r="H2" t="inlineStr">
        <is>
          <t>CNY</t>
        </is>
      </c>
      <c r="I2" t="inlineStr">
        <is>
          <t>CNY</t>
        </is>
      </c>
      <c r="J2" t="inlineStr">
        <is>
          <t>ok</t>
        </is>
      </c>
      <c r="L2" t="b">
        <v>0</v>
      </c>
      <c r="M2" t="inlineStr">
        <is>
          <t>东方财富</t>
        </is>
      </c>
      <c r="N2" t="b">
        <v>0</v>
      </c>
    </row>
    <row r="3">
      <c r="A3" t="inlineStr">
        <is>
          <t>A股</t>
        </is>
      </c>
      <c r="B3" t="inlineStr">
        <is>
          <t>688825</t>
        </is>
      </c>
      <c r="C3" t="inlineStr">
        <is>
          <t>长鑫科技</t>
        </is>
      </c>
      <c r="D3" t="inlineStr">
        <is>
          <t>年度财务</t>
        </is>
      </c>
      <c r="E3" t="inlineStr">
        <is>
          <t>东方财富</t>
        </is>
      </c>
      <c r="F3" t="inlineStr">
        <is>
          <t>RPT_LICO_FN_CPD + RPT_DMSK_FN_CASHFLOW；巨潮回退原因：未配置巨潮官方 API 凭证/端点（CNINFO_ACCESS_TOKEN、CNINFO_INCOME_API_URL、CNINFO_CASHFLOW_API_URL）</t>
        </is>
      </c>
      <c r="G3" s="32" t="n">
        <v>46263.5196664293</v>
      </c>
      <c r="H3" t="inlineStr">
        <is>
          <t>CNY</t>
        </is>
      </c>
      <c r="I3" t="inlineStr">
        <is>
          <t>CNY</t>
        </is>
      </c>
      <c r="J3" t="inlineStr">
        <is>
          <t>ok</t>
        </is>
      </c>
      <c r="L3" t="b">
        <v>1</v>
      </c>
      <c r="M3" t="inlineStr">
        <is>
          <t>巨潮资讯（CNINFO Data Service）</t>
        </is>
      </c>
      <c r="N3" t="b">
        <v>0</v>
      </c>
    </row>
    <row r="4">
      <c r="A4" t="inlineStr">
        <is>
          <t>A股</t>
        </is>
      </c>
      <c r="B4" t="inlineStr">
        <is>
          <t>688825</t>
        </is>
      </c>
      <c r="C4" t="inlineStr">
        <is>
          <t>长鑫科技</t>
        </is>
      </c>
      <c r="D4" t="inlineStr">
        <is>
          <t>上市与发行信息</t>
        </is>
      </c>
      <c r="E4" t="inlineStr">
        <is>
          <t>东方财富</t>
        </is>
      </c>
      <c r="F4" t="inlineStr">
        <is>
          <t>RPT_PCF10_ORG_ISSUEINFO</t>
        </is>
      </c>
      <c r="G4" s="32" t="n">
        <v>46263.51969866989</v>
      </c>
      <c r="H4" t="inlineStr">
        <is>
          <t>CNY</t>
        </is>
      </c>
      <c r="I4" t="inlineStr">
        <is>
          <t>CNY</t>
        </is>
      </c>
      <c r="J4" t="inlineStr">
        <is>
          <t>ok</t>
        </is>
      </c>
      <c r="L4" t="b">
        <v>0</v>
      </c>
      <c r="M4" t="inlineStr">
        <is>
          <t>东方财富</t>
        </is>
      </c>
      <c r="N4" t="b">
        <v>0</v>
      </c>
    </row>
    <row r="5">
      <c r="A5" t="inlineStr">
        <is>
          <t>A股</t>
        </is>
      </c>
      <c r="B5" t="inlineStr">
        <is>
          <t>688825</t>
        </is>
      </c>
      <c r="C5" t="inlineStr">
        <is>
          <t>长鑫科技</t>
        </is>
      </c>
      <c r="D5" t="inlineStr">
        <is>
          <t>大宗交易</t>
        </is>
      </c>
      <c r="E5" t="inlineStr">
        <is>
          <t>东方财富</t>
        </is>
      </c>
      <c r="F5" t="inlineStr">
        <is>
          <t>RPT_DATA_BLOCKTRADE 2025（全市场分页后本地聚合）</t>
        </is>
      </c>
      <c r="G5" s="32" t="n">
        <v>46263.51970124441</v>
      </c>
      <c r="H5" t="inlineStr">
        <is>
          <t>CNY</t>
        </is>
      </c>
      <c r="I5" t="inlineStr">
        <is>
          <t>CNY</t>
        </is>
      </c>
      <c r="J5" t="inlineStr">
        <is>
          <t>ok</t>
        </is>
      </c>
      <c r="L5" t="b">
        <v>0</v>
      </c>
      <c r="M5" t="inlineStr">
        <is>
          <t>东方财富</t>
        </is>
      </c>
      <c r="N5" t="b">
        <v>0</v>
      </c>
    </row>
    <row r="6">
      <c r="A6" t="inlineStr">
        <is>
          <t>A股</t>
        </is>
      </c>
      <c r="B6" t="inlineStr">
        <is>
          <t>601398</t>
        </is>
      </c>
      <c r="C6" t="inlineStr">
        <is>
          <t>工商银行</t>
        </is>
      </c>
      <c r="D6" t="inlineStr">
        <is>
          <t>最新行情</t>
        </is>
      </c>
      <c r="E6" t="inlineStr">
        <is>
          <t>东方财富</t>
        </is>
      </c>
      <c r="F6" t="inlineStr">
        <is>
          <t>push2 ulist.np/get f2,f20（按指定证券分批）</t>
        </is>
      </c>
      <c r="G6" s="32" t="n">
        <v>46263.51952868899</v>
      </c>
      <c r="H6" t="inlineStr">
        <is>
          <t>CNY</t>
        </is>
      </c>
      <c r="I6" t="inlineStr">
        <is>
          <t>CNY</t>
        </is>
      </c>
      <c r="J6" t="inlineStr">
        <is>
          <t>ok</t>
        </is>
      </c>
      <c r="L6" t="b">
        <v>0</v>
      </c>
      <c r="M6" t="inlineStr">
        <is>
          <t>东方财富</t>
        </is>
      </c>
      <c r="N6" t="b">
        <v>0</v>
      </c>
    </row>
    <row r="7">
      <c r="A7" t="inlineStr">
        <is>
          <t>A股</t>
        </is>
      </c>
      <c r="B7" t="inlineStr">
        <is>
          <t>601398</t>
        </is>
      </c>
      <c r="C7" t="inlineStr">
        <is>
          <t>工商银行</t>
        </is>
      </c>
      <c r="D7" t="inlineStr">
        <is>
          <t>年度财务</t>
        </is>
      </c>
      <c r="E7" t="inlineStr">
        <is>
          <t>东方财富</t>
        </is>
      </c>
      <c r="F7" t="inlineStr">
        <is>
          <t>RPT_LICO_FN_CPD + RPT_DMSK_FN_CASHFLOW；巨潮回退原因：未配置巨潮官方 API 凭证/端点（CNINFO_ACCESS_TOKEN、CNINFO_INCOME_API_URL、CNINFO_CASHFLOW_API_URL）</t>
        </is>
      </c>
      <c r="G7" s="32" t="n">
        <v>46263.51966855254</v>
      </c>
      <c r="H7" t="inlineStr">
        <is>
          <t>CNY</t>
        </is>
      </c>
      <c r="I7" t="inlineStr">
        <is>
          <t>CNY</t>
        </is>
      </c>
      <c r="J7" t="inlineStr">
        <is>
          <t>ok</t>
        </is>
      </c>
      <c r="L7" t="b">
        <v>0</v>
      </c>
      <c r="M7" t="inlineStr">
        <is>
          <t>巨潮资讯（CNINFO Data Service）</t>
        </is>
      </c>
      <c r="N7" t="b">
        <v>0</v>
      </c>
    </row>
    <row r="8">
      <c r="A8" t="inlineStr">
        <is>
          <t>A股</t>
        </is>
      </c>
      <c r="B8" t="inlineStr">
        <is>
          <t>601398</t>
        </is>
      </c>
      <c r="C8" t="inlineStr">
        <is>
          <t>工商银行</t>
        </is>
      </c>
      <c r="D8" t="inlineStr">
        <is>
          <t>上市与发行信息</t>
        </is>
      </c>
      <c r="E8" t="inlineStr">
        <is>
          <t>东方财富</t>
        </is>
      </c>
      <c r="F8" t="inlineStr">
        <is>
          <t>RPT_PCF10_ORG_ISSUEINFO</t>
        </is>
      </c>
      <c r="G8" s="32" t="n">
        <v>46263.51969658607</v>
      </c>
      <c r="H8" t="inlineStr">
        <is>
          <t>CNY</t>
        </is>
      </c>
      <c r="I8" t="inlineStr">
        <is>
          <t>CNY</t>
        </is>
      </c>
      <c r="J8" t="inlineStr">
        <is>
          <t>ok</t>
        </is>
      </c>
      <c r="L8" t="b">
        <v>0</v>
      </c>
      <c r="M8" t="inlineStr">
        <is>
          <t>东方财富</t>
        </is>
      </c>
      <c r="N8" t="b">
        <v>0</v>
      </c>
    </row>
    <row r="9">
      <c r="A9" t="inlineStr">
        <is>
          <t>A股</t>
        </is>
      </c>
      <c r="B9" t="inlineStr">
        <is>
          <t>601398</t>
        </is>
      </c>
      <c r="C9" t="inlineStr">
        <is>
          <t>工商银行</t>
        </is>
      </c>
      <c r="D9" t="inlineStr">
        <is>
          <t>大宗交易</t>
        </is>
      </c>
      <c r="E9" t="inlineStr">
        <is>
          <t>东方财富</t>
        </is>
      </c>
      <c r="F9" t="inlineStr">
        <is>
          <t>RPT_DATA_BLOCKTRADE 2025（全市场分页后本地聚合）</t>
        </is>
      </c>
      <c r="G9" s="32" t="n">
        <v>46263.51970124441</v>
      </c>
      <c r="H9" t="inlineStr">
        <is>
          <t>CNY</t>
        </is>
      </c>
      <c r="I9" t="inlineStr">
        <is>
          <t>CNY</t>
        </is>
      </c>
      <c r="J9" t="inlineStr">
        <is>
          <t>ok</t>
        </is>
      </c>
      <c r="L9" t="b">
        <v>0</v>
      </c>
      <c r="M9" t="inlineStr">
        <is>
          <t>东方财富</t>
        </is>
      </c>
      <c r="N9" t="b">
        <v>0</v>
      </c>
    </row>
    <row r="10">
      <c r="A10" t="inlineStr">
        <is>
          <t>A股</t>
        </is>
      </c>
      <c r="B10" t="inlineStr">
        <is>
          <t>601939</t>
        </is>
      </c>
      <c r="C10" t="inlineStr">
        <is>
          <t>建设银行</t>
        </is>
      </c>
      <c r="D10" t="inlineStr">
        <is>
          <t>最新行情</t>
        </is>
      </c>
      <c r="E10" t="inlineStr">
        <is>
          <t>东方财富</t>
        </is>
      </c>
      <c r="F10" t="inlineStr">
        <is>
          <t>push2 ulist.np/get f2,f20（按指定证券分批）</t>
        </is>
      </c>
      <c r="G10" s="32" t="n">
        <v>46263.51952812605</v>
      </c>
      <c r="H10" t="inlineStr">
        <is>
          <t>CNY</t>
        </is>
      </c>
      <c r="I10" t="inlineStr">
        <is>
          <t>CNY</t>
        </is>
      </c>
      <c r="J10" t="inlineStr">
        <is>
          <t>ok</t>
        </is>
      </c>
      <c r="L10" t="b">
        <v>0</v>
      </c>
      <c r="M10" t="inlineStr">
        <is>
          <t>东方财富</t>
        </is>
      </c>
      <c r="N10" t="b">
        <v>0</v>
      </c>
    </row>
    <row r="11">
      <c r="A11" t="inlineStr">
        <is>
          <t>A股</t>
        </is>
      </c>
      <c r="B11" t="inlineStr">
        <is>
          <t>601939</t>
        </is>
      </c>
      <c r="C11" t="inlineStr">
        <is>
          <t>建设银行</t>
        </is>
      </c>
      <c r="D11" t="inlineStr">
        <is>
          <t>年度财务</t>
        </is>
      </c>
      <c r="E11" t="inlineStr">
        <is>
          <t>东方财富</t>
        </is>
      </c>
      <c r="F11" t="inlineStr">
        <is>
          <t>RPT_LICO_FN_CPD + RPT_DMSK_FN_CASHFLOW；巨潮回退原因：未配置巨潮官方 API 凭证/端点（CNINFO_ACCESS_TOKEN、CNINFO_INCOME_API_URL、CNINFO_CASHFLOW_API_URL）</t>
        </is>
      </c>
      <c r="G11" s="32" t="n">
        <v>46263.51967024</v>
      </c>
      <c r="H11" t="inlineStr">
        <is>
          <t>CNY</t>
        </is>
      </c>
      <c r="I11" t="inlineStr">
        <is>
          <t>CNY</t>
        </is>
      </c>
      <c r="J11" t="inlineStr">
        <is>
          <t>ok</t>
        </is>
      </c>
      <c r="L11" t="b">
        <v>0</v>
      </c>
      <c r="M11" t="inlineStr">
        <is>
          <t>巨潮资讯（CNINFO Data Service）</t>
        </is>
      </c>
      <c r="N11" t="b">
        <v>0</v>
      </c>
    </row>
    <row r="12">
      <c r="A12" t="inlineStr">
        <is>
          <t>A股</t>
        </is>
      </c>
      <c r="B12" t="inlineStr">
        <is>
          <t>601939</t>
        </is>
      </c>
      <c r="C12" t="inlineStr">
        <is>
          <t>建设银行</t>
        </is>
      </c>
      <c r="D12" t="inlineStr">
        <is>
          <t>上市与发行信息</t>
        </is>
      </c>
      <c r="E12" t="inlineStr">
        <is>
          <t>东方财富</t>
        </is>
      </c>
      <c r="F12" t="inlineStr">
        <is>
          <t>RPT_PCF10_ORG_ISSUEINFO</t>
        </is>
      </c>
      <c r="G12" s="32" t="n">
        <v>46263.51970044916</v>
      </c>
      <c r="H12" t="inlineStr">
        <is>
          <t>CNY</t>
        </is>
      </c>
      <c r="I12" t="inlineStr">
        <is>
          <t>CNY</t>
        </is>
      </c>
      <c r="J12" t="inlineStr">
        <is>
          <t>ok</t>
        </is>
      </c>
      <c r="L12" t="b">
        <v>0</v>
      </c>
      <c r="M12" t="inlineStr">
        <is>
          <t>东方财富</t>
        </is>
      </c>
      <c r="N12" t="b">
        <v>0</v>
      </c>
    </row>
    <row r="13">
      <c r="A13" t="inlineStr">
        <is>
          <t>A股</t>
        </is>
      </c>
      <c r="B13" t="inlineStr">
        <is>
          <t>601939</t>
        </is>
      </c>
      <c r="C13" t="inlineStr">
        <is>
          <t>建设银行</t>
        </is>
      </c>
      <c r="D13" t="inlineStr">
        <is>
          <t>大宗交易</t>
        </is>
      </c>
      <c r="E13" t="inlineStr">
        <is>
          <t>东方财富</t>
        </is>
      </c>
      <c r="F13" t="inlineStr">
        <is>
          <t>RPT_DATA_BLOCKTRADE 2025（全市场分页后本地聚合）</t>
        </is>
      </c>
      <c r="G13" s="32" t="n">
        <v>46263.51970124441</v>
      </c>
      <c r="H13" t="inlineStr">
        <is>
          <t>CNY</t>
        </is>
      </c>
      <c r="I13" t="inlineStr">
        <is>
          <t>CNY</t>
        </is>
      </c>
      <c r="J13" t="inlineStr">
        <is>
          <t>ok</t>
        </is>
      </c>
      <c r="L13" t="b">
        <v>0</v>
      </c>
      <c r="M13" t="inlineStr">
        <is>
          <t>东方财富</t>
        </is>
      </c>
      <c r="N1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60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  <col width="18" customWidth="1" style="3" min="13" max="13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公司名称</t>
        </is>
      </c>
      <c r="D1" s="30" t="inlineStr">
        <is>
          <t>字段名</t>
        </is>
      </c>
      <c r="E1" s="30" t="inlineStr">
        <is>
          <t>字段状态</t>
        </is>
      </c>
      <c r="F1" s="30" t="inlineStr">
        <is>
          <t>原因</t>
        </is>
      </c>
      <c r="G1" s="30" t="inlineStr">
        <is>
          <t>是否核心字段</t>
        </is>
      </c>
      <c r="H1" s="30" t="inlineStr">
        <is>
          <t>是否允许为空</t>
        </is>
      </c>
      <c r="I1" s="30" t="inlineStr">
        <is>
          <t>主数据源</t>
        </is>
      </c>
      <c r="J1" s="30" t="inlineStr">
        <is>
          <t>实际数据源</t>
        </is>
      </c>
      <c r="K1" s="30" t="inlineStr">
        <is>
          <t>请求端点</t>
        </is>
      </c>
      <c r="L1" s="30" t="inlineStr">
        <is>
          <t>抓取时间</t>
        </is>
      </c>
      <c r="M1" s="30" t="inlineStr">
        <is>
          <t>缓存命中情况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3" min="1" max="1"/>
    <col width="100" customWidth="1" style="3" min="2" max="2"/>
  </cols>
  <sheetData>
    <row r="1" ht="34" customHeight="1" s="3">
      <c r="A1" s="30" t="inlineStr">
        <is>
          <t>项目</t>
        </is>
      </c>
      <c r="B1" s="30" t="inlineStr">
        <is>
          <t>值</t>
        </is>
      </c>
    </row>
    <row r="2">
      <c r="A2" t="inlineStr">
        <is>
          <t>程序英文名</t>
        </is>
      </c>
      <c r="B2" t="inlineStr">
        <is>
          <t>StockAnalysis</t>
        </is>
      </c>
    </row>
    <row r="3">
      <c r="A3" t="inlineStr">
        <is>
          <t>程序中文名</t>
        </is>
      </c>
      <c r="B3" t="inlineStr">
        <is>
          <t>股票分析表生成器</t>
        </is>
      </c>
    </row>
    <row r="4">
      <c r="A4" t="inlineStr">
        <is>
          <t>程序版本</t>
        </is>
      </c>
      <c r="B4" t="inlineStr">
        <is>
          <t>0.3.0</t>
        </is>
      </c>
    </row>
    <row r="5">
      <c r="A5" t="inlineStr">
        <is>
          <t>Python 版本</t>
        </is>
      </c>
      <c r="B5" t="inlineStr">
        <is>
          <t>3.12.13 (main, Aug  7 2026, 02:26:41) [MSC v.1944 64 bit (AMD64)]</t>
        </is>
      </c>
    </row>
    <row r="6">
      <c r="A6" t="inlineStr">
        <is>
          <t>操作系统</t>
        </is>
      </c>
      <c r="B6" t="inlineStr">
        <is>
          <t>Windows-11-10.0.26200-SP0</t>
        </is>
      </c>
    </row>
    <row r="7">
      <c r="A7" t="inlineStr">
        <is>
          <t>运行时间</t>
        </is>
      </c>
      <c r="B7" t="inlineStr">
        <is>
          <t>2026-08-29T12:28:22.374625+00:00</t>
        </is>
      </c>
    </row>
    <row r="8">
      <c r="A8" t="inlineStr">
        <is>
          <t>配置快照</t>
        </is>
      </c>
      <c r="B8" t="inlineStr">
        <is>
          <t>{"a_share_scope_mode": "总市值前 N 家", "a_share_top_n": 3, "concurrency": 4, "financial_year": 2025, "fixture_mode": false, "flow_mode": "不抓取（最快）", "hk_scope_mode": "总市值前 N 家", "hk_top_n": 100, "include_a_share_flow": false, "include_financial": true, "include_st": true, "markets": ["A股"], "network_mode": "国内数据源优先直连", "output_directory": "D:/python_software/StockAnalysis/artifacts/live_0_3_0", "request_interval": 0.05, "test_mode": false, "trading_year": 2025, "update_mode": "优先缓存"}</t>
        </is>
      </c>
    </row>
    <row r="9">
      <c r="A9" t="inlineStr">
        <is>
          <t>成功数</t>
        </is>
      </c>
      <c r="B9" t="n">
        <v>3</v>
      </c>
    </row>
    <row r="10">
      <c r="A10" t="inlineStr">
        <is>
          <t>部分缺失数</t>
        </is>
      </c>
      <c r="B10" t="n">
        <v>0</v>
      </c>
    </row>
    <row r="11">
      <c r="A11" t="inlineStr">
        <is>
          <t>失败数</t>
        </is>
      </c>
      <c r="B11" t="n">
        <v>0</v>
      </c>
    </row>
    <row r="12">
      <c r="A12" t="inlineStr">
        <is>
          <t>排除数</t>
        </is>
      </c>
      <c r="B12" t="n">
        <v>0</v>
      </c>
    </row>
    <row r="13">
      <c r="A13" t="inlineStr">
        <is>
          <t>缓存命中数</t>
        </is>
      </c>
      <c r="B13" t="n">
        <v>0</v>
      </c>
    </row>
    <row r="14">
      <c r="A14" t="inlineStr">
        <is>
          <t>性能统计</t>
        </is>
      </c>
      <c r="B14" t="inlineStr">
        <is>
          <t>{"cache_hits": 0, "circuit_breaks": 0, "direct_requests": 168, "http_elapsed_seconds": 14.963, "http_failures": 0, "http_requests": 168, "http_successes": 168, "negative_cache_hits": 0, "proxy_requests": 0, "requests_by_domain": {"datacenter-web.eastmoney.com": 47, "datacenter.eastmoney.com": 3, "push2delay.eastmoney.com": 118}, "requests_by_endpoint": {"batch-quotes-selected": 58, "block-trade-market-a-share": 1, "financial-cashflow-a-share": 23, "financial-income-a-share": 23, "ipo-A股": 3, "security-list-A股": 60}, "retries": 0, "stage_seconds": {"上市与发行信息": 0.481, "年度全市场大宗交易": 0.071, "年度财务": 2.789, "标准化、计算与校验": 0.0, "获取行情与市值": 12.519, "证券范围": 4.01}, "total_seconds": 19.888}</t>
        </is>
      </c>
    </row>
    <row r="15">
      <c r="A15" t="inlineStr">
        <is>
          <t>输出路径</t>
        </is>
      </c>
      <c r="B15" t="inlineStr">
        <is>
          <t>D:\python_software\StockAnalysis\artifacts\股票分析表 EXE 真实 A股Top3.xlsx</t>
        </is>
      </c>
    </row>
    <row r="16">
      <c r="A16" t="inlineStr">
        <is>
          <t>A股识别数</t>
        </is>
      </c>
      <c r="B16" t="n">
        <v>5905</v>
      </c>
    </row>
    <row r="17">
      <c r="A17" t="inlineStr">
        <is>
          <t>A股市值可排名数</t>
        </is>
      </c>
      <c r="B17" t="n">
        <v>5557</v>
      </c>
    </row>
    <row r="18">
      <c r="A18" t="inlineStr">
        <is>
          <t>A股候选财务数</t>
        </is>
      </c>
      <c r="B18" t="n">
        <v>23</v>
      </c>
    </row>
    <row r="19">
      <c r="A19" t="inlineStr">
        <is>
          <t>A股生成数</t>
        </is>
      </c>
      <c r="B19" t="n">
        <v>3</v>
      </c>
    </row>
    <row r="20">
      <c r="A20" t="inlineStr">
        <is>
          <t>A股核心财务跳过数</t>
        </is>
      </c>
      <c r="B20" t="n">
        <v>0</v>
      </c>
    </row>
    <row r="21">
      <c r="A21" t="inlineStr">
        <is>
          <t>A股终止上市过滤数</t>
        </is>
      </c>
      <c r="B21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涂玉</dc:creator>
  <dcterms:created xsi:type="dcterms:W3CDTF">2026-08-28T05:37:27Z</dcterms:created>
  <dcterms:modified xsi:type="dcterms:W3CDTF">2026-08-29T12:28:22Z</dcterms:modified>
  <cp:lastModifiedBy>涂玉</cp:lastModifiedBy>
</cp:coreProperties>
</file>